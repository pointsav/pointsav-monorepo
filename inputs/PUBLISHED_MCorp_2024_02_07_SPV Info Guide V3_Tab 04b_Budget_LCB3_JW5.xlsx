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Office/Desktop/2024_SPV_FIN/"/>
    </mc:Choice>
  </mc:AlternateContent>
  <xr:revisionPtr revIDLastSave="0" documentId="13_ncr:1_{1AC8DA4B-54D3-B34D-81BE-E957D3146844}" xr6:coauthVersionLast="45" xr6:coauthVersionMax="46" xr10:uidLastSave="{00000000-0000-0000-0000-000000000000}"/>
  <bookViews>
    <workbookView xWindow="4880" yWindow="460" windowWidth="31460" windowHeight="216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44" i="1" l="1"/>
  <c r="G52" i="1" l="1"/>
  <c r="H29" i="1"/>
  <c r="G29" i="1"/>
  <c r="I12" i="1"/>
  <c r="I40" i="1" l="1"/>
  <c r="J40" i="1" s="1"/>
  <c r="I41" i="1"/>
  <c r="J41" i="1" s="1"/>
  <c r="I42" i="1"/>
  <c r="J42" i="1" s="1"/>
  <c r="I43" i="1"/>
  <c r="J43" i="1" s="1"/>
  <c r="I39" i="1"/>
  <c r="J39" i="1" s="1"/>
  <c r="H44" i="1"/>
  <c r="G54" i="1"/>
  <c r="H33" i="1"/>
  <c r="G33" i="1"/>
  <c r="I51" i="1"/>
  <c r="J51" i="1" s="1"/>
  <c r="I50" i="1"/>
  <c r="J50" i="1" s="1"/>
  <c r="I49" i="1"/>
  <c r="J49" i="1" s="1"/>
  <c r="H48" i="1"/>
  <c r="I48" i="1" s="1"/>
  <c r="J48" i="1" s="1"/>
  <c r="H47" i="1"/>
  <c r="I13" i="1"/>
  <c r="J13" i="1" s="1"/>
  <c r="I24" i="1"/>
  <c r="J24" i="1" s="1"/>
  <c r="I11" i="1"/>
  <c r="I23" i="1"/>
  <c r="I47" i="1" l="1"/>
  <c r="H52" i="1"/>
  <c r="H54" i="1"/>
  <c r="J44" i="1"/>
  <c r="J11" i="1"/>
  <c r="J29" i="1" s="1"/>
  <c r="I29" i="1"/>
  <c r="I44" i="1"/>
  <c r="I32" i="1"/>
  <c r="I75" i="1"/>
  <c r="I76" i="1"/>
  <c r="I77" i="1"/>
  <c r="I80" i="1"/>
  <c r="I81" i="1"/>
  <c r="I82" i="1"/>
  <c r="I85" i="1"/>
  <c r="I86" i="1"/>
  <c r="J47" i="1" l="1"/>
  <c r="J52" i="1" s="1"/>
  <c r="J54" i="1" s="1"/>
  <c r="I52" i="1"/>
  <c r="I54" i="1" s="1"/>
  <c r="I33" i="1"/>
  <c r="J32" i="1"/>
  <c r="J33" i="1" s="1"/>
  <c r="J35" i="1" s="1"/>
  <c r="G91" i="1"/>
  <c r="H57" i="1"/>
  <c r="H58" i="1" s="1"/>
  <c r="H78" i="1"/>
  <c r="I78" i="1" s="1"/>
  <c r="G58" i="1"/>
  <c r="H91" i="1" l="1"/>
  <c r="I90" i="1"/>
  <c r="I89" i="1"/>
  <c r="I57" i="1"/>
  <c r="I58" i="1" l="1"/>
  <c r="J57" i="1"/>
  <c r="J58" i="1" s="1"/>
  <c r="I91" i="1"/>
  <c r="H35" i="1"/>
  <c r="H87" i="1" s="1"/>
  <c r="I35" i="1"/>
  <c r="I87" i="1" s="1"/>
  <c r="G35" i="1"/>
  <c r="G87" i="1" s="1"/>
</calcChain>
</file>

<file path=xl/sharedStrings.xml><?xml version="1.0" encoding="utf-8"?>
<sst xmlns="http://schemas.openxmlformats.org/spreadsheetml/2006/main" count="74" uniqueCount="67">
  <si>
    <t>Minute book</t>
  </si>
  <si>
    <t>CRA business number</t>
  </si>
  <si>
    <t>Jennifer M. Woodfine</t>
  </si>
  <si>
    <t>Woodfine Management Corp.</t>
  </si>
  <si>
    <t>Registration — Limited partnership</t>
  </si>
  <si>
    <t xml:space="preserve">Registration — Incorporation </t>
  </si>
  <si>
    <t>Registered and records office services</t>
  </si>
  <si>
    <t>Notice of articles</t>
  </si>
  <si>
    <t>Basic fee</t>
  </si>
  <si>
    <t>Additional costs</t>
  </si>
  <si>
    <t>Total</t>
  </si>
  <si>
    <t>YE financial statement</t>
  </si>
  <si>
    <t>Total setup fees</t>
  </si>
  <si>
    <t>Total annual ongoing administration costs</t>
  </si>
  <si>
    <t xml:space="preserve">Name registration fee </t>
  </si>
  <si>
    <t>Tariffs</t>
  </si>
  <si>
    <t>Total future setup costs</t>
  </si>
  <si>
    <t xml:space="preserve">Law firm — Know your client </t>
  </si>
  <si>
    <t xml:space="preserve">Accounting firm — Know your client </t>
  </si>
  <si>
    <t>Pre-incorporation guide</t>
  </si>
  <si>
    <t>SPV establishment and administration costs*</t>
  </si>
  <si>
    <t xml:space="preserve"> Professional fees†</t>
  </si>
  <si>
    <t>Bank fee§</t>
  </si>
  <si>
    <t>Opening bank account§</t>
  </si>
  <si>
    <t>*The figures presented here are estimates for forecasting purposes and may not reflect actual setup and administration costs.</t>
  </si>
  <si>
    <t>†$275/hour.</t>
  </si>
  <si>
    <t>‡GST return — Not required until over $30,000 of recurring revenue.</t>
  </si>
  <si>
    <t>§Bank fee — No bank account required until return of capital begins.</t>
  </si>
  <si>
    <t>General Partner — BC Registry — Annual return</t>
  </si>
  <si>
    <t xml:space="preserve">Revenue Canada filings </t>
  </si>
  <si>
    <t>General Partner — Revenue Canada — Tax return</t>
  </si>
  <si>
    <t>General Partner — Revenue Canada — GST return‡</t>
  </si>
  <si>
    <t>Incorporation of General Partner</t>
  </si>
  <si>
    <t>Formation of Limited Partnership (12345 B.C. Limited Partnership):</t>
  </si>
  <si>
    <t>Annual Maintenance of Limited Partnership (payable in 12 months):</t>
  </si>
  <si>
    <t>Legal Services</t>
  </si>
  <si>
    <t>Filing disbursement</t>
  </si>
  <si>
    <t>SET UP COSTS</t>
  </si>
  <si>
    <t>Total Legal Services</t>
  </si>
  <si>
    <t>Tax Opinion</t>
  </si>
  <si>
    <t>Accounting Services</t>
  </si>
  <si>
    <t>Total Accounting Services</t>
  </si>
  <si>
    <t>ANNUAL MAINTENANCE</t>
  </si>
  <si>
    <t>File intake</t>
  </si>
  <si>
    <t>Standard articles</t>
  </si>
  <si>
    <t>Registers</t>
  </si>
  <si>
    <t>Resolutions</t>
  </si>
  <si>
    <t>Banking resolutions</t>
  </si>
  <si>
    <t>Incorporation fees and disbursements</t>
  </si>
  <si>
    <t>Incorporation documents</t>
  </si>
  <si>
    <t>Minute book documents</t>
  </si>
  <si>
    <t>Registered &amp; records office agreement</t>
  </si>
  <si>
    <t>Unit subscription agreement</t>
  </si>
  <si>
    <t>Legal fees</t>
  </si>
  <si>
    <t>BC Annual Report</t>
  </si>
  <si>
    <t>Annual filing fee</t>
  </si>
  <si>
    <t>Annual Maintenance of General Partner (payable in 12 months) **</t>
  </si>
  <si>
    <t>**</t>
  </si>
  <si>
    <t>We do not charge a flat fee for R&amp;R services.  Fees are based on actual time spent preparing and filing documents.</t>
  </si>
  <si>
    <t>TOTAL SET UP COSTS</t>
  </si>
  <si>
    <t>TOTAL ANNUAL MAINTENANCE COSTS</t>
  </si>
  <si>
    <t>Preparation of LP Agreement (generally a 50 page document)</t>
  </si>
  <si>
    <t>Unit certificate</t>
  </si>
  <si>
    <t>V4</t>
  </si>
  <si>
    <t>February 7, 2024</t>
  </si>
  <si>
    <t>SPV Summary</t>
  </si>
  <si>
    <t>Initial SPV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</si>
</sst>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1F497D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 (Body)"/>
    </font>
    <font>
      <sz val="12"/>
      <color theme="1"/>
      <name val="Calibri (Body)"/>
    </font>
    <font>
      <b/>
      <sz val="12"/>
      <color rgb="FF1F497D"/>
      <name val="Calibri (Body)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2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6">
    <xf numFmtId="0" fontId="0" fillId="0" borderId="0" xfId="0"/>
    <xf numFmtId="0" fontId="0" fillId="0" borderId="0" xfId="0" applyFont="1"/>
    <xf numFmtId="0" fontId="0" fillId="0" borderId="0" xfId="0" applyFont="1" applyAlignment="1">
      <alignment horizontal="left"/>
    </xf>
    <xf numFmtId="0" fontId="5" fillId="0" borderId="0" xfId="0" applyFont="1"/>
    <xf numFmtId="49" fontId="0" fillId="0" borderId="0" xfId="0" applyNumberFormat="1" applyFont="1"/>
    <xf numFmtId="0" fontId="0" fillId="2" borderId="0" xfId="0" applyFont="1" applyFill="1"/>
    <xf numFmtId="0" fontId="5" fillId="0" borderId="2" xfId="0" applyFont="1" applyFill="1" applyBorder="1" applyAlignment="1">
      <alignment horizontal="center" vertical="center" wrapText="1"/>
    </xf>
    <xf numFmtId="164" fontId="0" fillId="0" borderId="0" xfId="0" applyNumberFormat="1" applyFont="1" applyFill="1"/>
    <xf numFmtId="0" fontId="0" fillId="0" borderId="0" xfId="0" applyFont="1" applyFill="1"/>
    <xf numFmtId="164" fontId="0" fillId="0" borderId="0" xfId="1" applyNumberFormat="1" applyFont="1" applyFill="1" applyAlignment="1"/>
    <xf numFmtId="0" fontId="5" fillId="0" borderId="0" xfId="0" applyFont="1" applyFill="1"/>
    <xf numFmtId="164" fontId="5" fillId="0" borderId="1" xfId="1" applyNumberFormat="1" applyFont="1" applyFill="1" applyBorder="1" applyAlignment="1"/>
    <xf numFmtId="164" fontId="0" fillId="0" borderId="0" xfId="1" applyNumberFormat="1" applyFont="1" applyFill="1"/>
    <xf numFmtId="164" fontId="5" fillId="0" borderId="1" xfId="1" applyNumberFormat="1" applyFont="1" applyFill="1" applyBorder="1"/>
    <xf numFmtId="0" fontId="6" fillId="0" borderId="0" xfId="0" applyFont="1"/>
    <xf numFmtId="0" fontId="7" fillId="0" borderId="0" xfId="0" applyFont="1"/>
    <xf numFmtId="0" fontId="5" fillId="0" borderId="1" xfId="0" applyFont="1" applyFill="1" applyBorder="1"/>
    <xf numFmtId="0" fontId="0" fillId="0" borderId="1" xfId="0" applyFont="1" applyFill="1" applyBorder="1"/>
    <xf numFmtId="164" fontId="0" fillId="0" borderId="1" xfId="1" applyNumberFormat="1" applyFont="1" applyFill="1" applyBorder="1" applyAlignment="1"/>
    <xf numFmtId="0" fontId="5" fillId="0" borderId="0" xfId="0" applyFont="1" applyFill="1" applyBorder="1"/>
    <xf numFmtId="0" fontId="0" fillId="0" borderId="0" xfId="0" applyFont="1" applyFill="1" applyBorder="1"/>
    <xf numFmtId="164" fontId="0" fillId="0" borderId="0" xfId="1" applyNumberFormat="1" applyFont="1" applyFill="1" applyBorder="1" applyAlignment="1"/>
    <xf numFmtId="164" fontId="0" fillId="0" borderId="0" xfId="0" applyNumberFormat="1" applyFont="1" applyFill="1" applyBorder="1"/>
    <xf numFmtId="0" fontId="8" fillId="0" borderId="0" xfId="0" applyFont="1" applyFill="1"/>
    <xf numFmtId="0" fontId="9" fillId="0" borderId="0" xfId="0" applyFont="1" applyFill="1"/>
    <xf numFmtId="0" fontId="9" fillId="0" borderId="0" xfId="0" applyFont="1"/>
    <xf numFmtId="164" fontId="9" fillId="0" borderId="0" xfId="1" applyNumberFormat="1" applyFont="1" applyFill="1"/>
    <xf numFmtId="164" fontId="9" fillId="0" borderId="0" xfId="1" applyNumberFormat="1" applyFont="1"/>
    <xf numFmtId="0" fontId="9" fillId="0" borderId="0" xfId="0" applyFont="1" applyAlignment="1">
      <alignment wrapText="1"/>
    </xf>
    <xf numFmtId="0" fontId="8" fillId="0" borderId="0" xfId="0" applyFont="1"/>
    <xf numFmtId="0" fontId="10" fillId="0" borderId="0" xfId="0" applyFont="1"/>
    <xf numFmtId="0" fontId="8" fillId="0" borderId="1" xfId="0" applyFont="1" applyFill="1" applyBorder="1"/>
    <xf numFmtId="0" fontId="9" fillId="0" borderId="1" xfId="0" applyFont="1" applyBorder="1"/>
    <xf numFmtId="164" fontId="9" fillId="0" borderId="1" xfId="1" applyNumberFormat="1" applyFont="1" applyFill="1" applyBorder="1"/>
    <xf numFmtId="0" fontId="8" fillId="2" borderId="0" xfId="0" applyFont="1" applyFill="1"/>
    <xf numFmtId="0" fontId="9" fillId="2" borderId="0" xfId="0" applyFont="1" applyFill="1"/>
    <xf numFmtId="0" fontId="8" fillId="2" borderId="0" xfId="0" applyFont="1" applyFill="1" applyBorder="1" applyAlignment="1">
      <alignment horizontal="center" vertical="center" wrapText="1"/>
    </xf>
    <xf numFmtId="0" fontId="5" fillId="2" borderId="0" xfId="0" applyFont="1" applyFill="1"/>
    <xf numFmtId="0" fontId="0" fillId="2" borderId="0" xfId="0" applyFont="1" applyFill="1" applyBorder="1"/>
    <xf numFmtId="164" fontId="0" fillId="2" borderId="0" xfId="1" applyNumberFormat="1" applyFont="1" applyFill="1" applyBorder="1" applyAlignment="1"/>
    <xf numFmtId="164" fontId="0" fillId="2" borderId="0" xfId="0" applyNumberFormat="1" applyFont="1" applyFill="1" applyBorder="1"/>
    <xf numFmtId="0" fontId="0" fillId="0" borderId="2" xfId="0" applyFont="1" applyFill="1" applyBorder="1"/>
    <xf numFmtId="0" fontId="8" fillId="0" borderId="0" xfId="0" applyFont="1" applyFill="1" applyBorder="1"/>
    <xf numFmtId="0" fontId="7" fillId="0" borderId="0" xfId="0" applyFont="1" applyBorder="1"/>
    <xf numFmtId="0" fontId="0" fillId="3" borderId="0" xfId="0" applyFont="1" applyFill="1" applyAlignment="1">
      <alignment horizontal="left"/>
    </xf>
    <xf numFmtId="0" fontId="5" fillId="3" borderId="0" xfId="0" applyFont="1" applyFill="1"/>
    <xf numFmtId="0" fontId="5" fillId="3" borderId="0" xfId="0" applyFont="1" applyFill="1" applyBorder="1"/>
    <xf numFmtId="0" fontId="0" fillId="3" borderId="0" xfId="0" applyFont="1" applyFill="1"/>
    <xf numFmtId="164" fontId="0" fillId="3" borderId="0" xfId="0" applyNumberFormat="1" applyFont="1" applyFill="1"/>
    <xf numFmtId="0" fontId="5" fillId="0" borderId="3" xfId="0" applyFont="1" applyBorder="1"/>
    <xf numFmtId="0" fontId="5" fillId="0" borderId="3" xfId="0" applyFont="1" applyFill="1" applyBorder="1"/>
    <xf numFmtId="164" fontId="5" fillId="0" borderId="3" xfId="1" applyNumberFormat="1" applyFont="1" applyFill="1" applyBorder="1" applyAlignment="1"/>
    <xf numFmtId="164" fontId="9" fillId="0" borderId="2" xfId="1" applyNumberFormat="1" applyFont="1" applyFill="1" applyBorder="1"/>
    <xf numFmtId="164" fontId="8" fillId="0" borderId="2" xfId="1" applyNumberFormat="1" applyFont="1" applyFill="1" applyBorder="1"/>
    <xf numFmtId="0" fontId="0" fillId="4" borderId="0" xfId="0" applyFont="1" applyFill="1"/>
    <xf numFmtId="164" fontId="9" fillId="4" borderId="0" xfId="1" applyNumberFormat="1" applyFont="1" applyFill="1"/>
    <xf numFmtId="164" fontId="0" fillId="4" borderId="0" xfId="0" applyNumberFormat="1" applyFont="1" applyFill="1"/>
    <xf numFmtId="164" fontId="9" fillId="4" borderId="1" xfId="1" applyNumberFormat="1" applyFont="1" applyFill="1" applyBorder="1"/>
    <xf numFmtId="164" fontId="0" fillId="4" borderId="1" xfId="1" applyNumberFormat="1" applyFont="1" applyFill="1" applyBorder="1" applyAlignment="1"/>
    <xf numFmtId="164" fontId="5" fillId="4" borderId="3" xfId="1" applyNumberFormat="1" applyFont="1" applyFill="1" applyBorder="1" applyAlignment="1"/>
    <xf numFmtId="0" fontId="5" fillId="4" borderId="2" xfId="0" applyFont="1" applyFill="1" applyBorder="1" applyAlignment="1">
      <alignment horizontal="center" vertical="center" wrapText="1"/>
    </xf>
    <xf numFmtId="164" fontId="0" fillId="4" borderId="0" xfId="1" applyNumberFormat="1" applyFont="1" applyFill="1"/>
    <xf numFmtId="164" fontId="0" fillId="4" borderId="2" xfId="0" applyNumberFormat="1" applyFont="1" applyFill="1" applyBorder="1"/>
    <xf numFmtId="164" fontId="0" fillId="4" borderId="1" xfId="0" applyNumberFormat="1" applyFont="1" applyFill="1" applyBorder="1"/>
    <xf numFmtId="164" fontId="8" fillId="4" borderId="3" xfId="1" applyNumberFormat="1" applyFont="1" applyFill="1" applyBorder="1"/>
    <xf numFmtId="0" fontId="0" fillId="0" borderId="0" xfId="0" applyFont="1" applyFill="1" applyAlignment="1">
      <alignment horizontal="left" wrapText="1"/>
    </xf>
  </cellXfs>
  <cellStyles count="24">
    <cellStyle name="Comma" xfId="1" builtinId="3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Hyperlink" xfId="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J101"/>
  <sheetViews>
    <sheetView tabSelected="1" topLeftCell="A51" zoomScaleNormal="100" zoomScalePageLayoutView="70" workbookViewId="0">
      <selection activeCell="B2" sqref="B2:J66"/>
    </sheetView>
  </sheetViews>
  <sheetFormatPr baseColWidth="10" defaultColWidth="12.83203125" defaultRowHeight="20" customHeight="1" x14ac:dyDescent="0.2"/>
  <cols>
    <col min="1" max="1" width="3.5" style="1" customWidth="1"/>
    <col min="2" max="2" width="7.6640625" style="1" customWidth="1"/>
    <col min="3" max="3" width="2.6640625" style="1" customWidth="1"/>
    <col min="4" max="4" width="5.1640625" style="1" customWidth="1"/>
    <col min="5" max="5" width="3.83203125" style="1" customWidth="1"/>
    <col min="6" max="6" width="65.6640625" style="1" customWidth="1"/>
    <col min="7" max="9" width="12.6640625" style="1" customWidth="1"/>
    <col min="10" max="10" width="12.33203125" style="1" customWidth="1"/>
    <col min="11" max="16384" width="12.83203125" style="1"/>
  </cols>
  <sheetData>
    <row r="2" spans="2:10" ht="20" customHeight="1" x14ac:dyDescent="0.2">
      <c r="C2" s="3" t="s">
        <v>20</v>
      </c>
    </row>
    <row r="3" spans="2:10" ht="20" customHeight="1" x14ac:dyDescent="0.2">
      <c r="C3" s="1" t="s">
        <v>3</v>
      </c>
    </row>
    <row r="4" spans="2:10" ht="20" customHeight="1" x14ac:dyDescent="0.2">
      <c r="C4" s="1" t="s">
        <v>2</v>
      </c>
    </row>
    <row r="5" spans="2:10" ht="20" customHeight="1" x14ac:dyDescent="0.2">
      <c r="C5" s="4" t="s">
        <v>64</v>
      </c>
    </row>
    <row r="6" spans="2:10" ht="20" customHeight="1" x14ac:dyDescent="0.2">
      <c r="C6" s="4" t="s">
        <v>63</v>
      </c>
    </row>
    <row r="7" spans="2:10" ht="20" customHeight="1" x14ac:dyDescent="0.2">
      <c r="C7" s="5"/>
      <c r="D7" s="5"/>
      <c r="E7" s="5"/>
      <c r="F7" s="5"/>
      <c r="G7" s="5"/>
      <c r="H7" s="5"/>
      <c r="I7" s="5"/>
      <c r="J7" s="5"/>
    </row>
    <row r="8" spans="2:10" ht="49" customHeight="1" x14ac:dyDescent="0.2">
      <c r="B8" s="2"/>
      <c r="C8" s="8"/>
      <c r="D8" s="8"/>
      <c r="E8" s="8"/>
      <c r="F8" s="8"/>
      <c r="G8" s="6" t="s">
        <v>15</v>
      </c>
      <c r="H8" s="6" t="s">
        <v>21</v>
      </c>
      <c r="I8" s="6" t="s">
        <v>10</v>
      </c>
      <c r="J8" s="60" t="s">
        <v>66</v>
      </c>
    </row>
    <row r="9" spans="2:10" ht="20" customHeight="1" x14ac:dyDescent="0.2">
      <c r="B9" s="2">
        <v>1</v>
      </c>
      <c r="C9" s="34" t="s">
        <v>37</v>
      </c>
      <c r="D9" s="35"/>
      <c r="E9" s="35"/>
      <c r="F9" s="35"/>
      <c r="G9" s="36"/>
      <c r="H9" s="36"/>
      <c r="I9" s="36"/>
      <c r="J9" s="5"/>
    </row>
    <row r="10" spans="2:10" ht="20" customHeight="1" x14ac:dyDescent="0.2">
      <c r="B10" s="2">
        <v>2</v>
      </c>
      <c r="C10" s="25"/>
      <c r="D10" s="23" t="s">
        <v>35</v>
      </c>
      <c r="E10" s="23"/>
      <c r="F10" s="23"/>
      <c r="G10" s="24"/>
      <c r="H10" s="24"/>
      <c r="I10" s="24"/>
      <c r="J10" s="54"/>
    </row>
    <row r="11" spans="2:10" ht="20" customHeight="1" x14ac:dyDescent="0.2">
      <c r="B11" s="2">
        <v>3</v>
      </c>
      <c r="C11" s="25"/>
      <c r="D11" s="24" t="s">
        <v>17</v>
      </c>
      <c r="E11" s="24"/>
      <c r="F11" s="24"/>
      <c r="G11" s="26">
        <v>0</v>
      </c>
      <c r="H11" s="26">
        <v>500</v>
      </c>
      <c r="I11" s="26">
        <f>SUM(G11:H11)</f>
        <v>500</v>
      </c>
      <c r="J11" s="55">
        <f>I11</f>
        <v>500</v>
      </c>
    </row>
    <row r="12" spans="2:10" ht="20" customHeight="1" x14ac:dyDescent="0.2">
      <c r="B12" s="2">
        <v>4</v>
      </c>
      <c r="C12" s="25"/>
      <c r="D12" s="24" t="s">
        <v>65</v>
      </c>
      <c r="E12" s="24"/>
      <c r="F12" s="24"/>
      <c r="G12" s="26">
        <v>0</v>
      </c>
      <c r="H12" s="26">
        <v>750</v>
      </c>
      <c r="I12" s="26">
        <f>SUM(G12:H12)</f>
        <v>750</v>
      </c>
      <c r="J12" s="55">
        <v>750</v>
      </c>
    </row>
    <row r="13" spans="2:10" ht="20" customHeight="1" x14ac:dyDescent="0.2">
      <c r="B13" s="2">
        <v>5</v>
      </c>
      <c r="C13" s="25"/>
      <c r="D13" s="25" t="s">
        <v>32</v>
      </c>
      <c r="E13" s="25"/>
      <c r="F13" s="25"/>
      <c r="G13" s="26">
        <v>0</v>
      </c>
      <c r="H13" s="27">
        <v>2500</v>
      </c>
      <c r="I13" s="26">
        <f t="shared" ref="I13:I23" si="0">SUM(G13:H13)</f>
        <v>2500</v>
      </c>
      <c r="J13" s="56">
        <f>I13</f>
        <v>2500</v>
      </c>
    </row>
    <row r="14" spans="2:10" ht="20" customHeight="1" x14ac:dyDescent="0.2">
      <c r="B14" s="2">
        <v>6</v>
      </c>
      <c r="C14" s="25"/>
      <c r="D14" s="25"/>
      <c r="E14" s="25" t="s">
        <v>43</v>
      </c>
      <c r="F14" s="25"/>
      <c r="G14" s="26"/>
      <c r="H14" s="27"/>
      <c r="I14" s="26"/>
      <c r="J14" s="54"/>
    </row>
    <row r="15" spans="2:10" ht="20" customHeight="1" x14ac:dyDescent="0.2">
      <c r="B15" s="2">
        <v>7</v>
      </c>
      <c r="C15" s="25"/>
      <c r="D15" s="25"/>
      <c r="E15" s="25" t="s">
        <v>48</v>
      </c>
      <c r="F15" s="25"/>
      <c r="G15" s="26"/>
      <c r="H15" s="27"/>
      <c r="I15" s="26"/>
      <c r="J15" s="54"/>
    </row>
    <row r="16" spans="2:10" ht="20" customHeight="1" x14ac:dyDescent="0.2">
      <c r="B16" s="2">
        <v>8</v>
      </c>
      <c r="C16" s="25"/>
      <c r="D16" s="25"/>
      <c r="E16" s="25" t="s">
        <v>49</v>
      </c>
      <c r="F16" s="25"/>
      <c r="G16" s="26"/>
      <c r="H16" s="27"/>
      <c r="I16" s="26"/>
      <c r="J16" s="54"/>
    </row>
    <row r="17" spans="2:10" ht="20" customHeight="1" x14ac:dyDescent="0.2">
      <c r="B17" s="2">
        <v>9</v>
      </c>
      <c r="C17" s="25"/>
      <c r="D17" s="25"/>
      <c r="E17" s="25" t="s">
        <v>50</v>
      </c>
      <c r="F17" s="25"/>
      <c r="G17" s="26"/>
      <c r="H17" s="27"/>
      <c r="I17" s="26"/>
      <c r="J17" s="54"/>
    </row>
    <row r="18" spans="2:10" ht="20" customHeight="1" x14ac:dyDescent="0.2">
      <c r="B18" s="2">
        <v>10</v>
      </c>
      <c r="C18" s="25"/>
      <c r="D18" s="25"/>
      <c r="E18" s="25"/>
      <c r="F18" s="25" t="s">
        <v>44</v>
      </c>
      <c r="G18" s="26"/>
      <c r="H18" s="27"/>
      <c r="I18" s="26"/>
      <c r="J18" s="54"/>
    </row>
    <row r="19" spans="2:10" ht="20" customHeight="1" x14ac:dyDescent="0.2">
      <c r="B19" s="2">
        <v>11</v>
      </c>
      <c r="C19" s="25"/>
      <c r="D19" s="25"/>
      <c r="E19" s="25"/>
      <c r="F19" s="25" t="s">
        <v>45</v>
      </c>
      <c r="G19" s="26"/>
      <c r="H19" s="27"/>
      <c r="I19" s="26"/>
      <c r="J19" s="54"/>
    </row>
    <row r="20" spans="2:10" ht="20" customHeight="1" x14ac:dyDescent="0.2">
      <c r="B20" s="2">
        <v>12</v>
      </c>
      <c r="C20" s="25"/>
      <c r="D20" s="25"/>
      <c r="E20" s="25"/>
      <c r="F20" s="25" t="s">
        <v>46</v>
      </c>
      <c r="G20" s="26"/>
      <c r="H20" s="27"/>
      <c r="I20" s="26"/>
      <c r="J20" s="54"/>
    </row>
    <row r="21" spans="2:10" ht="20" customHeight="1" x14ac:dyDescent="0.2">
      <c r="B21" s="2">
        <v>13</v>
      </c>
      <c r="C21" s="25"/>
      <c r="D21" s="25"/>
      <c r="E21" s="25" t="s">
        <v>47</v>
      </c>
      <c r="F21" s="25"/>
      <c r="G21" s="26"/>
      <c r="H21" s="27"/>
      <c r="I21" s="26"/>
      <c r="J21" s="54"/>
    </row>
    <row r="22" spans="2:10" ht="20" customHeight="1" x14ac:dyDescent="0.2">
      <c r="B22" s="2">
        <v>14</v>
      </c>
      <c r="C22" s="25"/>
      <c r="D22" s="25"/>
      <c r="E22" s="25" t="s">
        <v>51</v>
      </c>
      <c r="F22" s="25"/>
      <c r="G22" s="26"/>
      <c r="H22" s="27"/>
      <c r="I22" s="26"/>
      <c r="J22" s="54"/>
    </row>
    <row r="23" spans="2:10" ht="20" customHeight="1" x14ac:dyDescent="0.2">
      <c r="B23" s="2">
        <v>15</v>
      </c>
      <c r="C23" s="25"/>
      <c r="D23" s="25" t="s">
        <v>33</v>
      </c>
      <c r="E23" s="29"/>
      <c r="F23" s="29"/>
      <c r="G23" s="26">
        <v>0</v>
      </c>
      <c r="H23" s="26">
        <v>2400</v>
      </c>
      <c r="I23" s="26">
        <f t="shared" si="0"/>
        <v>2400</v>
      </c>
      <c r="J23" s="56">
        <v>5120</v>
      </c>
    </row>
    <row r="24" spans="2:10" ht="20" customHeight="1" x14ac:dyDescent="0.2">
      <c r="B24" s="2">
        <v>16</v>
      </c>
      <c r="C24" s="25"/>
      <c r="E24" s="25" t="s">
        <v>36</v>
      </c>
      <c r="F24" s="25"/>
      <c r="G24" s="26">
        <v>380</v>
      </c>
      <c r="H24" s="26">
        <v>0</v>
      </c>
      <c r="I24" s="26">
        <f>SUM(G24:H24)</f>
        <v>380</v>
      </c>
      <c r="J24" s="56">
        <f>I24</f>
        <v>380</v>
      </c>
    </row>
    <row r="25" spans="2:10" ht="20" customHeight="1" x14ac:dyDescent="0.2">
      <c r="B25" s="2">
        <v>17</v>
      </c>
      <c r="C25" s="25"/>
      <c r="D25" s="25"/>
      <c r="E25" s="25"/>
      <c r="F25" s="28" t="s">
        <v>61</v>
      </c>
      <c r="G25" s="26"/>
      <c r="H25" s="26"/>
      <c r="I25" s="26"/>
      <c r="J25" s="54"/>
    </row>
    <row r="26" spans="2:10" ht="20" customHeight="1" x14ac:dyDescent="0.2">
      <c r="B26" s="2">
        <v>18</v>
      </c>
      <c r="C26" s="25"/>
      <c r="D26" s="25"/>
      <c r="E26" s="25"/>
      <c r="F26" s="28" t="s">
        <v>62</v>
      </c>
      <c r="G26" s="26"/>
      <c r="H26" s="26"/>
      <c r="I26" s="26"/>
      <c r="J26" s="54"/>
    </row>
    <row r="27" spans="2:10" ht="20" customHeight="1" x14ac:dyDescent="0.2">
      <c r="B27" s="2">
        <v>19</v>
      </c>
      <c r="C27" s="25"/>
      <c r="D27" s="25"/>
      <c r="E27" s="25"/>
      <c r="F27" s="28" t="s">
        <v>52</v>
      </c>
      <c r="G27" s="26"/>
      <c r="H27" s="26"/>
      <c r="I27" s="26"/>
      <c r="J27" s="54"/>
    </row>
    <row r="28" spans="2:10" ht="20" customHeight="1" x14ac:dyDescent="0.2">
      <c r="B28" s="2">
        <v>20</v>
      </c>
      <c r="C28" s="25"/>
      <c r="D28" s="24" t="s">
        <v>39</v>
      </c>
      <c r="E28" s="24"/>
      <c r="F28" s="24"/>
      <c r="G28" s="26">
        <v>0</v>
      </c>
      <c r="H28" s="26">
        <v>1200</v>
      </c>
      <c r="I28" s="26">
        <v>1200</v>
      </c>
      <c r="J28" s="61">
        <v>3500</v>
      </c>
    </row>
    <row r="29" spans="2:10" ht="20" customHeight="1" x14ac:dyDescent="0.2">
      <c r="B29" s="2">
        <v>21</v>
      </c>
      <c r="C29" s="30"/>
      <c r="D29" s="31" t="s">
        <v>38</v>
      </c>
      <c r="E29" s="32"/>
      <c r="F29" s="32"/>
      <c r="G29" s="33">
        <f>SUM(G11:G28)</f>
        <v>380</v>
      </c>
      <c r="H29" s="33">
        <f t="shared" ref="H29:J29" si="1">SUM(H11:H28)</f>
        <v>7350</v>
      </c>
      <c r="I29" s="33">
        <f t="shared" si="1"/>
        <v>7730</v>
      </c>
      <c r="J29" s="57">
        <f t="shared" si="1"/>
        <v>12750</v>
      </c>
    </row>
    <row r="30" spans="2:10" ht="20" customHeight="1" x14ac:dyDescent="0.2">
      <c r="B30" s="2">
        <v>22</v>
      </c>
      <c r="C30" s="14"/>
      <c r="G30" s="8"/>
      <c r="H30" s="8"/>
      <c r="I30" s="8"/>
      <c r="J30" s="54"/>
    </row>
    <row r="31" spans="2:10" ht="20" customHeight="1" x14ac:dyDescent="0.2">
      <c r="B31" s="2">
        <v>23</v>
      </c>
      <c r="D31" s="10" t="s">
        <v>40</v>
      </c>
      <c r="E31" s="8"/>
      <c r="F31" s="8"/>
      <c r="G31" s="9"/>
      <c r="H31" s="9"/>
      <c r="I31" s="7"/>
      <c r="J31" s="54"/>
    </row>
    <row r="32" spans="2:10" ht="20" customHeight="1" x14ac:dyDescent="0.2">
      <c r="B32" s="2">
        <v>24</v>
      </c>
      <c r="D32" s="8" t="s">
        <v>18</v>
      </c>
      <c r="E32" s="8"/>
      <c r="F32" s="8"/>
      <c r="G32" s="9">
        <v>0</v>
      </c>
      <c r="H32" s="9">
        <v>275</v>
      </c>
      <c r="I32" s="7">
        <f t="shared" ref="I32:I86" si="2">SUM(G32:H32)</f>
        <v>275</v>
      </c>
      <c r="J32" s="56">
        <f>I32</f>
        <v>275</v>
      </c>
    </row>
    <row r="33" spans="2:10" ht="20" customHeight="1" x14ac:dyDescent="0.2">
      <c r="B33" s="2">
        <v>25</v>
      </c>
      <c r="D33" s="16" t="s">
        <v>41</v>
      </c>
      <c r="E33" s="17"/>
      <c r="F33" s="17"/>
      <c r="G33" s="18">
        <f>SUM(G32:G32)</f>
        <v>0</v>
      </c>
      <c r="H33" s="18">
        <f>SUM(H32:H32)</f>
        <v>275</v>
      </c>
      <c r="I33" s="18">
        <f>SUM(I32:I32)</f>
        <v>275</v>
      </c>
      <c r="J33" s="58">
        <f>SUM(J32:J32)</f>
        <v>275</v>
      </c>
    </row>
    <row r="34" spans="2:10" ht="20" customHeight="1" x14ac:dyDescent="0.2">
      <c r="B34" s="2">
        <v>26</v>
      </c>
      <c r="D34" s="19"/>
      <c r="E34" s="20"/>
      <c r="F34" s="20"/>
      <c r="G34" s="21"/>
      <c r="H34" s="21"/>
      <c r="I34" s="22"/>
      <c r="J34" s="54"/>
    </row>
    <row r="35" spans="2:10" ht="20" customHeight="1" x14ac:dyDescent="0.2">
      <c r="B35" s="2">
        <v>27</v>
      </c>
      <c r="C35" s="49" t="s">
        <v>59</v>
      </c>
      <c r="D35" s="50"/>
      <c r="E35" s="50"/>
      <c r="F35" s="50"/>
      <c r="G35" s="51">
        <f>G29+G33</f>
        <v>380</v>
      </c>
      <c r="H35" s="51">
        <f>H29+H33</f>
        <v>7625</v>
      </c>
      <c r="I35" s="51">
        <f>I29+I33</f>
        <v>8005</v>
      </c>
      <c r="J35" s="59">
        <f>J29+J33</f>
        <v>13025</v>
      </c>
    </row>
    <row r="36" spans="2:10" ht="20" customHeight="1" x14ac:dyDescent="0.2">
      <c r="B36" s="2">
        <v>28</v>
      </c>
      <c r="D36" s="19"/>
      <c r="E36" s="20"/>
      <c r="F36" s="20"/>
      <c r="G36" s="21"/>
      <c r="H36" s="21"/>
      <c r="I36" s="22"/>
      <c r="J36" s="54"/>
    </row>
    <row r="37" spans="2:10" ht="20" customHeight="1" x14ac:dyDescent="0.2">
      <c r="B37" s="2">
        <v>29</v>
      </c>
      <c r="C37" s="37" t="s">
        <v>42</v>
      </c>
      <c r="D37" s="37"/>
      <c r="E37" s="38"/>
      <c r="F37" s="38"/>
      <c r="G37" s="39"/>
      <c r="H37" s="39"/>
      <c r="I37" s="40"/>
      <c r="J37" s="40"/>
    </row>
    <row r="38" spans="2:10" ht="20" customHeight="1" x14ac:dyDescent="0.2">
      <c r="B38" s="2">
        <v>30</v>
      </c>
      <c r="D38" s="10" t="s">
        <v>35</v>
      </c>
      <c r="E38" s="20"/>
      <c r="F38" s="20"/>
      <c r="G38" s="21"/>
      <c r="H38" s="21"/>
      <c r="I38" s="22"/>
      <c r="J38" s="54"/>
    </row>
    <row r="39" spans="2:10" ht="20" customHeight="1" x14ac:dyDescent="0.2">
      <c r="B39" s="2">
        <v>31</v>
      </c>
      <c r="D39" s="19"/>
      <c r="E39" s="15" t="s">
        <v>56</v>
      </c>
      <c r="F39" s="15"/>
      <c r="G39" s="26">
        <v>0</v>
      </c>
      <c r="H39" s="26">
        <v>500</v>
      </c>
      <c r="I39" s="26">
        <f>SUM(G39:H39)</f>
        <v>500</v>
      </c>
      <c r="J39" s="56">
        <f>I39</f>
        <v>500</v>
      </c>
    </row>
    <row r="40" spans="2:10" ht="20" customHeight="1" x14ac:dyDescent="0.2">
      <c r="B40" s="2">
        <v>32</v>
      </c>
      <c r="D40" s="19"/>
      <c r="E40" s="15"/>
      <c r="F40" s="15" t="s">
        <v>53</v>
      </c>
      <c r="G40" s="26">
        <v>0</v>
      </c>
      <c r="H40" s="26">
        <v>350</v>
      </c>
      <c r="I40" s="26">
        <f t="shared" ref="I40:I43" si="3">SUM(G40:H40)</f>
        <v>350</v>
      </c>
      <c r="J40" s="56">
        <f t="shared" ref="J40:J57" si="4">I40</f>
        <v>350</v>
      </c>
    </row>
    <row r="41" spans="2:10" ht="20" customHeight="1" x14ac:dyDescent="0.2">
      <c r="B41" s="2">
        <v>33</v>
      </c>
      <c r="D41" s="19"/>
      <c r="E41" s="15"/>
      <c r="F41" s="15" t="s">
        <v>54</v>
      </c>
      <c r="G41" s="26">
        <v>50</v>
      </c>
      <c r="H41" s="26">
        <v>0</v>
      </c>
      <c r="I41" s="26">
        <f t="shared" si="3"/>
        <v>50</v>
      </c>
      <c r="J41" s="56">
        <f t="shared" si="4"/>
        <v>50</v>
      </c>
    </row>
    <row r="42" spans="2:10" ht="20" customHeight="1" x14ac:dyDescent="0.2">
      <c r="B42" s="2">
        <v>34</v>
      </c>
      <c r="D42" s="19"/>
      <c r="E42" s="43" t="s">
        <v>34</v>
      </c>
      <c r="F42" s="43"/>
      <c r="G42" s="26">
        <v>0</v>
      </c>
      <c r="H42" s="26">
        <v>200</v>
      </c>
      <c r="I42" s="26">
        <f t="shared" si="3"/>
        <v>200</v>
      </c>
      <c r="J42" s="56">
        <f t="shared" si="4"/>
        <v>200</v>
      </c>
    </row>
    <row r="43" spans="2:10" ht="20" customHeight="1" x14ac:dyDescent="0.2">
      <c r="B43" s="2">
        <v>35</v>
      </c>
      <c r="D43" s="41"/>
      <c r="E43" s="41"/>
      <c r="F43" s="41" t="s">
        <v>55</v>
      </c>
      <c r="G43" s="52">
        <v>45</v>
      </c>
      <c r="H43" s="52">
        <v>0</v>
      </c>
      <c r="I43" s="52">
        <f t="shared" si="3"/>
        <v>45</v>
      </c>
      <c r="J43" s="62">
        <f t="shared" si="4"/>
        <v>45</v>
      </c>
    </row>
    <row r="44" spans="2:10" ht="20" customHeight="1" x14ac:dyDescent="0.2">
      <c r="B44" s="2">
        <v>36</v>
      </c>
      <c r="D44" s="42" t="s">
        <v>38</v>
      </c>
      <c r="E44" s="8"/>
      <c r="F44" s="8"/>
      <c r="G44" s="26">
        <f>SUM(G39:G43)</f>
        <v>95</v>
      </c>
      <c r="H44" s="26">
        <f t="shared" ref="H44:J44" si="5">SUM(H39:H43)</f>
        <v>1050</v>
      </c>
      <c r="I44" s="26">
        <f t="shared" si="5"/>
        <v>1145</v>
      </c>
      <c r="J44" s="55">
        <f t="shared" si="5"/>
        <v>1145</v>
      </c>
    </row>
    <row r="45" spans="2:10" ht="20" customHeight="1" x14ac:dyDescent="0.2">
      <c r="B45" s="2">
        <v>37</v>
      </c>
      <c r="D45" s="8"/>
      <c r="E45" s="8"/>
      <c r="F45" s="8"/>
      <c r="G45" s="26"/>
      <c r="H45" s="26"/>
      <c r="I45" s="26"/>
      <c r="J45" s="56"/>
    </row>
    <row r="46" spans="2:10" ht="20" customHeight="1" x14ac:dyDescent="0.2">
      <c r="B46" s="2">
        <v>38</v>
      </c>
      <c r="C46" s="10"/>
      <c r="D46" s="10" t="s">
        <v>40</v>
      </c>
      <c r="E46" s="8"/>
      <c r="F46" s="8"/>
      <c r="G46" s="26"/>
      <c r="H46" s="26"/>
      <c r="I46" s="26"/>
      <c r="J46" s="56"/>
    </row>
    <row r="47" spans="2:10" ht="20" customHeight="1" x14ac:dyDescent="0.2">
      <c r="B47" s="2">
        <v>39</v>
      </c>
      <c r="C47" s="10"/>
      <c r="D47" s="8" t="s">
        <v>11</v>
      </c>
      <c r="E47" s="8"/>
      <c r="F47" s="8"/>
      <c r="G47" s="26">
        <v>0</v>
      </c>
      <c r="H47" s="26">
        <f>275*4</f>
        <v>1100</v>
      </c>
      <c r="I47" s="26">
        <f t="shared" ref="I47:I51" si="6">SUM(G47:H47)</f>
        <v>1100</v>
      </c>
      <c r="J47" s="56">
        <f t="shared" si="4"/>
        <v>1100</v>
      </c>
    </row>
    <row r="48" spans="2:10" ht="20" customHeight="1" x14ac:dyDescent="0.2">
      <c r="B48" s="2">
        <v>40</v>
      </c>
      <c r="C48" s="10"/>
      <c r="D48" s="8" t="s">
        <v>29</v>
      </c>
      <c r="E48" s="8"/>
      <c r="F48" s="8"/>
      <c r="G48" s="26">
        <v>0</v>
      </c>
      <c r="H48" s="26">
        <f>275*4</f>
        <v>1100</v>
      </c>
      <c r="I48" s="26">
        <f t="shared" si="6"/>
        <v>1100</v>
      </c>
      <c r="J48" s="56">
        <f t="shared" si="4"/>
        <v>1100</v>
      </c>
    </row>
    <row r="49" spans="2:10" ht="20" customHeight="1" x14ac:dyDescent="0.2">
      <c r="B49" s="2">
        <v>41</v>
      </c>
      <c r="C49" s="10"/>
      <c r="D49" s="8" t="s">
        <v>30</v>
      </c>
      <c r="G49" s="26">
        <v>20</v>
      </c>
      <c r="H49" s="26">
        <v>0</v>
      </c>
      <c r="I49" s="26">
        <f t="shared" si="6"/>
        <v>20</v>
      </c>
      <c r="J49" s="56">
        <f t="shared" si="4"/>
        <v>20</v>
      </c>
    </row>
    <row r="50" spans="2:10" ht="20" customHeight="1" x14ac:dyDescent="0.2">
      <c r="B50" s="2">
        <v>42</v>
      </c>
      <c r="C50" s="10"/>
      <c r="D50" s="8" t="s">
        <v>31</v>
      </c>
      <c r="E50" s="8"/>
      <c r="F50" s="8"/>
      <c r="G50" s="26">
        <v>0</v>
      </c>
      <c r="H50" s="26">
        <v>0</v>
      </c>
      <c r="I50" s="26">
        <f t="shared" si="6"/>
        <v>0</v>
      </c>
      <c r="J50" s="56">
        <f t="shared" si="4"/>
        <v>0</v>
      </c>
    </row>
    <row r="51" spans="2:10" ht="20" customHeight="1" x14ac:dyDescent="0.2">
      <c r="B51" s="2">
        <v>43</v>
      </c>
      <c r="C51" s="10"/>
      <c r="D51" s="41" t="s">
        <v>22</v>
      </c>
      <c r="E51" s="41"/>
      <c r="F51" s="41"/>
      <c r="G51" s="52">
        <v>179</v>
      </c>
      <c r="H51" s="52">
        <v>0</v>
      </c>
      <c r="I51" s="52">
        <f t="shared" si="6"/>
        <v>179</v>
      </c>
      <c r="J51" s="62">
        <f t="shared" si="4"/>
        <v>179</v>
      </c>
    </row>
    <row r="52" spans="2:10" ht="20" customHeight="1" x14ac:dyDescent="0.2">
      <c r="B52" s="2">
        <v>44</v>
      </c>
      <c r="C52" s="10"/>
      <c r="D52" s="19" t="s">
        <v>41</v>
      </c>
      <c r="E52" s="8"/>
      <c r="F52" s="8"/>
      <c r="G52" s="26">
        <f>SUM(G47:G51)</f>
        <v>199</v>
      </c>
      <c r="H52" s="26">
        <f t="shared" ref="H52:J52" si="7">SUM(H47:H51)</f>
        <v>2200</v>
      </c>
      <c r="I52" s="26">
        <f t="shared" si="7"/>
        <v>2399</v>
      </c>
      <c r="J52" s="55">
        <f t="shared" si="7"/>
        <v>2399</v>
      </c>
    </row>
    <row r="53" spans="2:10" ht="20" customHeight="1" x14ac:dyDescent="0.2">
      <c r="B53" s="2">
        <v>45</v>
      </c>
      <c r="C53" s="10"/>
      <c r="D53" s="19"/>
      <c r="E53" s="8"/>
      <c r="F53" s="8"/>
      <c r="G53" s="52"/>
      <c r="H53" s="52"/>
      <c r="I53" s="52"/>
      <c r="J53" s="56"/>
    </row>
    <row r="54" spans="2:10" ht="20" customHeight="1" x14ac:dyDescent="0.2">
      <c r="B54" s="2">
        <v>46</v>
      </c>
      <c r="C54" s="49" t="s">
        <v>60</v>
      </c>
      <c r="D54" s="50"/>
      <c r="E54" s="50"/>
      <c r="F54" s="50"/>
      <c r="G54" s="53">
        <f>G44+G52</f>
        <v>294</v>
      </c>
      <c r="H54" s="53">
        <f t="shared" ref="H54:J54" si="8">H44+H52</f>
        <v>3250</v>
      </c>
      <c r="I54" s="53">
        <f t="shared" si="8"/>
        <v>3544</v>
      </c>
      <c r="J54" s="64">
        <f t="shared" si="8"/>
        <v>3544</v>
      </c>
    </row>
    <row r="55" spans="2:10" ht="20" customHeight="1" x14ac:dyDescent="0.2">
      <c r="B55" s="2">
        <v>47</v>
      </c>
      <c r="C55" s="10"/>
      <c r="D55" s="19"/>
      <c r="E55" s="8"/>
      <c r="F55" s="8"/>
      <c r="G55" s="26"/>
      <c r="H55" s="26"/>
      <c r="I55" s="26"/>
      <c r="J55" s="56"/>
    </row>
    <row r="56" spans="2:10" ht="20" customHeight="1" x14ac:dyDescent="0.2">
      <c r="B56" s="2">
        <v>48</v>
      </c>
      <c r="C56" s="10" t="s">
        <v>9</v>
      </c>
      <c r="D56" s="8"/>
      <c r="E56" s="8"/>
      <c r="F56" s="8"/>
      <c r="G56" s="26"/>
      <c r="H56" s="26"/>
      <c r="I56" s="26"/>
      <c r="J56" s="56"/>
    </row>
    <row r="57" spans="2:10" ht="20" customHeight="1" x14ac:dyDescent="0.2">
      <c r="B57" s="2">
        <v>49</v>
      </c>
      <c r="C57" s="41" t="s">
        <v>23</v>
      </c>
      <c r="D57" s="41"/>
      <c r="E57" s="41"/>
      <c r="F57" s="41"/>
      <c r="G57" s="52">
        <v>0</v>
      </c>
      <c r="H57" s="52">
        <f>275*4</f>
        <v>1100</v>
      </c>
      <c r="I57" s="52">
        <f>SUM(G57:H57)</f>
        <v>1100</v>
      </c>
      <c r="J57" s="56">
        <f t="shared" si="4"/>
        <v>1100</v>
      </c>
    </row>
    <row r="58" spans="2:10" ht="20" customHeight="1" x14ac:dyDescent="0.2">
      <c r="B58" s="2">
        <v>50</v>
      </c>
      <c r="C58" s="10" t="s">
        <v>16</v>
      </c>
      <c r="D58" s="8"/>
      <c r="E58" s="8"/>
      <c r="F58" s="8"/>
      <c r="G58" s="26">
        <f>SUM(G57:G57)</f>
        <v>0</v>
      </c>
      <c r="H58" s="26">
        <f>SUM(H57:H57)</f>
        <v>1100</v>
      </c>
      <c r="I58" s="26">
        <f>SUM(I57:I57)</f>
        <v>1100</v>
      </c>
      <c r="J58" s="63">
        <f>J57</f>
        <v>1100</v>
      </c>
    </row>
    <row r="59" spans="2:10" ht="20" customHeight="1" x14ac:dyDescent="0.2">
      <c r="B59" s="2">
        <v>51</v>
      </c>
      <c r="C59" s="10"/>
      <c r="D59" s="19"/>
      <c r="E59" s="8"/>
      <c r="F59" s="8"/>
      <c r="G59" s="8"/>
      <c r="H59" s="8"/>
      <c r="I59" s="7"/>
      <c r="J59" s="8"/>
    </row>
    <row r="60" spans="2:10" ht="20" customHeight="1" x14ac:dyDescent="0.2">
      <c r="B60" s="2">
        <v>52</v>
      </c>
      <c r="C60" s="10"/>
      <c r="D60" s="19"/>
      <c r="E60" s="8"/>
      <c r="F60" s="8"/>
      <c r="G60" s="8"/>
      <c r="H60" s="8"/>
      <c r="I60" s="7"/>
      <c r="J60" s="8"/>
    </row>
    <row r="61" spans="2:10" ht="20" customHeight="1" x14ac:dyDescent="0.2">
      <c r="B61" s="2">
        <v>53</v>
      </c>
      <c r="C61" s="10"/>
      <c r="D61" s="19"/>
      <c r="E61" s="8"/>
      <c r="F61" s="8"/>
      <c r="G61" s="8"/>
      <c r="H61" s="8"/>
      <c r="I61" s="7"/>
      <c r="J61" s="8"/>
    </row>
    <row r="62" spans="2:10" ht="20" customHeight="1" x14ac:dyDescent="0.2">
      <c r="B62" s="2">
        <v>54</v>
      </c>
      <c r="C62" s="65" t="s">
        <v>24</v>
      </c>
      <c r="D62" s="65"/>
      <c r="E62" s="65"/>
      <c r="F62" s="65"/>
      <c r="G62" s="65"/>
      <c r="H62" s="65"/>
      <c r="I62" s="65"/>
      <c r="J62" s="65"/>
    </row>
    <row r="63" spans="2:10" ht="20" customHeight="1" x14ac:dyDescent="0.2">
      <c r="B63" s="2">
        <v>55</v>
      </c>
      <c r="C63" s="8" t="s">
        <v>25</v>
      </c>
      <c r="D63" s="8"/>
      <c r="E63" s="8"/>
      <c r="F63" s="8"/>
      <c r="G63" s="8"/>
      <c r="H63" s="8"/>
      <c r="I63" s="8"/>
      <c r="J63" s="8"/>
    </row>
    <row r="64" spans="2:10" ht="20" customHeight="1" x14ac:dyDescent="0.2">
      <c r="B64" s="2">
        <v>56</v>
      </c>
      <c r="C64" s="8" t="s">
        <v>57</v>
      </c>
      <c r="D64" s="8" t="s">
        <v>58</v>
      </c>
      <c r="E64" s="8"/>
      <c r="F64" s="8"/>
      <c r="G64" s="8"/>
      <c r="H64" s="8"/>
      <c r="I64" s="8"/>
      <c r="J64" s="8"/>
    </row>
    <row r="65" spans="2:10" ht="20" customHeight="1" x14ac:dyDescent="0.2">
      <c r="B65" s="2">
        <v>57</v>
      </c>
      <c r="C65" s="1" t="s">
        <v>26</v>
      </c>
    </row>
    <row r="66" spans="2:10" ht="20" customHeight="1" x14ac:dyDescent="0.2">
      <c r="B66" s="2">
        <v>58</v>
      </c>
      <c r="C66" s="1" t="s">
        <v>27</v>
      </c>
    </row>
    <row r="67" spans="2:10" ht="20" customHeight="1" x14ac:dyDescent="0.2">
      <c r="B67" s="2"/>
    </row>
    <row r="68" spans="2:10" ht="20" customHeight="1" x14ac:dyDescent="0.2">
      <c r="B68" s="2"/>
    </row>
    <row r="69" spans="2:10" ht="20" customHeight="1" x14ac:dyDescent="0.2">
      <c r="B69" s="2"/>
    </row>
    <row r="70" spans="2:10" ht="20" customHeight="1" x14ac:dyDescent="0.2">
      <c r="B70" s="2"/>
    </row>
    <row r="71" spans="2:10" ht="20" customHeight="1" x14ac:dyDescent="0.2">
      <c r="B71" s="44"/>
      <c r="C71" s="45"/>
      <c r="D71" s="46"/>
      <c r="E71" s="47"/>
      <c r="F71" s="47"/>
      <c r="G71" s="47"/>
      <c r="H71" s="47"/>
      <c r="I71" s="48"/>
      <c r="J71" s="47"/>
    </row>
    <row r="72" spans="2:10" ht="20" customHeight="1" x14ac:dyDescent="0.2">
      <c r="B72" s="2"/>
      <c r="C72" s="10"/>
      <c r="D72" s="19"/>
      <c r="E72" s="8"/>
      <c r="F72" s="8"/>
      <c r="G72" s="8"/>
      <c r="H72" s="8"/>
      <c r="I72" s="7"/>
      <c r="J72" s="8"/>
    </row>
    <row r="73" spans="2:10" ht="20" customHeight="1" x14ac:dyDescent="0.2">
      <c r="B73" s="2"/>
      <c r="C73" s="10"/>
      <c r="D73" s="10"/>
      <c r="E73" s="8"/>
      <c r="F73" s="8"/>
      <c r="G73" s="8"/>
      <c r="H73" s="8"/>
      <c r="I73" s="7"/>
      <c r="J73" s="8"/>
    </row>
    <row r="74" spans="2:10" ht="20" customHeight="1" x14ac:dyDescent="0.2">
      <c r="B74" s="2"/>
      <c r="C74" s="10"/>
      <c r="D74" s="10"/>
      <c r="E74" s="8"/>
      <c r="F74" s="8"/>
      <c r="G74" s="8"/>
      <c r="H74" s="8"/>
      <c r="I74" s="7"/>
      <c r="J74" s="8"/>
    </row>
    <row r="75" spans="2:10" ht="20" customHeight="1" x14ac:dyDescent="0.2">
      <c r="B75" s="2"/>
      <c r="C75" s="8" t="s">
        <v>6</v>
      </c>
      <c r="D75" s="8"/>
      <c r="E75" s="8"/>
      <c r="F75" s="8"/>
      <c r="G75" s="9">
        <v>0</v>
      </c>
      <c r="H75" s="9">
        <v>275</v>
      </c>
      <c r="I75" s="7">
        <f t="shared" si="2"/>
        <v>275</v>
      </c>
      <c r="J75" s="8"/>
    </row>
    <row r="76" spans="2:10" ht="20" customHeight="1" x14ac:dyDescent="0.2">
      <c r="B76" s="2"/>
      <c r="C76" s="8" t="s">
        <v>0</v>
      </c>
      <c r="D76" s="8"/>
      <c r="E76" s="8"/>
      <c r="F76" s="8"/>
      <c r="G76" s="9">
        <v>50</v>
      </c>
      <c r="H76" s="9">
        <v>0</v>
      </c>
      <c r="I76" s="7">
        <f t="shared" si="2"/>
        <v>50</v>
      </c>
      <c r="J76" s="8"/>
    </row>
    <row r="77" spans="2:10" ht="20" customHeight="1" x14ac:dyDescent="0.2">
      <c r="B77" s="2"/>
      <c r="C77" s="8" t="s">
        <v>19</v>
      </c>
      <c r="D77" s="8"/>
      <c r="E77" s="8"/>
      <c r="F77" s="8"/>
      <c r="G77" s="9">
        <v>0</v>
      </c>
      <c r="H77" s="9">
        <v>275</v>
      </c>
      <c r="I77" s="7">
        <f t="shared" si="2"/>
        <v>275</v>
      </c>
      <c r="J77" s="8"/>
    </row>
    <row r="78" spans="2:10" ht="20" customHeight="1" x14ac:dyDescent="0.2">
      <c r="B78" s="2"/>
      <c r="C78" s="8" t="s">
        <v>7</v>
      </c>
      <c r="D78" s="8"/>
      <c r="E78" s="8"/>
      <c r="F78" s="8"/>
      <c r="G78" s="9">
        <v>0</v>
      </c>
      <c r="H78" s="9">
        <f>275*3</f>
        <v>825</v>
      </c>
      <c r="I78" s="7">
        <f t="shared" si="2"/>
        <v>825</v>
      </c>
      <c r="J78" s="8"/>
    </row>
    <row r="79" spans="2:10" ht="20" customHeight="1" x14ac:dyDescent="0.2">
      <c r="B79" s="2"/>
      <c r="C79" s="8" t="s">
        <v>5</v>
      </c>
      <c r="D79" s="8"/>
      <c r="E79" s="8"/>
      <c r="F79" s="8"/>
      <c r="G79" s="9"/>
      <c r="H79" s="9"/>
      <c r="I79" s="7"/>
      <c r="J79" s="8"/>
    </row>
    <row r="80" spans="2:10" ht="20" customHeight="1" x14ac:dyDescent="0.2">
      <c r="B80" s="2"/>
      <c r="C80" s="8"/>
      <c r="D80" s="8" t="s">
        <v>8</v>
      </c>
      <c r="E80" s="8"/>
      <c r="F80" s="8"/>
      <c r="G80" s="9">
        <v>350</v>
      </c>
      <c r="H80" s="9">
        <v>0</v>
      </c>
      <c r="I80" s="7">
        <f t="shared" si="2"/>
        <v>350</v>
      </c>
      <c r="J80" s="8"/>
    </row>
    <row r="81" spans="2:10" ht="20" customHeight="1" x14ac:dyDescent="0.2">
      <c r="B81" s="2"/>
      <c r="C81" s="8"/>
      <c r="D81" s="8" t="s">
        <v>14</v>
      </c>
      <c r="E81" s="8"/>
      <c r="F81" s="8"/>
      <c r="G81" s="9">
        <v>30</v>
      </c>
      <c r="H81" s="9">
        <v>0</v>
      </c>
      <c r="I81" s="7">
        <f t="shared" si="2"/>
        <v>30</v>
      </c>
      <c r="J81" s="8"/>
    </row>
    <row r="82" spans="2:10" ht="20" customHeight="1" x14ac:dyDescent="0.2">
      <c r="B82" s="2"/>
      <c r="C82" s="8"/>
      <c r="D82" s="8" t="s">
        <v>1</v>
      </c>
      <c r="E82" s="8"/>
      <c r="F82" s="8"/>
      <c r="G82" s="9">
        <v>50</v>
      </c>
      <c r="H82" s="9">
        <v>0</v>
      </c>
      <c r="I82" s="7">
        <f t="shared" si="2"/>
        <v>50</v>
      </c>
      <c r="J82" s="8"/>
    </row>
    <row r="83" spans="2:10" ht="20" customHeight="1" x14ac:dyDescent="0.2">
      <c r="B83" s="2"/>
      <c r="C83" s="8"/>
      <c r="D83" s="8"/>
      <c r="E83" s="8"/>
      <c r="F83" s="8"/>
      <c r="G83" s="9"/>
      <c r="H83" s="9"/>
      <c r="I83" s="7"/>
      <c r="J83" s="8"/>
    </row>
    <row r="84" spans="2:10" ht="20" customHeight="1" x14ac:dyDescent="0.2">
      <c r="B84" s="2"/>
      <c r="C84" s="8" t="s">
        <v>4</v>
      </c>
      <c r="D84" s="8"/>
      <c r="E84" s="8"/>
      <c r="F84" s="8"/>
      <c r="G84" s="9"/>
      <c r="H84" s="9"/>
      <c r="I84" s="7"/>
      <c r="J84" s="8"/>
    </row>
    <row r="85" spans="2:10" ht="20" customHeight="1" x14ac:dyDescent="0.2">
      <c r="B85" s="2"/>
      <c r="C85" s="8"/>
      <c r="D85" s="8" t="s">
        <v>8</v>
      </c>
      <c r="E85" s="8"/>
      <c r="F85" s="8"/>
      <c r="G85" s="9">
        <v>165</v>
      </c>
      <c r="H85" s="9">
        <v>0</v>
      </c>
      <c r="I85" s="7">
        <f t="shared" si="2"/>
        <v>165</v>
      </c>
      <c r="J85" s="8"/>
    </row>
    <row r="86" spans="2:10" ht="20" customHeight="1" x14ac:dyDescent="0.2">
      <c r="B86" s="2"/>
      <c r="C86" s="8"/>
      <c r="D86" s="8" t="s">
        <v>14</v>
      </c>
      <c r="E86" s="8"/>
      <c r="F86" s="8"/>
      <c r="G86" s="9">
        <v>30</v>
      </c>
      <c r="H86" s="9">
        <v>0</v>
      </c>
      <c r="I86" s="7">
        <f t="shared" si="2"/>
        <v>30</v>
      </c>
      <c r="J86" s="8"/>
    </row>
    <row r="87" spans="2:10" ht="20" customHeight="1" x14ac:dyDescent="0.2">
      <c r="B87" s="2"/>
      <c r="C87" s="10" t="s">
        <v>12</v>
      </c>
      <c r="D87" s="8"/>
      <c r="E87" s="8"/>
      <c r="F87" s="8"/>
      <c r="G87" s="11">
        <f>SUM(G31:G86)</f>
        <v>1937</v>
      </c>
      <c r="H87" s="11">
        <f>SUM(H31:H86)</f>
        <v>21500</v>
      </c>
      <c r="I87" s="11">
        <f>SUM(I31:I86)</f>
        <v>23437</v>
      </c>
      <c r="J87" s="8"/>
    </row>
    <row r="88" spans="2:10" ht="20" customHeight="1" x14ac:dyDescent="0.2">
      <c r="B88" s="2"/>
      <c r="D88" s="8"/>
      <c r="E88" s="8"/>
      <c r="F88" s="8"/>
      <c r="G88" s="12"/>
      <c r="H88" s="12"/>
      <c r="I88" s="7"/>
      <c r="J88" s="8"/>
    </row>
    <row r="89" spans="2:10" ht="20" customHeight="1" x14ac:dyDescent="0.2">
      <c r="B89" s="2"/>
      <c r="C89" s="8" t="s">
        <v>6</v>
      </c>
      <c r="D89" s="8"/>
      <c r="E89" s="8"/>
      <c r="F89" s="8"/>
      <c r="G89" s="12">
        <v>0</v>
      </c>
      <c r="H89" s="12">
        <v>275</v>
      </c>
      <c r="I89" s="7">
        <f t="shared" ref="I89:I90" si="9">SUM(G89:H89)</f>
        <v>275</v>
      </c>
      <c r="J89" s="8"/>
    </row>
    <row r="90" spans="2:10" ht="20" customHeight="1" x14ac:dyDescent="0.2">
      <c r="B90" s="2"/>
      <c r="C90" s="8" t="s">
        <v>28</v>
      </c>
      <c r="D90" s="8"/>
      <c r="E90" s="8"/>
      <c r="F90" s="8"/>
      <c r="G90" s="12">
        <v>45</v>
      </c>
      <c r="H90" s="12">
        <v>275</v>
      </c>
      <c r="I90" s="7">
        <f t="shared" si="9"/>
        <v>320</v>
      </c>
      <c r="J90" s="8"/>
    </row>
    <row r="91" spans="2:10" ht="20" customHeight="1" x14ac:dyDescent="0.2">
      <c r="B91" s="2"/>
      <c r="C91" s="10" t="s">
        <v>13</v>
      </c>
      <c r="D91" s="8"/>
      <c r="E91" s="8"/>
      <c r="F91" s="8"/>
      <c r="G91" s="13">
        <f>SUM(G89:G90)</f>
        <v>45</v>
      </c>
      <c r="H91" s="13">
        <f>SUM(H89:H90)</f>
        <v>550</v>
      </c>
      <c r="I91" s="13">
        <f>SUM(I89:I90)</f>
        <v>595</v>
      </c>
      <c r="J91" s="7"/>
    </row>
    <row r="92" spans="2:10" ht="20" customHeight="1" x14ac:dyDescent="0.2">
      <c r="B92" s="2"/>
      <c r="C92" s="8"/>
      <c r="D92" s="8"/>
      <c r="E92" s="8"/>
      <c r="F92" s="8"/>
      <c r="G92" s="12"/>
      <c r="H92" s="12"/>
      <c r="I92" s="7"/>
      <c r="J92" s="8"/>
    </row>
    <row r="93" spans="2:10" ht="20" customHeight="1" x14ac:dyDescent="0.2">
      <c r="B93" s="2"/>
      <c r="J93" s="8"/>
    </row>
    <row r="94" spans="2:10" ht="20" customHeight="1" x14ac:dyDescent="0.2">
      <c r="B94" s="2"/>
      <c r="J94" s="8"/>
    </row>
    <row r="95" spans="2:10" ht="20" customHeight="1" x14ac:dyDescent="0.2">
      <c r="B95" s="2"/>
      <c r="J95" s="8"/>
    </row>
    <row r="96" spans="2:10" ht="20" customHeight="1" x14ac:dyDescent="0.2">
      <c r="B96" s="2"/>
      <c r="C96" s="8"/>
      <c r="D96" s="8"/>
      <c r="E96" s="8"/>
      <c r="F96" s="8"/>
      <c r="G96" s="8"/>
      <c r="H96" s="8"/>
      <c r="I96" s="8"/>
      <c r="J96" s="8"/>
    </row>
    <row r="97" spans="2:10" ht="20" customHeight="1" x14ac:dyDescent="0.2">
      <c r="B97" s="2"/>
      <c r="C97" s="8"/>
      <c r="D97" s="8"/>
      <c r="E97" s="8"/>
      <c r="F97" s="8"/>
      <c r="G97" s="8"/>
      <c r="H97" s="8"/>
      <c r="I97" s="8"/>
      <c r="J97" s="8"/>
    </row>
    <row r="98" spans="2:10" ht="20" customHeight="1" x14ac:dyDescent="0.2">
      <c r="B98" s="2"/>
    </row>
    <row r="99" spans="2:10" ht="20" customHeight="1" x14ac:dyDescent="0.2">
      <c r="B99" s="2"/>
    </row>
    <row r="100" spans="2:10" ht="20" customHeight="1" x14ac:dyDescent="0.2">
      <c r="B100" s="2"/>
    </row>
    <row r="101" spans="2:10" ht="20" customHeight="1" x14ac:dyDescent="0.2">
      <c r="B101" s="2"/>
    </row>
  </sheetData>
  <mergeCells count="1">
    <mergeCell ref="C62:J62"/>
  </mergeCells>
  <phoneticPr fontId="4" type="noConversion"/>
  <pageMargins left="0.25" right="0.25" top="0.75" bottom="0.75" header="0.3" footer="0.3"/>
  <pageSetup scale="41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2024-02-05T15:25:20Z</cp:lastPrinted>
  <dcterms:created xsi:type="dcterms:W3CDTF">2019-03-15T19:37:37Z</dcterms:created>
  <dcterms:modified xsi:type="dcterms:W3CDTF">2024-02-05T15:25:24Z</dcterms:modified>
</cp:coreProperties>
</file>