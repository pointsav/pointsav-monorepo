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/>
  <mc:AlternateContent xmlns:mc="http://schemas.openxmlformats.org/markup-compatibility/2006">
    <mc:Choice Requires="x15">
      <x15ac:absPath xmlns:x15ac="http://schemas.microsoft.com/office/spreadsheetml/2010/11/ac" url="/Users/Office/Desktop/"/>
    </mc:Choice>
  </mc:AlternateContent>
  <xr:revisionPtr revIDLastSave="0" documentId="8_{9B3C2198-AC9E-634F-8ED2-2230042BF47A}" xr6:coauthVersionLast="45" xr6:coauthVersionMax="45" xr10:uidLastSave="{00000000-0000-0000-0000-000000000000}"/>
  <bookViews>
    <workbookView xWindow="43200" yWindow="460" windowWidth="30480" windowHeight="21620" tabRatio="500" xr2:uid="{00000000-000D-0000-FFFF-FFFF00000000}"/>
  </bookViews>
  <sheets>
    <sheet name="Master" sheetId="1" r:id="rId1"/>
    <sheet name="Page 1" sheetId="2" r:id="rId2"/>
    <sheet name="Page 2" sheetId="3" r:id="rId3"/>
    <sheet name="Page 3" sheetId="4" r:id="rId4"/>
    <sheet name="Page 4" sheetId="5" r:id="rId5"/>
    <sheet name="Page 5" sheetId="6" r:id="rId6"/>
    <sheet name="Page 6" sheetId="7" r:id="rId7"/>
    <sheet name="Graphs" sheetId="8" r:id="rId8"/>
    <sheet name="Math_PC and SU" sheetId="10" r:id="rId9"/>
    <sheet name="Math_RS and TI" sheetId="11" r:id="rId10"/>
  </sheets>
  <definedNames>
    <definedName name="_xlnm.Print_Area" localSheetId="0">Master!$CE$50:$CS$123</definedName>
    <definedName name="_xlnm.Print_Area" localSheetId="1">'Page 1'!$D$50:$U$120</definedName>
    <definedName name="_xlnm.Print_Area" localSheetId="2">'Page 2'!$F$15:$Y$81</definedName>
    <definedName name="_xlnm.Print_Area" localSheetId="3">'Page 3'!$B$1:$AE$105</definedName>
    <definedName name="_xlnm.Print_Area" localSheetId="4">'Page 4'!$B$1:$V$90</definedName>
    <definedName name="_xlnm.Print_Area" localSheetId="5">'Page 5'!$B$1:$X$135</definedName>
    <definedName name="_xlnm.Print_Area" localSheetId="6">'Page 6'!$B$1:$Y$94</definedName>
    <definedName name="_xlnm.Print_Titles" localSheetId="0">Master!$50:$61</definedName>
    <definedName name="_xlnm.Print_Titles" localSheetId="1">'Page 1'!$50:$61</definedName>
    <definedName name="_xlnm.Print_Titles" localSheetId="2">'Page 2'!$7:$18</definedName>
    <definedName name="_xlnm.Print_Titles" localSheetId="3">'Page 3'!$6:$31</definedName>
    <definedName name="_xlnm.Print_Titles" localSheetId="4">'Page 4'!$6:$30</definedName>
    <definedName name="_xlnm.Print_Titles" localSheetId="5">'Page 5'!$50:$75</definedName>
    <definedName name="_xlnm.Print_Titles" localSheetId="6">'Page 6'!$5:$30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E44" i="8" l="1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94" i="7"/>
  <c r="M11" i="7"/>
  <c r="N10" i="7"/>
  <c r="M10" i="7"/>
  <c r="I10" i="7"/>
  <c r="K8" i="7"/>
  <c r="G8" i="7"/>
  <c r="E8" i="7"/>
  <c r="N7" i="7"/>
  <c r="M7" i="7"/>
  <c r="K7" i="7"/>
  <c r="F86" i="7" s="1"/>
  <c r="G7" i="7"/>
  <c r="F7" i="7"/>
  <c r="E7" i="7"/>
  <c r="K6" i="7"/>
  <c r="F82" i="7" s="1"/>
  <c r="G6" i="7"/>
  <c r="F6" i="7"/>
  <c r="E6" i="7"/>
  <c r="M5" i="7"/>
  <c r="K5" i="7"/>
  <c r="J5" i="7"/>
  <c r="H5" i="7"/>
  <c r="K11" i="7" s="1"/>
  <c r="F83" i="7" s="1"/>
  <c r="G5" i="7"/>
  <c r="F5" i="7"/>
  <c r="E5" i="7"/>
  <c r="Q4" i="7"/>
  <c r="P4" i="7"/>
  <c r="O4" i="7"/>
  <c r="F89" i="7" s="1"/>
  <c r="N4" i="7"/>
  <c r="F87" i="7" s="1"/>
  <c r="M4" i="7"/>
  <c r="L4" i="7"/>
  <c r="F81" i="7" s="1"/>
  <c r="K4" i="7"/>
  <c r="F80" i="7" s="1"/>
  <c r="J4" i="7"/>
  <c r="I4" i="7"/>
  <c r="K10" i="7" s="1"/>
  <c r="F84" i="7" s="1"/>
  <c r="H4" i="7"/>
  <c r="G4" i="7"/>
  <c r="F4" i="7"/>
  <c r="H7" i="7" s="1"/>
  <c r="E4" i="7"/>
  <c r="I6" i="7" s="1"/>
  <c r="Q3" i="7"/>
  <c r="F92" i="7" s="1"/>
  <c r="P3" i="7"/>
  <c r="F91" i="7" s="1"/>
  <c r="O3" i="7"/>
  <c r="F90" i="7" s="1"/>
  <c r="N3" i="7"/>
  <c r="F88" i="7" s="1"/>
  <c r="M3" i="7"/>
  <c r="F85" i="7" s="1"/>
  <c r="L3" i="7"/>
  <c r="K3" i="7"/>
  <c r="J3" i="7"/>
  <c r="I3" i="7"/>
  <c r="H3" i="7"/>
  <c r="K9" i="7" s="1"/>
  <c r="G3" i="7"/>
  <c r="F3" i="7"/>
  <c r="I5" i="7" s="1"/>
  <c r="E3" i="7"/>
  <c r="C1" i="7"/>
  <c r="H69" i="7" s="1"/>
  <c r="E135" i="6"/>
  <c r="F133" i="6"/>
  <c r="F130" i="6"/>
  <c r="F128" i="6"/>
  <c r="F125" i="6"/>
  <c r="H125" i="6" s="1"/>
  <c r="H124" i="6"/>
  <c r="F123" i="6"/>
  <c r="I123" i="6" s="1"/>
  <c r="H122" i="6"/>
  <c r="H121" i="6"/>
  <c r="F119" i="6"/>
  <c r="D110" i="6" s="1"/>
  <c r="F110" i="6"/>
  <c r="K56" i="6"/>
  <c r="F124" i="6" s="1"/>
  <c r="I124" i="6" s="1"/>
  <c r="N55" i="6"/>
  <c r="M55" i="6"/>
  <c r="K55" i="6"/>
  <c r="K54" i="6"/>
  <c r="K53" i="6"/>
  <c r="G53" i="6"/>
  <c r="E53" i="6"/>
  <c r="N52" i="6"/>
  <c r="K52" i="6"/>
  <c r="F127" i="6" s="1"/>
  <c r="G52" i="6"/>
  <c r="F52" i="6"/>
  <c r="E52" i="6"/>
  <c r="K51" i="6"/>
  <c r="I51" i="6"/>
  <c r="G51" i="6"/>
  <c r="F51" i="6"/>
  <c r="E51" i="6"/>
  <c r="M50" i="6"/>
  <c r="K50" i="6"/>
  <c r="J50" i="6"/>
  <c r="I50" i="6"/>
  <c r="H50" i="6"/>
  <c r="G50" i="6"/>
  <c r="F50" i="6"/>
  <c r="E50" i="6"/>
  <c r="Q49" i="6"/>
  <c r="P49" i="6"/>
  <c r="O49" i="6"/>
  <c r="N49" i="6"/>
  <c r="M49" i="6"/>
  <c r="L49" i="6"/>
  <c r="F122" i="6" s="1"/>
  <c r="K49" i="6"/>
  <c r="F121" i="6" s="1"/>
  <c r="I121" i="6" s="1"/>
  <c r="J49" i="6"/>
  <c r="F120" i="6" s="1"/>
  <c r="I120" i="6" s="1"/>
  <c r="I49" i="6"/>
  <c r="H49" i="6"/>
  <c r="G49" i="6"/>
  <c r="H52" i="6" s="1"/>
  <c r="F49" i="6"/>
  <c r="E49" i="6"/>
  <c r="Q48" i="6"/>
  <c r="P48" i="6"/>
  <c r="F132" i="6" s="1"/>
  <c r="O48" i="6"/>
  <c r="F131" i="6" s="1"/>
  <c r="N48" i="6"/>
  <c r="F129" i="6" s="1"/>
  <c r="H129" i="6" s="1"/>
  <c r="M48" i="6"/>
  <c r="F126" i="6" s="1"/>
  <c r="L48" i="6"/>
  <c r="K48" i="6"/>
  <c r="J48" i="6"/>
  <c r="I48" i="6"/>
  <c r="H48" i="6"/>
  <c r="G48" i="6"/>
  <c r="H51" i="6" s="1"/>
  <c r="F48" i="6"/>
  <c r="E48" i="6"/>
  <c r="C46" i="6"/>
  <c r="H110" i="6" s="1"/>
  <c r="D90" i="5"/>
  <c r="E88" i="5"/>
  <c r="E86" i="5"/>
  <c r="E83" i="5"/>
  <c r="H81" i="5"/>
  <c r="E81" i="5"/>
  <c r="G81" i="5" s="1"/>
  <c r="E79" i="5"/>
  <c r="E78" i="5"/>
  <c r="E77" i="5"/>
  <c r="H78" i="5" s="1"/>
  <c r="J12" i="5"/>
  <c r="M11" i="5"/>
  <c r="L11" i="5"/>
  <c r="J11" i="5"/>
  <c r="E80" i="5" s="1"/>
  <c r="J10" i="5"/>
  <c r="J9" i="5"/>
  <c r="F9" i="5"/>
  <c r="D9" i="5"/>
  <c r="M8" i="5"/>
  <c r="J8" i="5"/>
  <c r="E82" i="5" s="1"/>
  <c r="H82" i="5" s="1"/>
  <c r="F8" i="5"/>
  <c r="E8" i="5"/>
  <c r="D8" i="5"/>
  <c r="J7" i="5"/>
  <c r="H7" i="5"/>
  <c r="E74" i="5" s="1"/>
  <c r="E65" i="5" s="1"/>
  <c r="F7" i="5"/>
  <c r="E7" i="5"/>
  <c r="D7" i="5"/>
  <c r="L6" i="5"/>
  <c r="J6" i="5"/>
  <c r="I6" i="5"/>
  <c r="H6" i="5"/>
  <c r="G6" i="5"/>
  <c r="F6" i="5"/>
  <c r="E6" i="5"/>
  <c r="G9" i="5" s="1"/>
  <c r="D6" i="5"/>
  <c r="P5" i="5"/>
  <c r="O5" i="5"/>
  <c r="N5" i="5"/>
  <c r="E85" i="5" s="1"/>
  <c r="M5" i="5"/>
  <c r="L5" i="5"/>
  <c r="K5" i="5"/>
  <c r="J5" i="5"/>
  <c r="E76" i="5" s="1"/>
  <c r="I5" i="5"/>
  <c r="E75" i="5" s="1"/>
  <c r="H5" i="5"/>
  <c r="G5" i="5"/>
  <c r="F5" i="5"/>
  <c r="G8" i="5" s="1"/>
  <c r="E5" i="5"/>
  <c r="D5" i="5"/>
  <c r="P4" i="5"/>
  <c r="O4" i="5"/>
  <c r="E87" i="5" s="1"/>
  <c r="N4" i="5"/>
  <c r="M4" i="5"/>
  <c r="E84" i="5" s="1"/>
  <c r="L4" i="5"/>
  <c r="K4" i="5"/>
  <c r="J4" i="5"/>
  <c r="I4" i="5"/>
  <c r="H4" i="5"/>
  <c r="G4" i="5"/>
  <c r="F4" i="5"/>
  <c r="E4" i="5"/>
  <c r="D4" i="5"/>
  <c r="B2" i="5"/>
  <c r="G65" i="5" s="1"/>
  <c r="C105" i="4"/>
  <c r="D103" i="4"/>
  <c r="D101" i="4"/>
  <c r="F102" i="4" s="1"/>
  <c r="D99" i="4"/>
  <c r="G99" i="4" s="1"/>
  <c r="D98" i="4"/>
  <c r="D96" i="4"/>
  <c r="D95" i="4"/>
  <c r="G95" i="4" s="1"/>
  <c r="D94" i="4"/>
  <c r="G94" i="4" s="1"/>
  <c r="G93" i="4"/>
  <c r="D85" i="4"/>
  <c r="F86" i="4" s="1"/>
  <c r="D78" i="4"/>
  <c r="G78" i="4" s="1"/>
  <c r="D77" i="4"/>
  <c r="B70" i="4"/>
  <c r="U13" i="4"/>
  <c r="T13" i="4"/>
  <c r="S13" i="4"/>
  <c r="R13" i="4"/>
  <c r="Q13" i="4"/>
  <c r="O12" i="4"/>
  <c r="J12" i="4"/>
  <c r="D81" i="4" s="1"/>
  <c r="M11" i="4"/>
  <c r="J11" i="4"/>
  <c r="D83" i="4" s="1"/>
  <c r="S10" i="4"/>
  <c r="J10" i="4"/>
  <c r="S9" i="4"/>
  <c r="J9" i="4"/>
  <c r="G9" i="4"/>
  <c r="F9" i="4"/>
  <c r="D9" i="4"/>
  <c r="V8" i="4"/>
  <c r="U8" i="4"/>
  <c r="T8" i="4"/>
  <c r="S8" i="4"/>
  <c r="D93" i="4" s="1"/>
  <c r="M8" i="4"/>
  <c r="J8" i="4"/>
  <c r="G8" i="4"/>
  <c r="F8" i="4"/>
  <c r="E8" i="4"/>
  <c r="D8" i="4"/>
  <c r="P7" i="4"/>
  <c r="J7" i="4"/>
  <c r="D80" i="4" s="1"/>
  <c r="H7" i="4"/>
  <c r="G7" i="4"/>
  <c r="F7" i="4"/>
  <c r="E7" i="4"/>
  <c r="D7" i="4"/>
  <c r="S6" i="4"/>
  <c r="R6" i="4"/>
  <c r="Q6" i="4"/>
  <c r="D97" i="4" s="1"/>
  <c r="P6" i="4"/>
  <c r="L6" i="4"/>
  <c r="J6" i="4"/>
  <c r="I6" i="4"/>
  <c r="H6" i="4"/>
  <c r="G6" i="4"/>
  <c r="F6" i="4"/>
  <c r="E6" i="4"/>
  <c r="D6" i="4"/>
  <c r="V5" i="4"/>
  <c r="U5" i="4"/>
  <c r="T5" i="4"/>
  <c r="S5" i="4"/>
  <c r="R5" i="4"/>
  <c r="D100" i="4" s="1"/>
  <c r="Q5" i="4"/>
  <c r="P5" i="4"/>
  <c r="O5" i="4"/>
  <c r="N5" i="4"/>
  <c r="D88" i="4" s="1"/>
  <c r="M5" i="4"/>
  <c r="D86" i="4" s="1"/>
  <c r="L5" i="4"/>
  <c r="K5" i="4"/>
  <c r="D82" i="4" s="1"/>
  <c r="J5" i="4"/>
  <c r="D79" i="4" s="1"/>
  <c r="I5" i="4"/>
  <c r="H5" i="4"/>
  <c r="G5" i="4"/>
  <c r="F5" i="4"/>
  <c r="E5" i="4"/>
  <c r="D5" i="4"/>
  <c r="V4" i="4"/>
  <c r="U4" i="4"/>
  <c r="D102" i="4" s="1"/>
  <c r="T4" i="4"/>
  <c r="S4" i="4"/>
  <c r="R4" i="4"/>
  <c r="Q4" i="4"/>
  <c r="D92" i="4" s="1"/>
  <c r="P4" i="4"/>
  <c r="D91" i="4" s="1"/>
  <c r="O4" i="4"/>
  <c r="D90" i="4" s="1"/>
  <c r="N4" i="4"/>
  <c r="D89" i="4" s="1"/>
  <c r="M4" i="4"/>
  <c r="D87" i="4" s="1"/>
  <c r="L4" i="4"/>
  <c r="D84" i="4" s="1"/>
  <c r="K4" i="4"/>
  <c r="J4" i="4"/>
  <c r="I4" i="4"/>
  <c r="H4" i="4"/>
  <c r="G4" i="4"/>
  <c r="F4" i="4"/>
  <c r="E4" i="4"/>
  <c r="D4" i="4"/>
  <c r="B2" i="4"/>
  <c r="H81" i="3"/>
  <c r="K78" i="3"/>
  <c r="I78" i="3"/>
  <c r="L78" i="3" s="1"/>
  <c r="L77" i="3"/>
  <c r="K76" i="3"/>
  <c r="I75" i="3"/>
  <c r="I69" i="3"/>
  <c r="N13" i="3"/>
  <c r="I70" i="3" s="1"/>
  <c r="K70" i="3" s="1"/>
  <c r="N12" i="3"/>
  <c r="I71" i="3" s="1"/>
  <c r="N11" i="3"/>
  <c r="N10" i="3"/>
  <c r="K10" i="3"/>
  <c r="J10" i="3"/>
  <c r="H10" i="3"/>
  <c r="Q9" i="3"/>
  <c r="N9" i="3"/>
  <c r="I73" i="3" s="1"/>
  <c r="K9" i="3"/>
  <c r="J9" i="3"/>
  <c r="I9" i="3"/>
  <c r="H9" i="3"/>
  <c r="N8" i="3"/>
  <c r="L8" i="3"/>
  <c r="I65" i="3" s="1"/>
  <c r="K8" i="3"/>
  <c r="J8" i="3"/>
  <c r="I8" i="3"/>
  <c r="H8" i="3"/>
  <c r="P7" i="3"/>
  <c r="N7" i="3"/>
  <c r="M7" i="3"/>
  <c r="L7" i="3"/>
  <c r="K7" i="3"/>
  <c r="J7" i="3"/>
  <c r="I7" i="3"/>
  <c r="H7" i="3"/>
  <c r="T6" i="3"/>
  <c r="S6" i="3"/>
  <c r="R6" i="3"/>
  <c r="I76" i="3" s="1"/>
  <c r="L76" i="3" s="1"/>
  <c r="Q6" i="3"/>
  <c r="I74" i="3" s="1"/>
  <c r="P6" i="3"/>
  <c r="O6" i="3"/>
  <c r="I68" i="3" s="1"/>
  <c r="N6" i="3"/>
  <c r="I67" i="3" s="1"/>
  <c r="M6" i="3"/>
  <c r="I66" i="3" s="1"/>
  <c r="L6" i="3"/>
  <c r="K6" i="3"/>
  <c r="J6" i="3"/>
  <c r="I6" i="3"/>
  <c r="H6" i="3"/>
  <c r="T5" i="3"/>
  <c r="I79" i="3" s="1"/>
  <c r="S5" i="3"/>
  <c r="R5" i="3"/>
  <c r="I77" i="3" s="1"/>
  <c r="Q5" i="3"/>
  <c r="P5" i="3"/>
  <c r="I72" i="3" s="1"/>
  <c r="O5" i="3"/>
  <c r="N5" i="3"/>
  <c r="M5" i="3"/>
  <c r="L5" i="3"/>
  <c r="K5" i="3"/>
  <c r="J5" i="3"/>
  <c r="I5" i="3"/>
  <c r="H5" i="3"/>
  <c r="F3" i="3"/>
  <c r="K57" i="3" s="1"/>
  <c r="E119" i="2"/>
  <c r="F116" i="2"/>
  <c r="I117" i="2" s="1"/>
  <c r="I112" i="2"/>
  <c r="H112" i="2"/>
  <c r="F112" i="2"/>
  <c r="F111" i="2"/>
  <c r="I110" i="2"/>
  <c r="F110" i="2"/>
  <c r="F109" i="2"/>
  <c r="I106" i="2"/>
  <c r="F105" i="2"/>
  <c r="H103" i="2"/>
  <c r="F103" i="2"/>
  <c r="I103" i="2" s="1"/>
  <c r="F102" i="2"/>
  <c r="D95" i="2"/>
  <c r="I86" i="2"/>
  <c r="H86" i="2"/>
  <c r="I85" i="2"/>
  <c r="H85" i="2"/>
  <c r="I84" i="2"/>
  <c r="H84" i="2"/>
  <c r="I83" i="2"/>
  <c r="H83" i="2"/>
  <c r="I82" i="2"/>
  <c r="H82" i="2"/>
  <c r="F78" i="2"/>
  <c r="D71" i="2"/>
  <c r="I42" i="2"/>
  <c r="H42" i="2"/>
  <c r="F42" i="2"/>
  <c r="I41" i="2"/>
  <c r="H41" i="2"/>
  <c r="G41" i="2"/>
  <c r="F41" i="2"/>
  <c r="J40" i="2"/>
  <c r="I40" i="2"/>
  <c r="H40" i="2"/>
  <c r="F113" i="2" s="1"/>
  <c r="G40" i="2"/>
  <c r="F40" i="2"/>
  <c r="J39" i="2"/>
  <c r="I39" i="2"/>
  <c r="F114" i="2" s="1"/>
  <c r="H39" i="2"/>
  <c r="G39" i="2"/>
  <c r="F39" i="2"/>
  <c r="F106" i="2" s="1"/>
  <c r="H106" i="2" s="1"/>
  <c r="K38" i="2"/>
  <c r="J38" i="2"/>
  <c r="I38" i="2"/>
  <c r="H38" i="2"/>
  <c r="G38" i="2"/>
  <c r="F38" i="2"/>
  <c r="F108" i="2" s="1"/>
  <c r="K37" i="2"/>
  <c r="F117" i="2" s="1"/>
  <c r="J37" i="2"/>
  <c r="I37" i="2"/>
  <c r="F115" i="2" s="1"/>
  <c r="H37" i="2"/>
  <c r="G37" i="2"/>
  <c r="F107" i="2" s="1"/>
  <c r="F37" i="2"/>
  <c r="F79" i="2" s="1"/>
  <c r="D35" i="2"/>
  <c r="BP140" i="1"/>
  <c r="BS140" i="1" s="1"/>
  <c r="BP139" i="1"/>
  <c r="DU135" i="1"/>
  <c r="BP132" i="1"/>
  <c r="BS132" i="1" s="1"/>
  <c r="BP130" i="1"/>
  <c r="DV129" i="1"/>
  <c r="BP129" i="1"/>
  <c r="BR129" i="1" s="1"/>
  <c r="BS127" i="1"/>
  <c r="BP127" i="1"/>
  <c r="BP126" i="1"/>
  <c r="BS126" i="1" s="1"/>
  <c r="GZ125" i="1"/>
  <c r="DV124" i="1"/>
  <c r="BP124" i="1"/>
  <c r="BS124" i="1" s="1"/>
  <c r="HD123" i="1"/>
  <c r="HA123" i="1"/>
  <c r="BP123" i="1"/>
  <c r="CF122" i="1"/>
  <c r="HA121" i="1"/>
  <c r="HD121" i="1" s="1"/>
  <c r="GB121" i="1"/>
  <c r="FD121" i="1"/>
  <c r="DX121" i="1"/>
  <c r="DV119" i="1"/>
  <c r="CG119" i="1"/>
  <c r="HA117" i="1"/>
  <c r="GC117" i="1"/>
  <c r="FH117" i="1"/>
  <c r="DV117" i="1"/>
  <c r="BN117" i="1"/>
  <c r="GC115" i="1"/>
  <c r="GF115" i="1" s="1"/>
  <c r="DV115" i="1"/>
  <c r="GC114" i="1"/>
  <c r="GF114" i="1" s="1"/>
  <c r="GC113" i="1"/>
  <c r="FE113" i="1"/>
  <c r="CG113" i="1"/>
  <c r="DV112" i="1"/>
  <c r="DY112" i="1" s="1"/>
  <c r="GE111" i="1"/>
  <c r="GC111" i="1"/>
  <c r="FE111" i="1"/>
  <c r="CX111" i="1"/>
  <c r="HA110" i="1"/>
  <c r="GC110" i="1"/>
  <c r="DV110" i="1"/>
  <c r="DX110" i="1" s="1"/>
  <c r="CY109" i="1"/>
  <c r="DB109" i="1" s="1"/>
  <c r="GZ108" i="1"/>
  <c r="GC108" i="1"/>
  <c r="CG108" i="1"/>
  <c r="BP108" i="1"/>
  <c r="GZ107" i="1"/>
  <c r="GC107" i="1"/>
  <c r="BS107" i="1"/>
  <c r="BP107" i="1"/>
  <c r="BO107" i="1"/>
  <c r="BN107" i="1"/>
  <c r="CJ106" i="1"/>
  <c r="CI106" i="1"/>
  <c r="CG106" i="1"/>
  <c r="BQ106" i="1"/>
  <c r="BP106" i="1"/>
  <c r="BO106" i="1"/>
  <c r="BN106" i="1"/>
  <c r="CG105" i="1"/>
  <c r="BQ105" i="1"/>
  <c r="BP138" i="1" s="1"/>
  <c r="BS139" i="1" s="1"/>
  <c r="BP105" i="1"/>
  <c r="BO105" i="1"/>
  <c r="BN105" i="1"/>
  <c r="GC104" i="1"/>
  <c r="GB104" i="1"/>
  <c r="FD104" i="1"/>
  <c r="BS104" i="1"/>
  <c r="BR104" i="1"/>
  <c r="BQ104" i="1"/>
  <c r="BP104" i="1"/>
  <c r="BP134" i="1" s="1"/>
  <c r="BO104" i="1"/>
  <c r="BN104" i="1"/>
  <c r="GB103" i="1"/>
  <c r="FD103" i="1"/>
  <c r="BS103" i="1"/>
  <c r="BP142" i="1" s="1"/>
  <c r="BR103" i="1"/>
  <c r="BQ103" i="1"/>
  <c r="BP137" i="1" s="1"/>
  <c r="BP103" i="1"/>
  <c r="BO103" i="1"/>
  <c r="BP131" i="1" s="1"/>
  <c r="BN103" i="1"/>
  <c r="CY102" i="1"/>
  <c r="DA103" i="1" s="1"/>
  <c r="BT102" i="1"/>
  <c r="BS102" i="1"/>
  <c r="BR102" i="1"/>
  <c r="BQ102" i="1"/>
  <c r="BP136" i="1" s="1"/>
  <c r="BP102" i="1"/>
  <c r="BO102" i="1"/>
  <c r="BN102" i="1"/>
  <c r="CY101" i="1"/>
  <c r="BU101" i="1"/>
  <c r="BT101" i="1"/>
  <c r="BP143" i="1" s="1"/>
  <c r="BS101" i="1"/>
  <c r="BR101" i="1"/>
  <c r="BP141" i="1" s="1"/>
  <c r="BQ101" i="1"/>
  <c r="BP135" i="1" s="1"/>
  <c r="BP101" i="1"/>
  <c r="BP133" i="1" s="1"/>
  <c r="BO101" i="1"/>
  <c r="BP128" i="1" s="1"/>
  <c r="BR128" i="1" s="1"/>
  <c r="BN101" i="1"/>
  <c r="BP125" i="1" s="1"/>
  <c r="BS125" i="1" s="1"/>
  <c r="BL99" i="1"/>
  <c r="CE98" i="1"/>
  <c r="DB97" i="1"/>
  <c r="DA97" i="1"/>
  <c r="CY96" i="1"/>
  <c r="CY95" i="1"/>
  <c r="CW87" i="1" s="1"/>
  <c r="BP88" i="1"/>
  <c r="CY87" i="1"/>
  <c r="CJ86" i="1"/>
  <c r="CI86" i="1"/>
  <c r="BP86" i="1"/>
  <c r="CJ85" i="1"/>
  <c r="CI85" i="1"/>
  <c r="CJ84" i="1"/>
  <c r="CI84" i="1"/>
  <c r="BP84" i="1"/>
  <c r="CJ83" i="1"/>
  <c r="CI83" i="1"/>
  <c r="CJ82" i="1"/>
  <c r="CI82" i="1"/>
  <c r="BP82" i="1"/>
  <c r="BS82" i="1" s="1"/>
  <c r="CG79" i="1"/>
  <c r="CJ79" i="1" s="1"/>
  <c r="CG78" i="1"/>
  <c r="CI79" i="1" s="1"/>
  <c r="BS78" i="1"/>
  <c r="BS77" i="1"/>
  <c r="BR77" i="1"/>
  <c r="BP76" i="1"/>
  <c r="BP74" i="1"/>
  <c r="BS74" i="1" s="1"/>
  <c r="BP73" i="1"/>
  <c r="CE71" i="1"/>
  <c r="BN67" i="1"/>
  <c r="BP58" i="1"/>
  <c r="EM57" i="1"/>
  <c r="EL57" i="1"/>
  <c r="EK57" i="1"/>
  <c r="EJ57" i="1"/>
  <c r="EI57" i="1"/>
  <c r="BP57" i="1"/>
  <c r="BO57" i="1"/>
  <c r="HH56" i="1"/>
  <c r="GH56" i="1"/>
  <c r="FJ56" i="1"/>
  <c r="FE110" i="1" s="1"/>
  <c r="EG56" i="1"/>
  <c r="EB56" i="1"/>
  <c r="DV111" i="1" s="1"/>
  <c r="DD56" i="1"/>
  <c r="CY100" i="1" s="1"/>
  <c r="BQ56" i="1"/>
  <c r="BP56" i="1"/>
  <c r="BO56" i="1"/>
  <c r="BP83" i="1" s="1"/>
  <c r="BN56" i="1"/>
  <c r="HI55" i="1"/>
  <c r="HH55" i="1"/>
  <c r="HD55" i="1"/>
  <c r="GK55" i="1"/>
  <c r="GJ55" i="1"/>
  <c r="GH55" i="1"/>
  <c r="FM55" i="1"/>
  <c r="FL55" i="1"/>
  <c r="FJ55" i="1"/>
  <c r="EE55" i="1"/>
  <c r="EB55" i="1"/>
  <c r="DV113" i="1" s="1"/>
  <c r="DY113" i="1" s="1"/>
  <c r="DD55" i="1"/>
  <c r="BQ55" i="1"/>
  <c r="BP55" i="1"/>
  <c r="BO55" i="1"/>
  <c r="BN55" i="1"/>
  <c r="GH54" i="1"/>
  <c r="FJ54" i="1"/>
  <c r="EK54" i="1"/>
  <c r="EB54" i="1"/>
  <c r="DD54" i="1"/>
  <c r="BS54" i="1"/>
  <c r="BP91" i="1" s="1"/>
  <c r="BR54" i="1"/>
  <c r="BQ54" i="1"/>
  <c r="BP54" i="1"/>
  <c r="BP85" i="1" s="1"/>
  <c r="BO54" i="1"/>
  <c r="BN54" i="1"/>
  <c r="HF53" i="1"/>
  <c r="HB53" i="1"/>
  <c r="GZ53" i="1"/>
  <c r="GH53" i="1"/>
  <c r="GD53" i="1"/>
  <c r="GB53" i="1"/>
  <c r="FJ53" i="1"/>
  <c r="FF53" i="1"/>
  <c r="FD53" i="1"/>
  <c r="EK53" i="1"/>
  <c r="EB53" i="1"/>
  <c r="DY53" i="1"/>
  <c r="DX53" i="1"/>
  <c r="DV53" i="1"/>
  <c r="DD53" i="1"/>
  <c r="DA53" i="1"/>
  <c r="CZ53" i="1"/>
  <c r="CX53" i="1"/>
  <c r="BS53" i="1"/>
  <c r="BP90" i="1" s="1"/>
  <c r="BR53" i="1"/>
  <c r="BQ53" i="1"/>
  <c r="BP53" i="1"/>
  <c r="BO53" i="1"/>
  <c r="BP80" i="1" s="1"/>
  <c r="BN53" i="1"/>
  <c r="BP77" i="1" s="1"/>
  <c r="HI52" i="1"/>
  <c r="HH52" i="1"/>
  <c r="HF52" i="1"/>
  <c r="HB52" i="1"/>
  <c r="HA52" i="1"/>
  <c r="GZ52" i="1"/>
  <c r="GK52" i="1"/>
  <c r="GH52" i="1"/>
  <c r="GE52" i="1"/>
  <c r="GD52" i="1"/>
  <c r="GC52" i="1"/>
  <c r="GB52" i="1"/>
  <c r="FM52" i="1"/>
  <c r="FJ52" i="1"/>
  <c r="FF52" i="1"/>
  <c r="FE52" i="1"/>
  <c r="FD52" i="1"/>
  <c r="EN52" i="1"/>
  <c r="EM52" i="1"/>
  <c r="EL52" i="1"/>
  <c r="EK52" i="1"/>
  <c r="DV123" i="1" s="1"/>
  <c r="DY123" i="1" s="1"/>
  <c r="EE52" i="1"/>
  <c r="EB52" i="1"/>
  <c r="DY52" i="1"/>
  <c r="DX52" i="1"/>
  <c r="DW52" i="1"/>
  <c r="DV52" i="1"/>
  <c r="DG52" i="1"/>
  <c r="DD52" i="1"/>
  <c r="CY103" i="1" s="1"/>
  <c r="DB103" i="1" s="1"/>
  <c r="DA52" i="1"/>
  <c r="CZ52" i="1"/>
  <c r="CY52" i="1"/>
  <c r="CX52" i="1"/>
  <c r="BT52" i="1"/>
  <c r="BS52" i="1"/>
  <c r="BR52" i="1"/>
  <c r="BQ52" i="1"/>
  <c r="BP87" i="1" s="1"/>
  <c r="BP52" i="1"/>
  <c r="BO52" i="1"/>
  <c r="BP81" i="1" s="1"/>
  <c r="BN52" i="1"/>
  <c r="BP79" i="1" s="1"/>
  <c r="HF51" i="1"/>
  <c r="HA113" i="1" s="1"/>
  <c r="HB51" i="1"/>
  <c r="HA51" i="1"/>
  <c r="GZ51" i="1"/>
  <c r="GH51" i="1"/>
  <c r="GC109" i="1" s="1"/>
  <c r="GF51" i="1"/>
  <c r="GC105" i="1" s="1"/>
  <c r="GD51" i="1"/>
  <c r="GC51" i="1"/>
  <c r="GB51" i="1"/>
  <c r="FJ51" i="1"/>
  <c r="FE109" i="1" s="1"/>
  <c r="FH51" i="1"/>
  <c r="FE105" i="1" s="1"/>
  <c r="FF51" i="1"/>
  <c r="FE51" i="1"/>
  <c r="FD51" i="1"/>
  <c r="EH51" i="1"/>
  <c r="EB51" i="1"/>
  <c r="DZ51" i="1"/>
  <c r="DV107" i="1" s="1"/>
  <c r="DT100" i="1" s="1"/>
  <c r="DY51" i="1"/>
  <c r="DX51" i="1"/>
  <c r="DW51" i="1"/>
  <c r="DV51" i="1"/>
  <c r="DD51" i="1"/>
  <c r="CY99" i="1" s="1"/>
  <c r="DB51" i="1"/>
  <c r="DA51" i="1"/>
  <c r="CZ51" i="1"/>
  <c r="CY51" i="1"/>
  <c r="CX51" i="1"/>
  <c r="BU51" i="1"/>
  <c r="BP93" i="1" s="1"/>
  <c r="BT51" i="1"/>
  <c r="BP92" i="1" s="1"/>
  <c r="BR92" i="1" s="1"/>
  <c r="BS51" i="1"/>
  <c r="BR51" i="1"/>
  <c r="BP89" i="1" s="1"/>
  <c r="BQ51" i="1"/>
  <c r="BP51" i="1"/>
  <c r="BO51" i="1"/>
  <c r="BP78" i="1" s="1"/>
  <c r="BN51" i="1"/>
  <c r="BP75" i="1" s="1"/>
  <c r="HH50" i="1"/>
  <c r="HF50" i="1"/>
  <c r="HE50" i="1"/>
  <c r="HC50" i="1"/>
  <c r="HB50" i="1"/>
  <c r="HA50" i="1"/>
  <c r="GZ50" i="1"/>
  <c r="GJ50" i="1"/>
  <c r="GH50" i="1"/>
  <c r="GG50" i="1"/>
  <c r="GF50" i="1"/>
  <c r="GE53" i="1" s="1"/>
  <c r="GE50" i="1"/>
  <c r="GD50" i="1"/>
  <c r="GC50" i="1"/>
  <c r="GB50" i="1"/>
  <c r="FL50" i="1"/>
  <c r="FJ50" i="1"/>
  <c r="FI50" i="1"/>
  <c r="FH50" i="1"/>
  <c r="FG50" i="1"/>
  <c r="FF50" i="1"/>
  <c r="FE50" i="1"/>
  <c r="FG53" i="1" s="1"/>
  <c r="FD50" i="1"/>
  <c r="EK50" i="1"/>
  <c r="EJ50" i="1"/>
  <c r="EI50" i="1"/>
  <c r="DV127" i="1" s="1"/>
  <c r="EH50" i="1"/>
  <c r="DV131" i="1" s="1"/>
  <c r="ED50" i="1"/>
  <c r="EB50" i="1"/>
  <c r="EA50" i="1"/>
  <c r="DZ50" i="1"/>
  <c r="DY50" i="1"/>
  <c r="DX50" i="1"/>
  <c r="DW50" i="1"/>
  <c r="DV50" i="1"/>
  <c r="DF50" i="1"/>
  <c r="DD50" i="1"/>
  <c r="DC50" i="1"/>
  <c r="DB50" i="1"/>
  <c r="DA50" i="1"/>
  <c r="CZ50" i="1"/>
  <c r="CY50" i="1"/>
  <c r="CX50" i="1"/>
  <c r="HL49" i="1"/>
  <c r="HK49" i="1"/>
  <c r="HJ49" i="1"/>
  <c r="HA120" i="1" s="1"/>
  <c r="HI49" i="1"/>
  <c r="HA118" i="1" s="1"/>
  <c r="HH49" i="1"/>
  <c r="HG49" i="1"/>
  <c r="HA112" i="1" s="1"/>
  <c r="HF49" i="1"/>
  <c r="HA111" i="1" s="1"/>
  <c r="HE49" i="1"/>
  <c r="HD49" i="1"/>
  <c r="HC49" i="1"/>
  <c r="HF55" i="1" s="1"/>
  <c r="HA115" i="1" s="1"/>
  <c r="HB49" i="1"/>
  <c r="HA49" i="1"/>
  <c r="HC52" i="1" s="1"/>
  <c r="GZ49" i="1"/>
  <c r="HD51" i="1" s="1"/>
  <c r="GN49" i="1"/>
  <c r="GM49" i="1"/>
  <c r="GL49" i="1"/>
  <c r="GC116" i="1" s="1"/>
  <c r="GK49" i="1"/>
  <c r="GJ49" i="1"/>
  <c r="GI49" i="1"/>
  <c r="GH49" i="1"/>
  <c r="GG49" i="1"/>
  <c r="GC106" i="1" s="1"/>
  <c r="GF49" i="1"/>
  <c r="GE49" i="1"/>
  <c r="GD49" i="1"/>
  <c r="GC49" i="1"/>
  <c r="GB49" i="1"/>
  <c r="FP49" i="1"/>
  <c r="FO49" i="1"/>
  <c r="FN49" i="1"/>
  <c r="FE116" i="1" s="1"/>
  <c r="FH116" i="1" s="1"/>
  <c r="FM49" i="1"/>
  <c r="FE114" i="1" s="1"/>
  <c r="FL49" i="1"/>
  <c r="FK49" i="1"/>
  <c r="FE108" i="1" s="1"/>
  <c r="FJ49" i="1"/>
  <c r="FE107" i="1" s="1"/>
  <c r="FI49" i="1"/>
  <c r="FE106" i="1" s="1"/>
  <c r="FH49" i="1"/>
  <c r="FG49" i="1"/>
  <c r="FF49" i="1"/>
  <c r="FG52" i="1" s="1"/>
  <c r="FE49" i="1"/>
  <c r="FD49" i="1"/>
  <c r="EN49" i="1"/>
  <c r="EM49" i="1"/>
  <c r="EL49" i="1"/>
  <c r="EK49" i="1"/>
  <c r="DV128" i="1" s="1"/>
  <c r="EJ49" i="1"/>
  <c r="DV130" i="1" s="1"/>
  <c r="EI49" i="1"/>
  <c r="DV125" i="1" s="1"/>
  <c r="DX125" i="1" s="1"/>
  <c r="EH49" i="1"/>
  <c r="EG49" i="1"/>
  <c r="EF49" i="1"/>
  <c r="DV118" i="1" s="1"/>
  <c r="DY118" i="1" s="1"/>
  <c r="EE49" i="1"/>
  <c r="DV116" i="1" s="1"/>
  <c r="ED49" i="1"/>
  <c r="EC49" i="1"/>
  <c r="EB49" i="1"/>
  <c r="DV109" i="1" s="1"/>
  <c r="EA49" i="1"/>
  <c r="DV108" i="1" s="1"/>
  <c r="DZ49" i="1"/>
  <c r="DY49" i="1"/>
  <c r="DX49" i="1"/>
  <c r="DW49" i="1"/>
  <c r="DV49" i="1"/>
  <c r="DJ49" i="1"/>
  <c r="DI49" i="1"/>
  <c r="DH49" i="1"/>
  <c r="CY106" i="1" s="1"/>
  <c r="DG49" i="1"/>
  <c r="CY104" i="1" s="1"/>
  <c r="DF49" i="1"/>
  <c r="DE49" i="1"/>
  <c r="CY98" i="1" s="1"/>
  <c r="DD49" i="1"/>
  <c r="CY97" i="1" s="1"/>
  <c r="DC49" i="1"/>
  <c r="DB49" i="1"/>
  <c r="DA49" i="1"/>
  <c r="CZ49" i="1"/>
  <c r="CY49" i="1"/>
  <c r="CX49" i="1"/>
  <c r="BL49" i="1"/>
  <c r="HL48" i="1"/>
  <c r="HK48" i="1"/>
  <c r="HA122" i="1" s="1"/>
  <c r="HD122" i="1" s="1"/>
  <c r="HJ48" i="1"/>
  <c r="HI48" i="1"/>
  <c r="HA119" i="1" s="1"/>
  <c r="HH48" i="1"/>
  <c r="HA116" i="1" s="1"/>
  <c r="HG48" i="1"/>
  <c r="HF48" i="1"/>
  <c r="HE48" i="1"/>
  <c r="HF54" i="1" s="1"/>
  <c r="HD48" i="1"/>
  <c r="HC48" i="1"/>
  <c r="HB48" i="1"/>
  <c r="HA48" i="1"/>
  <c r="HC51" i="1" s="1"/>
  <c r="GZ48" i="1"/>
  <c r="GN48" i="1"/>
  <c r="GC119" i="1" s="1"/>
  <c r="GM48" i="1"/>
  <c r="GC118" i="1" s="1"/>
  <c r="GL48" i="1"/>
  <c r="GK48" i="1"/>
  <c r="GJ48" i="1"/>
  <c r="GC112" i="1" s="1"/>
  <c r="GI48" i="1"/>
  <c r="GH48" i="1"/>
  <c r="GG48" i="1"/>
  <c r="GF48" i="1"/>
  <c r="GE48" i="1"/>
  <c r="GD48" i="1"/>
  <c r="GE51" i="1" s="1"/>
  <c r="GC48" i="1"/>
  <c r="GB48" i="1"/>
  <c r="FP48" i="1"/>
  <c r="FE119" i="1" s="1"/>
  <c r="FO48" i="1"/>
  <c r="FE118" i="1" s="1"/>
  <c r="FH118" i="1" s="1"/>
  <c r="FN48" i="1"/>
  <c r="FE117" i="1" s="1"/>
  <c r="FG117" i="1" s="1"/>
  <c r="FM48" i="1"/>
  <c r="FE115" i="1" s="1"/>
  <c r="FL48" i="1"/>
  <c r="FE112" i="1" s="1"/>
  <c r="FK48" i="1"/>
  <c r="FJ48" i="1"/>
  <c r="FI48" i="1"/>
  <c r="FH48" i="1"/>
  <c r="FG48" i="1"/>
  <c r="FF48" i="1"/>
  <c r="FE48" i="1"/>
  <c r="FD48" i="1"/>
  <c r="EN48" i="1"/>
  <c r="DV133" i="1" s="1"/>
  <c r="DY133" i="1" s="1"/>
  <c r="EM48" i="1"/>
  <c r="DV132" i="1" s="1"/>
  <c r="DX132" i="1" s="1"/>
  <c r="EL48" i="1"/>
  <c r="EK48" i="1"/>
  <c r="DV126" i="1" s="1"/>
  <c r="EJ48" i="1"/>
  <c r="EI48" i="1"/>
  <c r="DV122" i="1" s="1"/>
  <c r="EH48" i="1"/>
  <c r="DV121" i="1" s="1"/>
  <c r="EG48" i="1"/>
  <c r="DV120" i="1" s="1"/>
  <c r="DY120" i="1" s="1"/>
  <c r="EF48" i="1"/>
  <c r="EE48" i="1"/>
  <c r="ED48" i="1"/>
  <c r="DV114" i="1" s="1"/>
  <c r="DX114" i="1" s="1"/>
  <c r="EC48" i="1"/>
  <c r="EB48" i="1"/>
  <c r="EA48" i="1"/>
  <c r="DZ48" i="1"/>
  <c r="DY48" i="1"/>
  <c r="DX48" i="1"/>
  <c r="DW48" i="1"/>
  <c r="DV48" i="1"/>
  <c r="DJ48" i="1"/>
  <c r="DI48" i="1"/>
  <c r="CY108" i="1" s="1"/>
  <c r="DH48" i="1"/>
  <c r="CY107" i="1" s="1"/>
  <c r="DG48" i="1"/>
  <c r="CY105" i="1" s="1"/>
  <c r="DF48" i="1"/>
  <c r="DE48" i="1"/>
  <c r="DD48" i="1"/>
  <c r="DC48" i="1"/>
  <c r="DB48" i="1"/>
  <c r="DA48" i="1"/>
  <c r="CZ48" i="1"/>
  <c r="CY48" i="1"/>
  <c r="CX48" i="1"/>
  <c r="GX46" i="1"/>
  <c r="HC100" i="1" s="1"/>
  <c r="FZ46" i="1"/>
  <c r="GE96" i="1" s="1"/>
  <c r="FB46" i="1"/>
  <c r="FG96" i="1" s="1"/>
  <c r="DT46" i="1"/>
  <c r="CV46" i="1"/>
  <c r="DA87" i="1" s="1"/>
  <c r="BN46" i="1"/>
  <c r="BN45" i="1"/>
  <c r="BO44" i="1"/>
  <c r="BN44" i="1"/>
  <c r="BP43" i="1"/>
  <c r="BO43" i="1"/>
  <c r="BN43" i="1"/>
  <c r="CJ42" i="1"/>
  <c r="CI42" i="1"/>
  <c r="CG115" i="1" s="1"/>
  <c r="CG42" i="1"/>
  <c r="BT42" i="1"/>
  <c r="BS42" i="1"/>
  <c r="BR42" i="1"/>
  <c r="BQ42" i="1"/>
  <c r="BP42" i="1"/>
  <c r="BO42" i="1"/>
  <c r="BN42" i="1"/>
  <c r="CJ41" i="1"/>
  <c r="CI41" i="1"/>
  <c r="CH41" i="1"/>
  <c r="CG41" i="1"/>
  <c r="BU41" i="1"/>
  <c r="BT41" i="1"/>
  <c r="BS41" i="1"/>
  <c r="BR41" i="1"/>
  <c r="BQ41" i="1"/>
  <c r="BP41" i="1"/>
  <c r="BO41" i="1"/>
  <c r="BN41" i="1"/>
  <c r="CK40" i="1"/>
  <c r="CJ40" i="1"/>
  <c r="CI40" i="1"/>
  <c r="CG116" i="1" s="1"/>
  <c r="CH40" i="1"/>
  <c r="CG112" i="1" s="1"/>
  <c r="HA107" i="1" s="1"/>
  <c r="CG40" i="1"/>
  <c r="CK39" i="1"/>
  <c r="CJ39" i="1"/>
  <c r="CG117" i="1" s="1"/>
  <c r="CJ117" i="1" s="1"/>
  <c r="CI39" i="1"/>
  <c r="CH39" i="1"/>
  <c r="CG114" i="1" s="1"/>
  <c r="CJ114" i="1" s="1"/>
  <c r="CG39" i="1"/>
  <c r="CG109" i="1" s="1"/>
  <c r="CI109" i="1" s="1"/>
  <c r="BL39" i="1"/>
  <c r="CL38" i="1"/>
  <c r="CK38" i="1"/>
  <c r="CJ38" i="1"/>
  <c r="CI38" i="1"/>
  <c r="CH38" i="1"/>
  <c r="CG38" i="1"/>
  <c r="CG111" i="1" s="1"/>
  <c r="CL37" i="1"/>
  <c r="CG120" i="1" s="1"/>
  <c r="CK37" i="1"/>
  <c r="CJ37" i="1"/>
  <c r="CG118" i="1" s="1"/>
  <c r="CI37" i="1"/>
  <c r="CH37" i="1"/>
  <c r="CG37" i="1"/>
  <c r="CG107" i="1" s="1"/>
  <c r="CI107" i="1" s="1"/>
  <c r="CE35" i="1"/>
  <c r="BN34" i="1"/>
  <c r="BN33" i="1"/>
  <c r="BO32" i="1"/>
  <c r="BN32" i="1"/>
  <c r="BP31" i="1"/>
  <c r="BO31" i="1"/>
  <c r="BN31" i="1"/>
  <c r="BT30" i="1"/>
  <c r="BS30" i="1"/>
  <c r="BR30" i="1"/>
  <c r="BQ30" i="1"/>
  <c r="BP30" i="1"/>
  <c r="BO30" i="1"/>
  <c r="BN30" i="1"/>
  <c r="BU29" i="1"/>
  <c r="BT29" i="1"/>
  <c r="BS29" i="1"/>
  <c r="BR29" i="1"/>
  <c r="BQ29" i="1"/>
  <c r="BP29" i="1"/>
  <c r="BO29" i="1"/>
  <c r="BN29" i="1"/>
  <c r="BL27" i="1"/>
  <c r="BN23" i="1"/>
  <c r="BN22" i="1"/>
  <c r="BO21" i="1"/>
  <c r="BN21" i="1"/>
  <c r="BP20" i="1"/>
  <c r="BO20" i="1"/>
  <c r="BN20" i="1"/>
  <c r="BT19" i="1"/>
  <c r="BS19" i="1"/>
  <c r="BR19" i="1"/>
  <c r="BQ19" i="1"/>
  <c r="BP19" i="1"/>
  <c r="BO19" i="1"/>
  <c r="BN19" i="1"/>
  <c r="BU18" i="1"/>
  <c r="BT18" i="1"/>
  <c r="BS18" i="1"/>
  <c r="BR18" i="1"/>
  <c r="BQ18" i="1"/>
  <c r="BP18" i="1"/>
  <c r="BO18" i="1"/>
  <c r="BN18" i="1"/>
  <c r="BL16" i="1"/>
  <c r="DX116" i="1" l="1"/>
  <c r="DY116" i="1"/>
  <c r="G87" i="5"/>
  <c r="G88" i="5"/>
  <c r="H87" i="5"/>
  <c r="GF116" i="1"/>
  <c r="GE116" i="1"/>
  <c r="F81" i="4"/>
  <c r="G81" i="4"/>
  <c r="DB98" i="1"/>
  <c r="DA98" i="1"/>
  <c r="FH107" i="1"/>
  <c r="FG107" i="1"/>
  <c r="I107" i="2"/>
  <c r="H107" i="2"/>
  <c r="BS85" i="1"/>
  <c r="BR85" i="1"/>
  <c r="H88" i="5"/>
  <c r="FG114" i="1"/>
  <c r="FH114" i="1"/>
  <c r="CI115" i="1"/>
  <c r="CJ115" i="1"/>
  <c r="L79" i="3"/>
  <c r="K79" i="3"/>
  <c r="L73" i="3"/>
  <c r="K73" i="3"/>
  <c r="F97" i="4"/>
  <c r="G97" i="4"/>
  <c r="FG108" i="1"/>
  <c r="FH108" i="1"/>
  <c r="FH110" i="1"/>
  <c r="FG110" i="1"/>
  <c r="DB104" i="1"/>
  <c r="DA104" i="1"/>
  <c r="HD116" i="1"/>
  <c r="HC116" i="1"/>
  <c r="H108" i="2"/>
  <c r="I108" i="2"/>
  <c r="BS134" i="1"/>
  <c r="BR134" i="1"/>
  <c r="F100" i="4"/>
  <c r="G101" i="4"/>
  <c r="G100" i="4"/>
  <c r="I113" i="2"/>
  <c r="H113" i="2"/>
  <c r="DA106" i="1"/>
  <c r="DB106" i="1"/>
  <c r="HD119" i="1"/>
  <c r="HC119" i="1"/>
  <c r="GF117" i="1"/>
  <c r="HD117" i="1"/>
  <c r="DY128" i="1"/>
  <c r="DX128" i="1"/>
  <c r="BR80" i="1"/>
  <c r="BS80" i="1"/>
  <c r="FH111" i="1"/>
  <c r="FH112" i="1"/>
  <c r="FG112" i="1"/>
  <c r="HC111" i="1"/>
  <c r="HC112" i="1"/>
  <c r="HD111" i="1"/>
  <c r="GE109" i="1"/>
  <c r="GF109" i="1"/>
  <c r="BS93" i="1"/>
  <c r="BR93" i="1"/>
  <c r="GF112" i="1"/>
  <c r="GE112" i="1"/>
  <c r="GE113" i="1"/>
  <c r="FH115" i="1"/>
  <c r="FG115" i="1"/>
  <c r="BR83" i="1"/>
  <c r="BS83" i="1"/>
  <c r="L67" i="3"/>
  <c r="K67" i="3"/>
  <c r="K71" i="3"/>
  <c r="L71" i="3"/>
  <c r="L72" i="3"/>
  <c r="K72" i="3"/>
  <c r="DY131" i="1"/>
  <c r="DX131" i="1"/>
  <c r="F91" i="4"/>
  <c r="G91" i="4"/>
  <c r="BS87" i="1"/>
  <c r="BS88" i="1"/>
  <c r="BR88" i="1"/>
  <c r="BR87" i="1"/>
  <c r="DB99" i="1"/>
  <c r="DA99" i="1"/>
  <c r="DX122" i="1"/>
  <c r="DY122" i="1"/>
  <c r="K68" i="3"/>
  <c r="L69" i="3"/>
  <c r="L68" i="3"/>
  <c r="G80" i="4"/>
  <c r="F80" i="4"/>
  <c r="H126" i="6"/>
  <c r="I126" i="6"/>
  <c r="BS89" i="1"/>
  <c r="BR89" i="1"/>
  <c r="FC96" i="1"/>
  <c r="FE96" i="1"/>
  <c r="FH106" i="1"/>
  <c r="FG106" i="1"/>
  <c r="HA109" i="1"/>
  <c r="GC96" i="1"/>
  <c r="GA96" i="1"/>
  <c r="GF118" i="1"/>
  <c r="GE118" i="1"/>
  <c r="DB105" i="1"/>
  <c r="DA105" i="1"/>
  <c r="CI118" i="1"/>
  <c r="FE103" i="1"/>
  <c r="GC103" i="1"/>
  <c r="CJ118" i="1"/>
  <c r="DA107" i="1"/>
  <c r="DB107" i="1"/>
  <c r="DY108" i="1"/>
  <c r="DX108" i="1"/>
  <c r="DY109" i="1"/>
  <c r="DX109" i="1"/>
  <c r="DY110" i="1"/>
  <c r="HC118" i="1"/>
  <c r="HD118" i="1"/>
  <c r="BR133" i="1"/>
  <c r="BS133" i="1"/>
  <c r="BS131" i="1"/>
  <c r="BR131" i="1"/>
  <c r="BR132" i="1"/>
  <c r="GE107" i="1"/>
  <c r="FH113" i="1"/>
  <c r="K69" i="3"/>
  <c r="G84" i="4"/>
  <c r="F84" i="4"/>
  <c r="H85" i="5"/>
  <c r="G85" i="5"/>
  <c r="GF106" i="1"/>
  <c r="GE106" i="1"/>
  <c r="GF107" i="1"/>
  <c r="CI116" i="1"/>
  <c r="DB108" i="1"/>
  <c r="CJ120" i="1"/>
  <c r="CI120" i="1"/>
  <c r="DY126" i="1"/>
  <c r="DX126" i="1"/>
  <c r="HC120" i="1"/>
  <c r="HD120" i="1"/>
  <c r="HC113" i="1"/>
  <c r="HD113" i="1"/>
  <c r="DA100" i="1"/>
  <c r="DB100" i="1"/>
  <c r="BS135" i="1"/>
  <c r="BR135" i="1"/>
  <c r="BR136" i="1"/>
  <c r="GF113" i="1"/>
  <c r="I114" i="2"/>
  <c r="H114" i="2"/>
  <c r="L74" i="3"/>
  <c r="K74" i="3"/>
  <c r="L75" i="3"/>
  <c r="G57" i="3"/>
  <c r="I57" i="3"/>
  <c r="F87" i="4"/>
  <c r="G87" i="4"/>
  <c r="G88" i="4"/>
  <c r="F88" i="4"/>
  <c r="G79" i="4"/>
  <c r="F79" i="4"/>
  <c r="I131" i="6"/>
  <c r="H131" i="6"/>
  <c r="G90" i="4"/>
  <c r="F90" i="4"/>
  <c r="FH109" i="1"/>
  <c r="FG109" i="1"/>
  <c r="GF119" i="1"/>
  <c r="GE119" i="1"/>
  <c r="BS76" i="1"/>
  <c r="BS75" i="1"/>
  <c r="BR75" i="1"/>
  <c r="BR90" i="1"/>
  <c r="BS91" i="1"/>
  <c r="BR91" i="1"/>
  <c r="BS90" i="1"/>
  <c r="BS79" i="1"/>
  <c r="BR79" i="1"/>
  <c r="DY111" i="1"/>
  <c r="DX111" i="1"/>
  <c r="DX112" i="1"/>
  <c r="BR141" i="1"/>
  <c r="BS141" i="1"/>
  <c r="BR137" i="1"/>
  <c r="BS137" i="1"/>
  <c r="BS138" i="1"/>
  <c r="H79" i="2"/>
  <c r="I79" i="2"/>
  <c r="G89" i="4"/>
  <c r="F89" i="4"/>
  <c r="G83" i="4"/>
  <c r="F83" i="4"/>
  <c r="H84" i="5"/>
  <c r="G84" i="5"/>
  <c r="I132" i="6"/>
  <c r="H132" i="6"/>
  <c r="DY127" i="1"/>
  <c r="DA102" i="1"/>
  <c r="FG111" i="1"/>
  <c r="CI113" i="1"/>
  <c r="CJ113" i="1"/>
  <c r="CJ119" i="1"/>
  <c r="HA108" i="1"/>
  <c r="DY121" i="1"/>
  <c r="DX127" i="1"/>
  <c r="I109" i="2"/>
  <c r="H117" i="2"/>
  <c r="F78" i="4"/>
  <c r="F85" i="4"/>
  <c r="G77" i="5"/>
  <c r="H86" i="5"/>
  <c r="FG51" i="1"/>
  <c r="BR81" i="1"/>
  <c r="BR82" i="1"/>
  <c r="BS86" i="1"/>
  <c r="DB102" i="1"/>
  <c r="GF108" i="1"/>
  <c r="DX113" i="1"/>
  <c r="GE114" i="1"/>
  <c r="GE117" i="1"/>
  <c r="CI119" i="1"/>
  <c r="BR124" i="1"/>
  <c r="BS128" i="1"/>
  <c r="F80" i="2"/>
  <c r="H109" i="2"/>
  <c r="G85" i="4"/>
  <c r="F94" i="4"/>
  <c r="H77" i="5"/>
  <c r="H127" i="6"/>
  <c r="I128" i="6"/>
  <c r="H128" i="6"/>
  <c r="BR86" i="1"/>
  <c r="GE108" i="1"/>
  <c r="GF111" i="1"/>
  <c r="DX119" i="1"/>
  <c r="BR138" i="1"/>
  <c r="I115" i="2"/>
  <c r="H110" i="2"/>
  <c r="F101" i="4"/>
  <c r="G78" i="5"/>
  <c r="H53" i="6"/>
  <c r="FG116" i="1"/>
  <c r="DY119" i="1"/>
  <c r="DX124" i="1"/>
  <c r="I84" i="7"/>
  <c r="H84" i="7"/>
  <c r="FG113" i="1"/>
  <c r="HC117" i="1"/>
  <c r="HC121" i="1"/>
  <c r="DY124" i="1"/>
  <c r="I111" i="2"/>
  <c r="G82" i="4"/>
  <c r="F82" i="4"/>
  <c r="F95" i="4"/>
  <c r="G79" i="5"/>
  <c r="I125" i="6"/>
  <c r="I83" i="7"/>
  <c r="H83" i="7"/>
  <c r="BR143" i="1"/>
  <c r="CJ109" i="1"/>
  <c r="BR125" i="1"/>
  <c r="BR139" i="1"/>
  <c r="F104" i="2"/>
  <c r="F103" i="4"/>
  <c r="G103" i="4"/>
  <c r="H79" i="5"/>
  <c r="I80" i="7"/>
  <c r="H80" i="7"/>
  <c r="DY125" i="1"/>
  <c r="L66" i="3"/>
  <c r="K66" i="3"/>
  <c r="G86" i="4"/>
  <c r="G96" i="4"/>
  <c r="I81" i="7"/>
  <c r="H81" i="7"/>
  <c r="H6" i="7"/>
  <c r="I133" i="6"/>
  <c r="H133" i="6"/>
  <c r="CY94" i="1"/>
  <c r="DA101" i="1"/>
  <c r="DB101" i="1"/>
  <c r="BS142" i="1"/>
  <c r="DA109" i="1"/>
  <c r="GF110" i="1"/>
  <c r="DY115" i="1"/>
  <c r="BS129" i="1"/>
  <c r="DX133" i="1"/>
  <c r="G92" i="4"/>
  <c r="F96" i="4"/>
  <c r="I127" i="6"/>
  <c r="I82" i="7"/>
  <c r="H82" i="7"/>
  <c r="BR74" i="1"/>
  <c r="GE110" i="1"/>
  <c r="DX118" i="1"/>
  <c r="DY129" i="1"/>
  <c r="BR140" i="1"/>
  <c r="L70" i="3"/>
  <c r="H80" i="5"/>
  <c r="G80" i="5"/>
  <c r="G82" i="5"/>
  <c r="I87" i="7"/>
  <c r="H87" i="7"/>
  <c r="HD112" i="1"/>
  <c r="BS84" i="1"/>
  <c r="BR84" i="1"/>
  <c r="CI108" i="1"/>
  <c r="HC110" i="1"/>
  <c r="HC122" i="1"/>
  <c r="BR126" i="1"/>
  <c r="DX129" i="1"/>
  <c r="F93" i="4"/>
  <c r="G7" i="5"/>
  <c r="I129" i="6"/>
  <c r="I89" i="7"/>
  <c r="H89" i="7"/>
  <c r="H116" i="2"/>
  <c r="I116" i="2"/>
  <c r="DY130" i="1"/>
  <c r="DX130" i="1"/>
  <c r="HD50" i="1"/>
  <c r="DA96" i="1"/>
  <c r="BR130" i="1"/>
  <c r="G98" i="4"/>
  <c r="G75" i="5"/>
  <c r="H75" i="5"/>
  <c r="H83" i="5"/>
  <c r="I130" i="6"/>
  <c r="H85" i="7"/>
  <c r="I85" i="7"/>
  <c r="CG110" i="1"/>
  <c r="CG80" i="1"/>
  <c r="FG118" i="1"/>
  <c r="BR78" i="1"/>
  <c r="DB96" i="1"/>
  <c r="BS136" i="1"/>
  <c r="FE104" i="1"/>
  <c r="CI114" i="1"/>
  <c r="DX123" i="1"/>
  <c r="BS130" i="1"/>
  <c r="G102" i="4"/>
  <c r="H76" i="5"/>
  <c r="G83" i="5"/>
  <c r="H123" i="6"/>
  <c r="I122" i="6"/>
  <c r="H130" i="6"/>
  <c r="I88" i="7"/>
  <c r="H88" i="7"/>
  <c r="I86" i="7"/>
  <c r="H86" i="7"/>
  <c r="CJ112" i="1"/>
  <c r="HD107" i="1" s="1"/>
  <c r="CI112" i="1"/>
  <c r="HC107" i="1" s="1"/>
  <c r="DA108" i="1"/>
  <c r="DX100" i="1"/>
  <c r="DV100" i="1"/>
  <c r="DZ100" i="1" s="1"/>
  <c r="DY114" i="1"/>
  <c r="GE115" i="1"/>
  <c r="CI117" i="1"/>
  <c r="BR142" i="1"/>
  <c r="F99" i="4"/>
  <c r="C65" i="5"/>
  <c r="I90" i="7"/>
  <c r="H90" i="7"/>
  <c r="CJ116" i="1"/>
  <c r="FH119" i="1"/>
  <c r="FG119" i="1"/>
  <c r="CJ111" i="1"/>
  <c r="CI111" i="1"/>
  <c r="BR76" i="1"/>
  <c r="BS81" i="1"/>
  <c r="DX117" i="1"/>
  <c r="DY117" i="1"/>
  <c r="DX120" i="1"/>
  <c r="BS143" i="1"/>
  <c r="H70" i="4"/>
  <c r="H120" i="6"/>
  <c r="I91" i="7"/>
  <c r="H91" i="7"/>
  <c r="H8" i="7"/>
  <c r="BS92" i="1"/>
  <c r="CJ108" i="1"/>
  <c r="CJ107" i="1"/>
  <c r="DY132" i="1"/>
  <c r="HC123" i="1"/>
  <c r="BR127" i="1"/>
  <c r="H115" i="2"/>
  <c r="K77" i="3"/>
  <c r="K75" i="3"/>
  <c r="D70" i="4"/>
  <c r="F70" i="4"/>
  <c r="F92" i="4"/>
  <c r="G76" i="5"/>
  <c r="I92" i="7"/>
  <c r="H92" i="7"/>
  <c r="DX115" i="1"/>
  <c r="H111" i="2"/>
  <c r="F98" i="4"/>
  <c r="G86" i="5"/>
  <c r="H104" i="2" l="1"/>
  <c r="I105" i="2"/>
  <c r="H105" i="2"/>
  <c r="I104" i="2"/>
  <c r="HF56" i="1"/>
  <c r="HA114" i="1" s="1"/>
  <c r="HC53" i="1"/>
  <c r="HA100" i="1"/>
  <c r="GY100" i="1"/>
  <c r="HD110" i="1"/>
  <c r="I81" i="2"/>
  <c r="H81" i="2"/>
  <c r="I80" i="2"/>
  <c r="H80" i="2"/>
  <c r="GE104" i="1"/>
  <c r="FG104" i="1"/>
  <c r="HC108" i="1"/>
  <c r="CI81" i="1"/>
  <c r="CJ80" i="1"/>
  <c r="CJ81" i="1"/>
  <c r="CI80" i="1"/>
  <c r="CI110" i="1"/>
  <c r="CJ110" i="1"/>
  <c r="GF103" i="1"/>
  <c r="FH103" i="1"/>
  <c r="HD108" i="1"/>
  <c r="FH104" i="1"/>
  <c r="GF104" i="1"/>
  <c r="FG103" i="1"/>
  <c r="GE103" i="1"/>
  <c r="HD114" i="1" l="1"/>
  <c r="HC114" i="1"/>
  <c r="HC115" i="1"/>
  <c r="HD115" i="1"/>
</calcChain>
</file>

<file path=xl/sharedStrings.xml><?xml version="1.0" encoding="utf-8"?>
<sst xmlns="http://schemas.openxmlformats.org/spreadsheetml/2006/main" count="392" uniqueCount="86">
  <si>
    <t xml:space="preserve">SMALL </t>
  </si>
  <si>
    <t>MW: These tiles would all actually be the same size even though they are different lengths here.</t>
  </si>
  <si>
    <t>MEDIUM</t>
  </si>
  <si>
    <t>LARGE</t>
  </si>
  <si>
    <t>TOTAL</t>
  </si>
  <si>
    <t>MW: 3,785</t>
  </si>
  <si>
    <t xml:space="preserve">MW: 10 Doors </t>
  </si>
  <si>
    <t>MW: 3,700</t>
  </si>
  <si>
    <t xml:space="preserve">MW: 9 Doors </t>
  </si>
  <si>
    <t>MW: 4,100 SF (no mirror image)</t>
  </si>
  <si>
    <t>MW: 8 Doors Maximum per Tile</t>
  </si>
  <si>
    <t>Spatial Taxonomy — Tiles — Professional Centres and Suburban Office</t>
  </si>
  <si>
    <t>Woodfine Management Corp.</t>
  </si>
  <si>
    <t>Mathew Woodfine</t>
  </si>
  <si>
    <t xml:space="preserve">MW: 3,890 SF </t>
  </si>
  <si>
    <t>June 19, 2025</t>
  </si>
  <si>
    <t>V1</t>
  </si>
  <si>
    <t>MW: 10 doors maximum per Tile</t>
  </si>
  <si>
    <r>
      <rPr>
        <b/>
        <sz val="14"/>
        <rFont val="Arial (Body)"/>
        <charset val="1"/>
      </rPr>
      <t>"Key Plans and Tiles"</t>
    </r>
    <r>
      <rPr>
        <sz val="14"/>
        <rFont val="Arial (Body)"/>
        <charset val="1"/>
      </rPr>
      <t xml:space="preserve"> means a geometric self-simlar aperiodic space planning system based on furniture/equimpment arrangements and circulation versus modular area per person progressions.</t>
    </r>
  </si>
  <si>
    <t>NB — Not drawn to scale — Approximate square footages</t>
  </si>
  <si>
    <t>Profressional Centres and Suburban Office</t>
  </si>
  <si>
    <t>Private Office</t>
  </si>
  <si>
    <t>SF</t>
  </si>
  <si>
    <t xml:space="preserve">Professional Office – Small </t>
  </si>
  <si>
    <t>10 door maximum per Tile</t>
  </si>
  <si>
    <t>Professional Office – Small – Medical (2,402 SF)</t>
  </si>
  <si>
    <t>Professional Office – Small – Civic (2,912 SF)</t>
  </si>
  <si>
    <t>Professional Office – Small – Laboratory (2,099 SF)</t>
  </si>
  <si>
    <t>– Academic (1,131 SF)</t>
  </si>
  <si>
    <t>Combinations:</t>
  </si>
  <si>
    <t>Climate Zone</t>
  </si>
  <si>
    <t>%</t>
  </si>
  <si>
    <t>Doors</t>
  </si>
  <si>
    <t xml:space="preserve">Service Hookups </t>
  </si>
  <si>
    <t>Professional Office – Medium – Medical (3,568 SF)</t>
  </si>
  <si>
    <t>Professional Office – Medium – Academic (2,583 SF)</t>
  </si>
  <si>
    <t>Professional Office – Large – Medical (5,231 SF)</t>
  </si>
  <si>
    <t>Professional Office – Medium – Laboratory (3,401 SF)</t>
  </si>
  <si>
    <t>+</t>
  </si>
  <si>
    <t>=</t>
  </si>
  <si>
    <t>Professional Office – Medium – Civic (6,215 SF)</t>
  </si>
  <si>
    <t>Professional Office – Large – Laboratory (4,313 SF)</t>
  </si>
  <si>
    <t>Professional Office – Large – Academic (4,070 SF)</t>
  </si>
  <si>
    <t>Professional Office – Large – Civic (8,850 SF)</t>
  </si>
  <si>
    <t>Professional Office – Small – Academic (1,131 SF)</t>
  </si>
  <si>
    <t>combinations versus 18 combinations using a single 325 SF module</t>
  </si>
  <si>
    <t>9 door maximum per Tile</t>
  </si>
  <si>
    <t>combinations versus 9 combinations using a single 325 SF module</t>
  </si>
  <si>
    <t>Professional Office – Large – Civic (8,8550 SF)</t>
  </si>
  <si>
    <t>combinations versus 27 combinations using a single 325 SF module</t>
  </si>
  <si>
    <t>Professional Office — Medical</t>
  </si>
  <si>
    <r>
      <rPr>
        <b/>
        <sz val="22"/>
        <rFont val="Arial (Body)"/>
        <charset val="1"/>
      </rPr>
      <t>"Key Plans and Tiles"</t>
    </r>
    <r>
      <rPr>
        <sz val="22"/>
        <rFont val="Arial (Body)"/>
        <charset val="1"/>
      </rPr>
      <t xml:space="preserve"> means a geometric self-simlar aperiodic space planning system based on furniture/equimpment arrangements and circulation versus modular area per person progressions.</t>
    </r>
  </si>
  <si>
    <t>Professional Office — Civic</t>
  </si>
  <si>
    <t>Professional Office — Laboratory</t>
  </si>
  <si>
    <t>Nesting – Professional Office — Laboratory</t>
  </si>
  <si>
    <t>Professional Office — Academic</t>
  </si>
  <si>
    <t>Key Plans and Tiles (SF)</t>
  </si>
  <si>
    <r>
      <t>"Key Plans and Tiles"</t>
    </r>
    <r>
      <rPr>
        <sz val="14"/>
        <rFont val="Arial (Body)"/>
        <charset val="1"/>
      </rPr>
      <t xml:space="preserve"> means a geometric self-similar aperiodic space planning system based on furniture/equipment arrangements and circulation versus modular area per person progressions.</t>
    </r>
  </si>
  <si>
    <t>Basic Tile:</t>
  </si>
  <si>
    <t>Tb = n(PO-1) + p(PO-2) + q(PO-3)</t>
  </si>
  <si>
    <t>Compound Tiles:</t>
  </si>
  <si>
    <t>Tc = n(PO-1) + p(PO-2) + q(PO-3) + r (B + A + L + M + C)</t>
  </si>
  <si>
    <t>Special Tiles:</t>
  </si>
  <si>
    <t>S = n(PO-1) + p(PO-2) + q(PO-3) + r(Professional Office)</t>
  </si>
  <si>
    <t>Floor Plate:</t>
  </si>
  <si>
    <t>FP = Tb + Tc + S + Building Core</t>
  </si>
  <si>
    <t>Woodfine Buildings:</t>
  </si>
  <si>
    <t>Tb = Tc = Climate Zone = Structural Grid</t>
  </si>
  <si>
    <t>Professional Centres:</t>
  </si>
  <si>
    <t>3-Floors to 5-Floors</t>
  </si>
  <si>
    <t>FP = 19,000 SF &lt;=&gt; 23,000 SF</t>
  </si>
  <si>
    <t>Suburban Office:</t>
  </si>
  <si>
    <t>6-Floors to 9-Floors</t>
  </si>
  <si>
    <t>FP = 17,000 SF &lt;=&gt; 21,000 SF</t>
  </si>
  <si>
    <t>RETAIL SELECT AND TECH INDUSTRIAL</t>
  </si>
  <si>
    <t>Spatial Taxonomy — Tiles — Retail Select and Tech Industrial</t>
  </si>
  <si>
    <t>Retail Select:</t>
  </si>
  <si>
    <t>Tech Industrial:</t>
  </si>
  <si>
    <t>FPs = 4,500 SF</t>
  </si>
  <si>
    <t>FPm = 6,700 SF</t>
  </si>
  <si>
    <t>FPl = 7,700 SF</t>
  </si>
  <si>
    <t>FPm = 7,200 SF</t>
  </si>
  <si>
    <t>FPl = 8,400 SF</t>
  </si>
  <si>
    <t>July 14, 2025</t>
  </si>
  <si>
    <t>January 6, 2026</t>
  </si>
  <si>
    <t>November 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</si>
</sst>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1" x14ac:knownFonts="1">
    <font>
      <sz val="10"/>
      <name val="Arial"/>
      <family val="2"/>
      <charset val="1"/>
    </font>
    <font>
      <sz val="16"/>
      <name val="Arial"/>
      <family val="2"/>
      <charset val="1"/>
    </font>
    <font>
      <sz val="14"/>
      <name val="Arial"/>
      <family val="2"/>
      <charset val="1"/>
    </font>
    <font>
      <b/>
      <sz val="14"/>
      <color rgb="FF000000"/>
      <name val="Arial (Body)"/>
      <charset val="1"/>
    </font>
    <font>
      <sz val="14"/>
      <name val="Arial (Body)"/>
      <charset val="1"/>
    </font>
    <font>
      <b/>
      <sz val="14"/>
      <name val="Arial (Body)"/>
      <charset val="1"/>
    </font>
    <font>
      <sz val="14"/>
      <color theme="1"/>
      <name val="Arial (Body)"/>
      <charset val="1"/>
    </font>
    <font>
      <b/>
      <sz val="10"/>
      <color theme="2"/>
      <name val="Arial"/>
      <family val="2"/>
      <charset val="1"/>
    </font>
    <font>
      <b/>
      <sz val="10"/>
      <name val="Arial"/>
      <family val="2"/>
      <charset val="1"/>
    </font>
    <font>
      <b/>
      <sz val="14"/>
      <color theme="2"/>
      <name val="Arial"/>
      <family val="2"/>
      <charset val="1"/>
    </font>
    <font>
      <b/>
      <sz val="14"/>
      <name val="Arial"/>
      <family val="2"/>
      <charset val="1"/>
    </font>
    <font>
      <sz val="22"/>
      <name val="Arial"/>
      <family val="2"/>
      <charset val="1"/>
    </font>
    <font>
      <b/>
      <sz val="22"/>
      <color rgb="FF000000"/>
      <name val="Arial (Body)"/>
      <charset val="1"/>
    </font>
    <font>
      <sz val="22"/>
      <name val="Arial (Body)"/>
      <charset val="1"/>
    </font>
    <font>
      <b/>
      <sz val="22"/>
      <name val="Arial (Body)"/>
      <charset val="1"/>
    </font>
    <font>
      <sz val="22"/>
      <color theme="1"/>
      <name val="Arial (Body)"/>
      <charset val="1"/>
    </font>
    <font>
      <b/>
      <sz val="22"/>
      <color theme="2"/>
      <name val="Arial"/>
      <family val="2"/>
      <charset val="1"/>
    </font>
    <font>
      <b/>
      <sz val="22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Calibri"/>
      <family val="2"/>
    </font>
    <font>
      <sz val="14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CCF4C6"/>
        <bgColor rgb="FFCCFFFF"/>
      </patternFill>
    </fill>
    <fill>
      <patternFill patternType="solid">
        <fgColor rgb="FFAADCF7"/>
        <bgColor rgb="FFB0C4DE"/>
      </patternFill>
    </fill>
    <fill>
      <patternFill patternType="solid">
        <fgColor rgb="FFFFD74C"/>
        <bgColor rgb="FFFDE9A9"/>
      </patternFill>
    </fill>
    <fill>
      <patternFill patternType="solid">
        <fgColor rgb="FFFDE9A9"/>
        <bgColor rgb="FFFFEBCD"/>
      </patternFill>
    </fill>
    <fill>
      <patternFill patternType="solid">
        <fgColor rgb="FFF09E6F"/>
        <bgColor rgb="FFFF9900"/>
      </patternFill>
    </fill>
    <fill>
      <patternFill patternType="solid">
        <fgColor rgb="FFD3D3D3"/>
        <bgColor rgb="FFD9D9D9"/>
      </patternFill>
    </fill>
    <fill>
      <patternFill patternType="solid">
        <fgColor theme="1"/>
        <bgColor rgb="FF003300"/>
      </patternFill>
    </fill>
    <fill>
      <patternFill patternType="solid">
        <fgColor theme="0" tint="-0.14999847407452621"/>
        <bgColor rgb="FFD3D3D3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B0C4DE"/>
        <bgColor rgb="FFC0C0C0"/>
      </patternFill>
    </fill>
    <fill>
      <patternFill patternType="solid">
        <fgColor rgb="FF9ACD32"/>
        <bgColor rgb="FFBFBFBF"/>
      </patternFill>
    </fill>
    <fill>
      <patternFill patternType="solid">
        <fgColor rgb="FFFFEBCD"/>
        <bgColor rgb="FFFDE9A9"/>
      </patternFill>
    </fill>
    <fill>
      <patternFill patternType="solid">
        <fgColor rgb="FFF2CBF8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D9D9D9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8" fillId="0" borderId="0" applyBorder="0" applyProtection="0"/>
  </cellStyleXfs>
  <cellXfs count="175">
    <xf numFmtId="0" fontId="0" fillId="0" borderId="0" xfId="0"/>
    <xf numFmtId="0" fontId="0" fillId="0" borderId="0" xfId="0" applyAlignment="1" applyProtection="1"/>
    <xf numFmtId="0" fontId="0" fillId="2" borderId="0" xfId="0" applyFill="1" applyAlignment="1" applyProtection="1"/>
    <xf numFmtId="0" fontId="1" fillId="0" borderId="0" xfId="0" applyFont="1" applyAlignment="1" applyProtection="1"/>
    <xf numFmtId="0" fontId="0" fillId="3" borderId="1" xfId="0" applyFill="1" applyBorder="1" applyAlignment="1" applyProtection="1"/>
    <xf numFmtId="0" fontId="0" fillId="3" borderId="2" xfId="0" applyFill="1" applyBorder="1" applyAlignment="1" applyProtection="1"/>
    <xf numFmtId="0" fontId="0" fillId="3" borderId="3" xfId="0" applyFill="1" applyBorder="1" applyAlignment="1" applyProtection="1"/>
    <xf numFmtId="0" fontId="0" fillId="4" borderId="1" xfId="0" applyFill="1" applyBorder="1" applyAlignment="1" applyProtection="1"/>
    <xf numFmtId="0" fontId="0" fillId="4" borderId="2" xfId="0" applyFill="1" applyBorder="1" applyAlignment="1" applyProtection="1"/>
    <xf numFmtId="0" fontId="0" fillId="4" borderId="3" xfId="0" applyFill="1" applyBorder="1" applyAlignment="1" applyProtection="1"/>
    <xf numFmtId="0" fontId="0" fillId="5" borderId="1" xfId="0" applyFill="1" applyBorder="1" applyAlignment="1" applyProtection="1"/>
    <xf numFmtId="0" fontId="0" fillId="5" borderId="2" xfId="0" applyFill="1" applyBorder="1" applyAlignment="1" applyProtection="1"/>
    <xf numFmtId="0" fontId="0" fillId="5" borderId="3" xfId="0" applyFill="1" applyBorder="1" applyAlignment="1" applyProtection="1"/>
    <xf numFmtId="0" fontId="0" fillId="3" borderId="4" xfId="0" applyFill="1" applyBorder="1" applyAlignment="1" applyProtection="1"/>
    <xf numFmtId="0" fontId="0" fillId="3" borderId="0" xfId="0" applyFill="1" applyAlignment="1" applyProtection="1"/>
    <xf numFmtId="0" fontId="0" fillId="3" borderId="5" xfId="0" applyFill="1" applyBorder="1" applyAlignment="1" applyProtection="1"/>
    <xf numFmtId="0" fontId="0" fillId="4" borderId="4" xfId="0" applyFill="1" applyBorder="1" applyAlignment="1" applyProtection="1"/>
    <xf numFmtId="0" fontId="0" fillId="4" borderId="0" xfId="0" applyFill="1" applyAlignment="1" applyProtection="1"/>
    <xf numFmtId="0" fontId="0" fillId="4" borderId="5" xfId="0" applyFill="1" applyBorder="1" applyAlignment="1" applyProtection="1"/>
    <xf numFmtId="0" fontId="0" fillId="5" borderId="4" xfId="0" applyFill="1" applyBorder="1" applyAlignment="1" applyProtection="1"/>
    <xf numFmtId="0" fontId="0" fillId="5" borderId="0" xfId="0" applyFill="1" applyAlignment="1" applyProtection="1"/>
    <xf numFmtId="0" fontId="0" fillId="5" borderId="5" xfId="0" applyFill="1" applyBorder="1" applyAlignment="1" applyProtection="1"/>
    <xf numFmtId="0" fontId="0" fillId="3" borderId="6" xfId="0" applyFill="1" applyBorder="1" applyAlignment="1" applyProtection="1"/>
    <xf numFmtId="0" fontId="0" fillId="3" borderId="7" xfId="0" applyFill="1" applyBorder="1" applyAlignment="1" applyProtection="1"/>
    <xf numFmtId="0" fontId="0" fillId="3" borderId="8" xfId="0" applyFill="1" applyBorder="1" applyAlignment="1" applyProtection="1"/>
    <xf numFmtId="0" fontId="0" fillId="4" borderId="6" xfId="0" applyFill="1" applyBorder="1" applyAlignment="1" applyProtection="1"/>
    <xf numFmtId="0" fontId="0" fillId="4" borderId="7" xfId="0" applyFill="1" applyBorder="1" applyAlignment="1" applyProtection="1"/>
    <xf numFmtId="0" fontId="0" fillId="4" borderId="8" xfId="0" applyFill="1" applyBorder="1" applyAlignment="1" applyProtection="1"/>
    <xf numFmtId="0" fontId="0" fillId="5" borderId="6" xfId="0" applyFill="1" applyBorder="1" applyAlignment="1" applyProtection="1"/>
    <xf numFmtId="0" fontId="0" fillId="5" borderId="7" xfId="0" applyFill="1" applyBorder="1" applyAlignment="1" applyProtection="1"/>
    <xf numFmtId="0" fontId="0" fillId="5" borderId="8" xfId="0" applyFill="1" applyBorder="1" applyAlignment="1" applyProtection="1"/>
    <xf numFmtId="0" fontId="0" fillId="6" borderId="0" xfId="0" applyFill="1" applyAlignment="1" applyProtection="1"/>
    <xf numFmtId="0" fontId="2" fillId="0" borderId="0" xfId="0" applyFont="1" applyAlignment="1" applyProtection="1"/>
    <xf numFmtId="0" fontId="0" fillId="7" borderId="0" xfId="0" applyFill="1" applyAlignment="1" applyProtection="1"/>
    <xf numFmtId="0" fontId="0" fillId="8" borderId="0" xfId="0" applyFill="1" applyAlignment="1" applyProtection="1"/>
    <xf numFmtId="0" fontId="0" fillId="0" borderId="9" xfId="0" applyBorder="1" applyAlignment="1" applyProtection="1"/>
    <xf numFmtId="0" fontId="3" fillId="0" borderId="0" xfId="0" applyFont="1" applyAlignment="1">
      <alignment vertical="center"/>
    </xf>
    <xf numFmtId="0" fontId="4" fillId="0" borderId="0" xfId="0" applyFont="1" applyAlignment="1" applyProtection="1"/>
    <xf numFmtId="49" fontId="4" fillId="0" borderId="0" xfId="0" applyNumberFormat="1" applyFont="1" applyAlignment="1" applyProtection="1"/>
    <xf numFmtId="0" fontId="6" fillId="0" borderId="0" xfId="0" applyFont="1"/>
    <xf numFmtId="0" fontId="0" fillId="3" borderId="10" xfId="0" applyFill="1" applyBorder="1" applyAlignment="1" applyProtection="1"/>
    <xf numFmtId="0" fontId="7" fillId="9" borderId="0" xfId="0" applyFont="1" applyFill="1" applyAlignment="1" applyProtection="1">
      <alignment vertical="center"/>
    </xf>
    <xf numFmtId="0" fontId="0" fillId="9" borderId="0" xfId="0" applyFill="1" applyAlignment="1" applyProtection="1"/>
    <xf numFmtId="0" fontId="0" fillId="3" borderId="11" xfId="0" applyFill="1" applyBorder="1" applyAlignment="1" applyProtection="1"/>
    <xf numFmtId="0" fontId="0" fillId="3" borderId="12" xfId="0" applyFill="1" applyBorder="1" applyAlignment="1" applyProtection="1"/>
    <xf numFmtId="0" fontId="8" fillId="10" borderId="0" xfId="0" applyFont="1" applyFill="1" applyAlignment="1" applyProtection="1"/>
    <xf numFmtId="0" fontId="0" fillId="10" borderId="0" xfId="0" applyFill="1" applyAlignment="1" applyProtection="1"/>
    <xf numFmtId="0" fontId="2" fillId="0" borderId="9" xfId="0" applyFont="1" applyBorder="1" applyAlignment="1" applyProtection="1">
      <alignment horizontal="center"/>
    </xf>
    <xf numFmtId="0" fontId="2" fillId="11" borderId="9" xfId="0" applyFont="1" applyFill="1" applyBorder="1" applyAlignment="1" applyProtection="1">
      <alignment horizontal="center"/>
    </xf>
    <xf numFmtId="0" fontId="2" fillId="12" borderId="9" xfId="0" applyFont="1" applyFill="1" applyBorder="1" applyAlignment="1" applyProtection="1">
      <alignment horizontal="center"/>
    </xf>
    <xf numFmtId="3" fontId="2" fillId="0" borderId="0" xfId="0" applyNumberFormat="1" applyFont="1" applyAlignment="1" applyProtection="1"/>
    <xf numFmtId="0" fontId="2" fillId="0" borderId="0" xfId="0" applyFont="1" applyAlignment="1" applyProtection="1">
      <alignment horizontal="center"/>
    </xf>
    <xf numFmtId="0" fontId="0" fillId="13" borderId="1" xfId="0" applyFill="1" applyBorder="1" applyAlignment="1" applyProtection="1"/>
    <xf numFmtId="0" fontId="0" fillId="13" borderId="2" xfId="0" applyFill="1" applyBorder="1" applyAlignment="1" applyProtection="1"/>
    <xf numFmtId="0" fontId="2" fillId="13" borderId="2" xfId="0" applyFont="1" applyFill="1" applyBorder="1" applyAlignment="1" applyProtection="1"/>
    <xf numFmtId="0" fontId="1" fillId="13" borderId="2" xfId="0" applyFont="1" applyFill="1" applyBorder="1" applyAlignment="1" applyProtection="1"/>
    <xf numFmtId="0" fontId="1" fillId="13" borderId="3" xfId="0" applyFont="1" applyFill="1" applyBorder="1" applyAlignment="1" applyProtection="1"/>
    <xf numFmtId="0" fontId="0" fillId="14" borderId="1" xfId="0" applyFill="1" applyBorder="1" applyAlignment="1" applyProtection="1"/>
    <xf numFmtId="0" fontId="0" fillId="14" borderId="2" xfId="0" applyFill="1" applyBorder="1" applyAlignment="1" applyProtection="1"/>
    <xf numFmtId="0" fontId="2" fillId="14" borderId="2" xfId="0" applyFont="1" applyFill="1" applyBorder="1" applyAlignment="1" applyProtection="1"/>
    <xf numFmtId="0" fontId="1" fillId="14" borderId="2" xfId="0" applyFont="1" applyFill="1" applyBorder="1" applyAlignment="1" applyProtection="1"/>
    <xf numFmtId="0" fontId="0" fillId="14" borderId="3" xfId="0" applyFill="1" applyBorder="1" applyAlignment="1" applyProtection="1"/>
    <xf numFmtId="0" fontId="0" fillId="0" borderId="0" xfId="0" applyBorder="1" applyAlignment="1" applyProtection="1"/>
    <xf numFmtId="0" fontId="0" fillId="15" borderId="1" xfId="0" applyFill="1" applyBorder="1" applyAlignment="1" applyProtection="1"/>
    <xf numFmtId="0" fontId="0" fillId="15" borderId="2" xfId="0" applyFill="1" applyBorder="1" applyAlignment="1" applyProtection="1"/>
    <xf numFmtId="0" fontId="2" fillId="15" borderId="2" xfId="0" applyFont="1" applyFill="1" applyBorder="1" applyAlignment="1" applyProtection="1"/>
    <xf numFmtId="0" fontId="1" fillId="15" borderId="3" xfId="0" applyFont="1" applyFill="1" applyBorder="1" applyAlignment="1" applyProtection="1"/>
    <xf numFmtId="0" fontId="0" fillId="16" borderId="1" xfId="0" applyFill="1" applyBorder="1" applyAlignment="1" applyProtection="1"/>
    <xf numFmtId="0" fontId="0" fillId="16" borderId="2" xfId="0" applyFill="1" applyBorder="1" applyAlignment="1" applyProtection="1"/>
    <xf numFmtId="0" fontId="0" fillId="16" borderId="3" xfId="0" applyFill="1" applyBorder="1" applyAlignment="1" applyProtection="1"/>
    <xf numFmtId="0" fontId="0" fillId="13" borderId="4" xfId="0" applyFill="1" applyBorder="1" applyAlignment="1" applyProtection="1"/>
    <xf numFmtId="0" fontId="0" fillId="13" borderId="0" xfId="0" applyFill="1" applyAlignment="1" applyProtection="1"/>
    <xf numFmtId="0" fontId="2" fillId="13" borderId="0" xfId="0" applyFont="1" applyFill="1" applyAlignment="1" applyProtection="1"/>
    <xf numFmtId="0" fontId="1" fillId="13" borderId="0" xfId="0" applyFont="1" applyFill="1" applyAlignment="1" applyProtection="1"/>
    <xf numFmtId="0" fontId="1" fillId="13" borderId="5" xfId="0" applyFont="1" applyFill="1" applyBorder="1" applyAlignment="1" applyProtection="1"/>
    <xf numFmtId="0" fontId="0" fillId="14" borderId="4" xfId="0" applyFill="1" applyBorder="1" applyAlignment="1" applyProtection="1"/>
    <xf numFmtId="0" fontId="0" fillId="14" borderId="0" xfId="0" applyFill="1" applyAlignment="1" applyProtection="1"/>
    <xf numFmtId="0" fontId="2" fillId="14" borderId="0" xfId="0" applyFont="1" applyFill="1" applyAlignment="1" applyProtection="1"/>
    <xf numFmtId="0" fontId="1" fillId="14" borderId="0" xfId="0" applyFont="1" applyFill="1" applyAlignment="1" applyProtection="1"/>
    <xf numFmtId="0" fontId="1" fillId="14" borderId="0" xfId="0" applyFont="1" applyFill="1" applyBorder="1" applyAlignment="1" applyProtection="1"/>
    <xf numFmtId="0" fontId="0" fillId="14" borderId="5" xfId="0" applyFill="1" applyBorder="1" applyAlignment="1" applyProtection="1"/>
    <xf numFmtId="0" fontId="0" fillId="15" borderId="4" xfId="0" applyFill="1" applyBorder="1" applyAlignment="1" applyProtection="1"/>
    <xf numFmtId="0" fontId="0" fillId="15" borderId="0" xfId="0" applyFill="1" applyAlignment="1" applyProtection="1"/>
    <xf numFmtId="0" fontId="2" fillId="15" borderId="0" xfId="0" applyFont="1" applyFill="1" applyAlignment="1" applyProtection="1"/>
    <xf numFmtId="0" fontId="1" fillId="15" borderId="5" xfId="0" applyFont="1" applyFill="1" applyBorder="1" applyAlignment="1" applyProtection="1"/>
    <xf numFmtId="0" fontId="2" fillId="16" borderId="4" xfId="0" applyFont="1" applyFill="1" applyBorder="1" applyAlignment="1" applyProtection="1"/>
    <xf numFmtId="0" fontId="0" fillId="16" borderId="0" xfId="0" applyFill="1" applyAlignment="1" applyProtection="1"/>
    <xf numFmtId="0" fontId="0" fillId="16" borderId="5" xfId="0" applyFill="1" applyBorder="1" applyAlignment="1" applyProtection="1"/>
    <xf numFmtId="0" fontId="2" fillId="13" borderId="6" xfId="0" applyFont="1" applyFill="1" applyBorder="1" applyAlignment="1" applyProtection="1"/>
    <xf numFmtId="0" fontId="0" fillId="13" borderId="7" xfId="0" applyFill="1" applyBorder="1" applyAlignment="1" applyProtection="1"/>
    <xf numFmtId="0" fontId="1" fillId="13" borderId="7" xfId="0" applyFont="1" applyFill="1" applyBorder="1" applyAlignment="1" applyProtection="1"/>
    <xf numFmtId="0" fontId="1" fillId="13" borderId="8" xfId="0" applyFont="1" applyFill="1" applyBorder="1" applyAlignment="1" applyProtection="1"/>
    <xf numFmtId="0" fontId="2" fillId="14" borderId="6" xfId="0" applyFont="1" applyFill="1" applyBorder="1" applyAlignment="1" applyProtection="1"/>
    <xf numFmtId="0" fontId="0" fillId="14" borderId="7" xfId="0" applyFill="1" applyBorder="1" applyAlignment="1" applyProtection="1"/>
    <xf numFmtId="0" fontId="1" fillId="14" borderId="7" xfId="0" applyFont="1" applyFill="1" applyBorder="1" applyAlignment="1" applyProtection="1"/>
    <xf numFmtId="0" fontId="0" fillId="14" borderId="8" xfId="0" applyFill="1" applyBorder="1" applyAlignment="1" applyProtection="1"/>
    <xf numFmtId="0" fontId="2" fillId="0" borderId="0" xfId="0" applyFont="1" applyBorder="1" applyAlignment="1" applyProtection="1"/>
    <xf numFmtId="0" fontId="2" fillId="15" borderId="6" xfId="0" applyFont="1" applyFill="1" applyBorder="1" applyAlignment="1" applyProtection="1"/>
    <xf numFmtId="0" fontId="0" fillId="15" borderId="7" xfId="0" applyFill="1" applyBorder="1" applyAlignment="1" applyProtection="1"/>
    <xf numFmtId="0" fontId="1" fillId="15" borderId="8" xfId="0" applyFont="1" applyFill="1" applyBorder="1" applyAlignment="1" applyProtection="1"/>
    <xf numFmtId="0" fontId="2" fillId="16" borderId="6" xfId="0" applyFont="1" applyFill="1" applyBorder="1"/>
    <xf numFmtId="0" fontId="0" fillId="16" borderId="7" xfId="0" applyFill="1" applyBorder="1" applyAlignment="1" applyProtection="1"/>
    <xf numFmtId="0" fontId="0" fillId="16" borderId="8" xfId="0" applyFill="1" applyBorder="1" applyAlignment="1" applyProtection="1"/>
    <xf numFmtId="0" fontId="2" fillId="0" borderId="0" xfId="0" applyFont="1" applyAlignment="1" applyProtection="1">
      <alignment horizontal="left"/>
    </xf>
    <xf numFmtId="3" fontId="1" fillId="8" borderId="0" xfId="0" applyNumberFormat="1" applyFont="1" applyFill="1" applyAlignment="1" applyProtection="1"/>
    <xf numFmtId="3" fontId="1" fillId="0" borderId="0" xfId="0" applyNumberFormat="1" applyFont="1" applyAlignment="1" applyProtection="1"/>
    <xf numFmtId="3" fontId="1" fillId="2" borderId="0" xfId="0" applyNumberFormat="1" applyFont="1" applyFill="1" applyAlignment="1" applyProtection="1"/>
    <xf numFmtId="164" fontId="2" fillId="0" borderId="0" xfId="0" applyNumberFormat="1" applyFont="1" applyAlignment="1" applyProtection="1"/>
    <xf numFmtId="0" fontId="2" fillId="0" borderId="7" xfId="0" applyFont="1" applyBorder="1" applyAlignment="1" applyProtection="1">
      <alignment horizontal="center"/>
    </xf>
    <xf numFmtId="165" fontId="2" fillId="0" borderId="0" xfId="0" applyNumberFormat="1" applyFont="1" applyAlignment="1" applyProtection="1"/>
    <xf numFmtId="0" fontId="1" fillId="0" borderId="0" xfId="0" applyFont="1" applyBorder="1" applyAlignment="1" applyProtection="1"/>
    <xf numFmtId="0" fontId="0" fillId="13" borderId="3" xfId="0" applyFill="1" applyBorder="1" applyAlignment="1" applyProtection="1"/>
    <xf numFmtId="0" fontId="0" fillId="13" borderId="5" xfId="0" applyFill="1" applyBorder="1" applyAlignment="1" applyProtection="1"/>
    <xf numFmtId="0" fontId="0" fillId="16" borderId="4" xfId="0" applyFill="1" applyBorder="1" applyAlignment="1" applyProtection="1"/>
    <xf numFmtId="0" fontId="0" fillId="13" borderId="8" xfId="0" applyFill="1" applyBorder="1" applyAlignment="1" applyProtection="1"/>
    <xf numFmtId="0" fontId="2" fillId="16" borderId="6" xfId="0" applyFont="1" applyFill="1" applyBorder="1" applyAlignment="1" applyProtection="1"/>
    <xf numFmtId="0" fontId="2" fillId="11" borderId="0" xfId="0" applyFont="1" applyFill="1" applyAlignment="1" applyProtection="1"/>
    <xf numFmtId="0" fontId="0" fillId="15" borderId="3" xfId="0" applyFill="1" applyBorder="1" applyAlignment="1" applyProtection="1"/>
    <xf numFmtId="0" fontId="0" fillId="15" borderId="5" xfId="0" applyFill="1" applyBorder="1" applyAlignment="1" applyProtection="1"/>
    <xf numFmtId="0" fontId="0" fillId="15" borderId="8" xfId="0" applyFill="1" applyBorder="1" applyAlignment="1" applyProtection="1"/>
    <xf numFmtId="3" fontId="2" fillId="11" borderId="0" xfId="0" applyNumberFormat="1" applyFont="1" applyFill="1" applyAlignment="1" applyProtection="1"/>
    <xf numFmtId="165" fontId="2" fillId="11" borderId="0" xfId="0" applyNumberFormat="1" applyFont="1" applyFill="1" applyAlignment="1" applyProtection="1"/>
    <xf numFmtId="0" fontId="0" fillId="14" borderId="0" xfId="0" applyFill="1" applyBorder="1" applyAlignment="1" applyProtection="1"/>
    <xf numFmtId="0" fontId="0" fillId="11" borderId="0" xfId="0" applyFill="1" applyAlignment="1" applyProtection="1"/>
    <xf numFmtId="3" fontId="2" fillId="13" borderId="0" xfId="0" applyNumberFormat="1" applyFont="1" applyFill="1" applyAlignment="1" applyProtection="1"/>
    <xf numFmtId="0" fontId="2" fillId="13" borderId="0" xfId="0" applyFont="1" applyFill="1" applyBorder="1" applyAlignment="1" applyProtection="1"/>
    <xf numFmtId="165" fontId="2" fillId="13" borderId="0" xfId="0" applyNumberFormat="1" applyFont="1" applyFill="1" applyAlignment="1" applyProtection="1"/>
    <xf numFmtId="3" fontId="2" fillId="15" borderId="0" xfId="0" applyNumberFormat="1" applyFont="1" applyFill="1" applyAlignment="1" applyProtection="1"/>
    <xf numFmtId="165" fontId="2" fillId="15" borderId="0" xfId="0" applyNumberFormat="1" applyFont="1" applyFill="1" applyAlignment="1" applyProtection="1"/>
    <xf numFmtId="0" fontId="2" fillId="15" borderId="0" xfId="0" applyFont="1" applyFill="1" applyBorder="1" applyAlignment="1" applyProtection="1"/>
    <xf numFmtId="3" fontId="2" fillId="16" borderId="0" xfId="0" applyNumberFormat="1" applyFont="1" applyFill="1" applyAlignment="1" applyProtection="1"/>
    <xf numFmtId="165" fontId="2" fillId="16" borderId="0" xfId="0" applyNumberFormat="1" applyFont="1" applyFill="1" applyAlignment="1" applyProtection="1"/>
    <xf numFmtId="0" fontId="2" fillId="16" borderId="0" xfId="0" applyFont="1" applyFill="1" applyBorder="1" applyAlignment="1" applyProtection="1"/>
    <xf numFmtId="3" fontId="2" fillId="14" borderId="0" xfId="0" applyNumberFormat="1" applyFont="1" applyFill="1" applyAlignment="1" applyProtection="1"/>
    <xf numFmtId="165" fontId="2" fillId="14" borderId="0" xfId="0" applyNumberFormat="1" applyFont="1" applyFill="1" applyAlignment="1" applyProtection="1"/>
    <xf numFmtId="0" fontId="2" fillId="14" borderId="0" xfId="0" applyFont="1" applyFill="1" applyBorder="1" applyAlignment="1" applyProtection="1"/>
    <xf numFmtId="0" fontId="2" fillId="16" borderId="0" xfId="0" applyFont="1" applyFill="1" applyAlignment="1" applyProtection="1"/>
    <xf numFmtId="0" fontId="2" fillId="2" borderId="0" xfId="0" applyFont="1" applyFill="1" applyAlignment="1" applyProtection="1"/>
    <xf numFmtId="0" fontId="2" fillId="0" borderId="0" xfId="0" applyFont="1" applyAlignment="1" applyProtection="1"/>
    <xf numFmtId="0" fontId="2" fillId="0" borderId="0" xfId="0" applyFont="1"/>
    <xf numFmtId="0" fontId="4" fillId="0" borderId="0" xfId="0" applyFont="1" applyAlignment="1" applyProtection="1">
      <alignment wrapText="1"/>
    </xf>
    <xf numFmtId="0" fontId="4" fillId="0" borderId="0" xfId="0" applyFont="1" applyAlignment="1" applyProtection="1">
      <alignment horizontal="left" wrapText="1"/>
    </xf>
    <xf numFmtId="0" fontId="9" fillId="9" borderId="0" xfId="0" applyFont="1" applyFill="1" applyAlignment="1" applyProtection="1">
      <alignment vertical="center"/>
    </xf>
    <xf numFmtId="0" fontId="2" fillId="9" borderId="0" xfId="0" applyFont="1" applyFill="1" applyAlignment="1" applyProtection="1"/>
    <xf numFmtId="0" fontId="10" fillId="10" borderId="0" xfId="0" applyFont="1" applyFill="1" applyAlignment="1" applyProtection="1"/>
    <xf numFmtId="0" fontId="2" fillId="10" borderId="0" xfId="0" applyFont="1" applyFill="1" applyAlignment="1" applyProtection="1"/>
    <xf numFmtId="0" fontId="0" fillId="0" borderId="0" xfId="0" applyAlignment="1" applyProtection="1"/>
    <xf numFmtId="0" fontId="2" fillId="8" borderId="0" xfId="0" applyFont="1" applyFill="1" applyAlignment="1" applyProtection="1"/>
    <xf numFmtId="0" fontId="4" fillId="0" borderId="0" xfId="0" applyFont="1" applyAlignment="1" applyProtection="1">
      <alignment vertical="top" wrapText="1"/>
    </xf>
    <xf numFmtId="3" fontId="2" fillId="8" borderId="0" xfId="0" applyNumberFormat="1" applyFont="1" applyFill="1" applyAlignment="1" applyProtection="1"/>
    <xf numFmtId="0" fontId="11" fillId="0" borderId="0" xfId="0" applyFont="1" applyAlignment="1" applyProtection="1"/>
    <xf numFmtId="0" fontId="12" fillId="0" borderId="0" xfId="0" applyFont="1" applyAlignment="1">
      <alignment vertical="center"/>
    </xf>
    <xf numFmtId="0" fontId="13" fillId="0" borderId="0" xfId="0" applyFont="1" applyAlignment="1" applyProtection="1"/>
    <xf numFmtId="0" fontId="11" fillId="0" borderId="0" xfId="0" applyFont="1"/>
    <xf numFmtId="49" fontId="13" fillId="0" borderId="0" xfId="0" applyNumberFormat="1" applyFont="1" applyAlignment="1" applyProtection="1"/>
    <xf numFmtId="0" fontId="15" fillId="0" borderId="0" xfId="0" applyFont="1"/>
    <xf numFmtId="0" fontId="16" fillId="9" borderId="0" xfId="0" applyFont="1" applyFill="1" applyAlignment="1" applyProtection="1">
      <alignment vertical="center"/>
    </xf>
    <xf numFmtId="0" fontId="11" fillId="9" borderId="0" xfId="0" applyFont="1" applyFill="1" applyAlignment="1" applyProtection="1"/>
    <xf numFmtId="0" fontId="17" fillId="10" borderId="0" xfId="0" applyFont="1" applyFill="1" applyAlignment="1" applyProtection="1"/>
    <xf numFmtId="0" fontId="11" fillId="10" borderId="0" xfId="0" applyFont="1" applyFill="1" applyAlignment="1" applyProtection="1"/>
    <xf numFmtId="9" fontId="0" fillId="0" borderId="0" xfId="1" applyFont="1" applyBorder="1" applyAlignment="1" applyProtection="1"/>
    <xf numFmtId="0" fontId="5" fillId="0" borderId="0" xfId="0" applyFont="1" applyBorder="1" applyAlignment="1" applyProtection="1">
      <alignment vertical="top" wrapText="1"/>
    </xf>
    <xf numFmtId="0" fontId="0" fillId="17" borderId="0" xfId="0" applyFill="1" applyAlignment="1" applyProtection="1"/>
    <xf numFmtId="0" fontId="0" fillId="18" borderId="0" xfId="0" applyFill="1" applyAlignment="1" applyProtection="1"/>
    <xf numFmtId="0" fontId="0" fillId="0" borderId="0" xfId="0" applyFill="1"/>
    <xf numFmtId="0" fontId="0" fillId="0" borderId="0" xfId="0" applyFill="1" applyAlignment="1" applyProtection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5" fillId="0" borderId="0" xfId="0" applyFont="1" applyBorder="1" applyAlignment="1" applyProtection="1">
      <alignment horizontal="left" wrapText="1"/>
    </xf>
    <xf numFmtId="0" fontId="2" fillId="0" borderId="9" xfId="0" applyFont="1" applyBorder="1" applyAlignment="1" applyProtection="1">
      <alignment horizontal="center"/>
    </xf>
    <xf numFmtId="0" fontId="2" fillId="11" borderId="9" xfId="0" applyFont="1" applyFill="1" applyBorder="1" applyAlignment="1" applyProtection="1">
      <alignment horizontal="center"/>
    </xf>
    <xf numFmtId="0" fontId="2" fillId="12" borderId="9" xfId="0" applyFont="1" applyFill="1" applyBorder="1" applyAlignment="1" applyProtection="1">
      <alignment horizontal="center"/>
    </xf>
    <xf numFmtId="0" fontId="5" fillId="0" borderId="0" xfId="0" applyFont="1" applyBorder="1" applyAlignment="1" applyProtection="1">
      <alignment horizontal="left" vertical="top"/>
    </xf>
    <xf numFmtId="0" fontId="5" fillId="0" borderId="0" xfId="0" applyFont="1" applyBorder="1" applyAlignment="1" applyProtection="1">
      <alignment horizontal="left" vertical="top" wrapText="1"/>
    </xf>
    <xf numFmtId="0" fontId="14" fillId="0" borderId="0" xfId="0" applyFont="1" applyBorder="1" applyAlignment="1" applyProtection="1">
      <alignment horizontal="left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008080"/>
      <rgbColor rgb="FFC0C0C0"/>
      <rgbColor rgb="FF808080"/>
      <rgbColor rgb="FFB0C4DE"/>
      <rgbColor rgb="FF993366"/>
      <rgbColor rgb="FFFFEBCD"/>
      <rgbColor rgb="FFCCFFFF"/>
      <rgbColor rgb="FF660066"/>
      <rgbColor rgb="FFF09E6F"/>
      <rgbColor rgb="FF0369A3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4C6"/>
      <rgbColor rgb="FFFDE9A9"/>
      <rgbColor rgb="FFAADCF7"/>
      <rgbColor rgb="FFF2CBF8"/>
      <rgbColor rgb="FFBFBFBF"/>
      <rgbColor rgb="FFD9D9D9"/>
      <rgbColor rgb="FF3366FF"/>
      <rgbColor rgb="FF33CCCC"/>
      <rgbColor rgb="FF9ACD32"/>
      <rgbColor rgb="FFFFD74C"/>
      <rgbColor rgb="FFFF9900"/>
      <rgbColor rgb="FFFF420E"/>
      <rgbColor rgb="FF59595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600" b="0" u="none" strike="noStrike">
                <a:solidFill>
                  <a:schemeClr val="tx1"/>
                </a:solidFill>
                <a:uFillTx/>
                <a:latin typeface="Arial"/>
              </a:defRPr>
            </a:pPr>
            <a:r>
              <a:rPr lang="en-CA" sz="1600" b="0" u="none" strike="noStrike">
                <a:solidFill>
                  <a:schemeClr val="tx1"/>
                </a:solidFill>
                <a:uFillTx/>
                <a:latin typeface="Arial"/>
                <a:ea typeface="DejaVu Sans"/>
              </a:rPr>
              <a:t>Leasing Plan Efficiencies</a:t>
            </a:r>
          </a:p>
          <a:p>
            <a:pPr>
              <a:defRPr sz="1600" b="0" u="none" strike="noStrike">
                <a:solidFill>
                  <a:schemeClr val="tx1"/>
                </a:solidFill>
                <a:uFillTx/>
                <a:latin typeface="Arial"/>
              </a:defRPr>
            </a:pPr>
            <a:r>
              <a:rPr lang="en-CA" sz="1600" b="0" u="none" strike="noStrike">
                <a:solidFill>
                  <a:schemeClr val="tx1"/>
                </a:solidFill>
                <a:uFillTx/>
                <a:latin typeface="Arial"/>
                <a:ea typeface="DejaVu Sans"/>
              </a:rPr>
              <a:t>Potential Leasehold Variations vs. Total Square</a:t>
            </a:r>
            <a:r>
              <a:rPr lang="en-CA" sz="1600" b="0" u="none" strike="noStrike" baseline="0">
                <a:solidFill>
                  <a:schemeClr val="tx1"/>
                </a:solidFill>
                <a:uFillTx/>
                <a:latin typeface="Arial"/>
                <a:ea typeface="DejaVu Sans"/>
              </a:rPr>
              <a:t> Feet</a:t>
            </a:r>
            <a:endParaRPr lang="en-CA" sz="1600" b="0" u="none" strike="noStrike">
              <a:solidFill>
                <a:schemeClr val="tx1"/>
              </a:solidFill>
              <a:uFillTx/>
              <a:latin typeface="Arial"/>
              <a:ea typeface="DejaVu Sans"/>
            </a:endParaRPr>
          </a:p>
        </c:rich>
      </c:tx>
      <c:layout>
        <c:manualLayout>
          <c:xMode val="edge"/>
          <c:yMode val="edge"/>
          <c:x val="0.34177407598418169"/>
          <c:y val="3.8837276265974656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8513910648096975E-2"/>
          <c:y val="0.13093460834325729"/>
          <c:w val="0.84479522574424482"/>
          <c:h val="0.75303218926076676"/>
        </c:manualLayout>
      </c:layout>
      <c:lineChart>
        <c:grouping val="standard"/>
        <c:varyColors val="0"/>
        <c:ser>
          <c:idx val="0"/>
          <c:order val="0"/>
          <c:tx>
            <c:strRef>
              <c:f>Graphs!$D$19</c:f>
              <c:strCache>
                <c:ptCount val="1"/>
                <c:pt idx="0">
                  <c:v>325</c:v>
                </c:pt>
              </c:strCache>
            </c:strRef>
          </c:tx>
          <c:spPr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Graphs!$C$19:$C$45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cat>
          <c:val>
            <c:numRef>
              <c:f>Graphs!$D$20:$D$44</c:f>
              <c:numCache>
                <c:formatCode>General</c:formatCode>
                <c:ptCount val="25"/>
                <c:pt idx="0">
                  <c:v>465</c:v>
                </c:pt>
                <c:pt idx="1">
                  <c:v>650</c:v>
                </c:pt>
                <c:pt idx="2">
                  <c:v>685</c:v>
                </c:pt>
                <c:pt idx="3">
                  <c:v>790</c:v>
                </c:pt>
                <c:pt idx="4">
                  <c:v>975</c:v>
                </c:pt>
                <c:pt idx="5">
                  <c:v>1010</c:v>
                </c:pt>
                <c:pt idx="6">
                  <c:v>1115</c:v>
                </c:pt>
                <c:pt idx="7">
                  <c:v>1335</c:v>
                </c:pt>
                <c:pt idx="8">
                  <c:v>1440</c:v>
                </c:pt>
                <c:pt idx="9">
                  <c:v>1475</c:v>
                </c:pt>
                <c:pt idx="10">
                  <c:v>1660</c:v>
                </c:pt>
                <c:pt idx="11">
                  <c:v>1800</c:v>
                </c:pt>
                <c:pt idx="12">
                  <c:v>2090</c:v>
                </c:pt>
                <c:pt idx="13">
                  <c:v>2125</c:v>
                </c:pt>
                <c:pt idx="14">
                  <c:v>2450</c:v>
                </c:pt>
                <c:pt idx="15">
                  <c:v>2915</c:v>
                </c:pt>
                <c:pt idx="16">
                  <c:v>3100</c:v>
                </c:pt>
                <c:pt idx="17">
                  <c:v>3240</c:v>
                </c:pt>
                <c:pt idx="18">
                  <c:v>3565</c:v>
                </c:pt>
                <c:pt idx="19">
                  <c:v>3890</c:v>
                </c:pt>
                <c:pt idx="20">
                  <c:v>3785</c:v>
                </c:pt>
                <c:pt idx="21">
                  <c:v>3890</c:v>
                </c:pt>
                <c:pt idx="22">
                  <c:v>4110</c:v>
                </c:pt>
                <c:pt idx="23">
                  <c:v>4435</c:v>
                </c:pt>
                <c:pt idx="24">
                  <c:v>4575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997-064E-8395-17A0A1A67D23}"/>
            </c:ext>
          </c:extLst>
        </c:ser>
        <c:ser>
          <c:idx val="1"/>
          <c:order val="1"/>
          <c:tx>
            <c:strRef>
              <c:f>Graphs!$E$19</c:f>
              <c:strCache>
                <c:ptCount val="1"/>
                <c:pt idx="0">
                  <c:v>325</c:v>
                </c:pt>
              </c:strCache>
            </c:strRef>
          </c:tx>
          <c:spPr>
            <a:ln w="28800">
              <a:solidFill>
                <a:schemeClr val="accent1">
                  <a:lumMod val="50000"/>
                </a:schemeClr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80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Graphs!$C$19:$C$45</c:f>
              <c:numCache>
                <c:formatCode>General</c:formatCode>
                <c:ptCount val="2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</c:numCache>
            </c:numRef>
          </c:cat>
          <c:val>
            <c:numRef>
              <c:f>Graphs!$E$20:$E$44</c:f>
              <c:numCache>
                <c:formatCode>#,##0</c:formatCode>
                <c:ptCount val="25"/>
                <c:pt idx="0">
                  <c:v>650</c:v>
                </c:pt>
                <c:pt idx="1">
                  <c:v>975</c:v>
                </c:pt>
                <c:pt idx="2">
                  <c:v>1300</c:v>
                </c:pt>
                <c:pt idx="3">
                  <c:v>1625</c:v>
                </c:pt>
                <c:pt idx="4">
                  <c:v>1950</c:v>
                </c:pt>
                <c:pt idx="5">
                  <c:v>2275</c:v>
                </c:pt>
                <c:pt idx="6">
                  <c:v>2600</c:v>
                </c:pt>
                <c:pt idx="7">
                  <c:v>2925</c:v>
                </c:pt>
                <c:pt idx="8">
                  <c:v>3250</c:v>
                </c:pt>
                <c:pt idx="9">
                  <c:v>3575</c:v>
                </c:pt>
                <c:pt idx="10">
                  <c:v>3900</c:v>
                </c:pt>
                <c:pt idx="11">
                  <c:v>4225</c:v>
                </c:pt>
                <c:pt idx="12">
                  <c:v>4550</c:v>
                </c:pt>
                <c:pt idx="13">
                  <c:v>4875</c:v>
                </c:pt>
                <c:pt idx="14">
                  <c:v>5200</c:v>
                </c:pt>
                <c:pt idx="15">
                  <c:v>5525</c:v>
                </c:pt>
                <c:pt idx="16">
                  <c:v>5850</c:v>
                </c:pt>
                <c:pt idx="17">
                  <c:v>6175</c:v>
                </c:pt>
                <c:pt idx="18">
                  <c:v>6500</c:v>
                </c:pt>
                <c:pt idx="19">
                  <c:v>6825</c:v>
                </c:pt>
                <c:pt idx="20">
                  <c:v>7150</c:v>
                </c:pt>
                <c:pt idx="21">
                  <c:v>7475</c:v>
                </c:pt>
                <c:pt idx="22">
                  <c:v>7800</c:v>
                </c:pt>
                <c:pt idx="23">
                  <c:v>8125</c:v>
                </c:pt>
                <c:pt idx="24">
                  <c:v>8450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97-064E-8395-17A0A1A67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615275"/>
        <c:axId val="51687727"/>
      </c:lineChart>
      <c:catAx>
        <c:axId val="19615275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600" b="0">
                    <a:solidFill>
                      <a:schemeClr val="tx1"/>
                    </a:solidFill>
                  </a:defRPr>
                </a:pPr>
                <a:r>
                  <a:rPr lang="en-US" sz="1600" b="0">
                    <a:solidFill>
                      <a:schemeClr val="tx1"/>
                    </a:solidFill>
                  </a:rPr>
                  <a:t>Leasehold</a:t>
                </a:r>
                <a:r>
                  <a:rPr lang="en-US" sz="1600" b="0" baseline="0">
                    <a:solidFill>
                      <a:schemeClr val="tx1"/>
                    </a:solidFill>
                  </a:rPr>
                  <a:t> Variations (#)</a:t>
                </a:r>
                <a:endParaRPr lang="en-US" sz="1600" b="0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0.43407124151327481"/>
              <c:y val="0.93828022964398072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u="none" strike="noStrike">
                <a:solidFill>
                  <a:schemeClr val="bg1">
                    <a:lumMod val="50000"/>
                  </a:schemeClr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51687727"/>
        <c:crosses val="autoZero"/>
        <c:auto val="1"/>
        <c:lblAlgn val="ctr"/>
        <c:lblOffset val="100"/>
        <c:noMultiLvlLbl val="0"/>
      </c:catAx>
      <c:valAx>
        <c:axId val="5168772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/>
              <a:lstStyle/>
              <a:p>
                <a:pPr>
                  <a:defRPr sz="1600">
                    <a:ln>
                      <a:noFill/>
                    </a:ln>
                    <a:solidFill>
                      <a:schemeClr val="tx1"/>
                    </a:solidFill>
                    <a:effectLst/>
                  </a:defRPr>
                </a:pPr>
                <a:r>
                  <a:rPr lang="en-US" sz="1600" b="0">
                    <a:ln>
                      <a:noFill/>
                    </a:ln>
                    <a:solidFill>
                      <a:schemeClr val="tx1"/>
                    </a:solidFill>
                    <a:effectLst/>
                  </a:rPr>
                  <a:t>Total Square Feet (SF)</a:t>
                </a:r>
              </a:p>
            </c:rich>
          </c:tx>
          <c:layout>
            <c:manualLayout>
              <c:xMode val="edge"/>
              <c:yMode val="edge"/>
              <c:x val="2.1256040264448269E-2"/>
              <c:y val="0.31318874531202789"/>
            </c:manualLayout>
          </c:layout>
          <c:overlay val="0"/>
          <c:spPr>
            <a:noFill/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1200" b="0" u="none" strike="noStrike">
                <a:solidFill>
                  <a:schemeClr val="bg1">
                    <a:lumMod val="50000"/>
                  </a:schemeClr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1961527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CA" sz="14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440" cap="rnd">
              <a:solidFill>
                <a:srgbClr val="18A30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Graphs!$C$77:$C$118</c:f>
              <c:numCache>
                <c:formatCode>General</c:formatCode>
                <c:ptCount val="4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D4-E646-9B0F-50E2E0ADECCF}"/>
            </c:ext>
          </c:extLst>
        </c:ser>
        <c:ser>
          <c:idx val="1"/>
          <c:order val="1"/>
          <c:spPr>
            <a:ln w="28440" cap="rnd">
              <a:solidFill>
                <a:srgbClr val="0369A3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val>
            <c:numRef>
              <c:f>Graphs!$D$77:$D$118</c:f>
              <c:numCache>
                <c:formatCode>General</c:formatCode>
                <c:ptCount val="42"/>
                <c:pt idx="0">
                  <c:v>325</c:v>
                </c:pt>
                <c:pt idx="1">
                  <c:v>465</c:v>
                </c:pt>
                <c:pt idx="2">
                  <c:v>650</c:v>
                </c:pt>
                <c:pt idx="3">
                  <c:v>685</c:v>
                </c:pt>
                <c:pt idx="4">
                  <c:v>790</c:v>
                </c:pt>
                <c:pt idx="5">
                  <c:v>975</c:v>
                </c:pt>
                <c:pt idx="6">
                  <c:v>1010</c:v>
                </c:pt>
                <c:pt idx="7">
                  <c:v>1115</c:v>
                </c:pt>
                <c:pt idx="8">
                  <c:v>1335</c:v>
                </c:pt>
                <c:pt idx="9">
                  <c:v>1440</c:v>
                </c:pt>
                <c:pt idx="10">
                  <c:v>1475</c:v>
                </c:pt>
                <c:pt idx="11">
                  <c:v>1660</c:v>
                </c:pt>
                <c:pt idx="12">
                  <c:v>1800</c:v>
                </c:pt>
                <c:pt idx="13">
                  <c:v>2090</c:v>
                </c:pt>
                <c:pt idx="14">
                  <c:v>2125</c:v>
                </c:pt>
                <c:pt idx="15">
                  <c:v>2450</c:v>
                </c:pt>
                <c:pt idx="16">
                  <c:v>2915</c:v>
                </c:pt>
                <c:pt idx="17">
                  <c:v>3100</c:v>
                </c:pt>
                <c:pt idx="18">
                  <c:v>3240</c:v>
                </c:pt>
                <c:pt idx="19">
                  <c:v>3565</c:v>
                </c:pt>
                <c:pt idx="20">
                  <c:v>3890</c:v>
                </c:pt>
                <c:pt idx="21">
                  <c:v>3785</c:v>
                </c:pt>
                <c:pt idx="22">
                  <c:v>3890</c:v>
                </c:pt>
                <c:pt idx="23">
                  <c:v>4110</c:v>
                </c:pt>
                <c:pt idx="24">
                  <c:v>4435</c:v>
                </c:pt>
                <c:pt idx="25">
                  <c:v>4575</c:v>
                </c:pt>
                <c:pt idx="26">
                  <c:v>4760</c:v>
                </c:pt>
                <c:pt idx="27">
                  <c:v>4900</c:v>
                </c:pt>
                <c:pt idx="28">
                  <c:v>5225</c:v>
                </c:pt>
                <c:pt idx="29">
                  <c:v>5550</c:v>
                </c:pt>
                <c:pt idx="30">
                  <c:v>5875</c:v>
                </c:pt>
                <c:pt idx="31">
                  <c:v>6200</c:v>
                </c:pt>
                <c:pt idx="32">
                  <c:v>6340</c:v>
                </c:pt>
                <c:pt idx="33">
                  <c:v>6525</c:v>
                </c:pt>
                <c:pt idx="34">
                  <c:v>6665</c:v>
                </c:pt>
                <c:pt idx="35">
                  <c:v>6885</c:v>
                </c:pt>
                <c:pt idx="36">
                  <c:v>7210</c:v>
                </c:pt>
                <c:pt idx="37">
                  <c:v>7350</c:v>
                </c:pt>
                <c:pt idx="38">
                  <c:v>7535</c:v>
                </c:pt>
                <c:pt idx="39">
                  <c:v>7675</c:v>
                </c:pt>
                <c:pt idx="40">
                  <c:v>8000</c:v>
                </c:pt>
                <c:pt idx="41">
                  <c:v>8325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D4-E646-9B0F-50E2E0ADE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148638"/>
        <c:axId val="24729838"/>
      </c:lineChart>
      <c:catAx>
        <c:axId val="371486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24729838"/>
        <c:crosses val="autoZero"/>
        <c:auto val="1"/>
        <c:lblAlgn val="ctr"/>
        <c:lblOffset val="100"/>
        <c:noMultiLvlLbl val="0"/>
      </c:catAx>
      <c:valAx>
        <c:axId val="2472983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Arial"/>
                <a:ea typeface="DejaVu Sans"/>
              </a:defRPr>
            </a:pPr>
            <a:endParaRPr lang="en-US"/>
          </a:p>
        </c:txPr>
        <c:crossAx val="3714863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Arial"/>
              <a:ea typeface="DejaVu San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206375</xdr:colOff>
      <xdr:row>18</xdr:row>
      <xdr:rowOff>15875</xdr:rowOff>
    </xdr:from>
    <xdr:to>
      <xdr:col>24</xdr:col>
      <xdr:colOff>396874</xdr:colOff>
      <xdr:row>51</xdr:row>
      <xdr:rowOff>95250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387360</xdr:colOff>
      <xdr:row>78</xdr:row>
      <xdr:rowOff>82440</xdr:rowOff>
    </xdr:from>
    <xdr:to>
      <xdr:col>11</xdr:col>
      <xdr:colOff>711000</xdr:colOff>
      <xdr:row>101</xdr:row>
      <xdr:rowOff>24840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9:JI190"/>
  <sheetViews>
    <sheetView tabSelected="1" topLeftCell="GO55" zoomScaleNormal="100" workbookViewId="0">
      <selection activeCell="GZ68" sqref="GZ68"/>
    </sheetView>
  </sheetViews>
  <sheetFormatPr baseColWidth="10" defaultColWidth="3.1640625" defaultRowHeight="13" x14ac:dyDescent="0.15"/>
  <cols>
    <col min="64" max="80" width="9.6640625" style="1" customWidth="1"/>
    <col min="81" max="81" width="9.6640625" style="2" customWidth="1"/>
    <col min="82" max="86" width="9.6640625" style="1" customWidth="1"/>
    <col min="87" max="87" width="12" style="1" customWidth="1"/>
    <col min="88" max="269" width="9.6640625" style="1" customWidth="1"/>
  </cols>
  <sheetData>
    <row r="9" spans="14:75" ht="18" customHeight="1" x14ac:dyDescent="0.15">
      <c r="BN9" s="1" t="s">
        <v>0</v>
      </c>
      <c r="BO9" s="1">
        <v>325</v>
      </c>
    </row>
    <row r="10" spans="14:75" ht="18" customHeight="1" x14ac:dyDescent="0.2">
      <c r="N10" s="3" t="s">
        <v>1</v>
      </c>
      <c r="BN10" s="1" t="s">
        <v>2</v>
      </c>
      <c r="BO10" s="1">
        <v>465</v>
      </c>
    </row>
    <row r="11" spans="14:75" ht="18" customHeight="1" x14ac:dyDescent="0.15">
      <c r="BN11" s="1" t="s">
        <v>3</v>
      </c>
      <c r="BO11" s="1">
        <v>685</v>
      </c>
    </row>
    <row r="12" spans="14:75" ht="18" customHeight="1" x14ac:dyDescent="0.15">
      <c r="N12" s="4"/>
      <c r="O12" s="5"/>
      <c r="P12" s="6"/>
      <c r="Q12" s="7"/>
      <c r="R12" s="8"/>
      <c r="S12" s="8"/>
      <c r="T12" s="8"/>
      <c r="U12" s="8"/>
      <c r="V12" s="8"/>
      <c r="W12" s="9"/>
      <c r="X12" s="4"/>
      <c r="Y12" s="5"/>
      <c r="Z12" s="6"/>
      <c r="AA12" s="10"/>
      <c r="AB12" s="11"/>
      <c r="AC12" s="11"/>
      <c r="AD12" s="11"/>
      <c r="AE12" s="12"/>
      <c r="AF12" s="4"/>
      <c r="AG12" s="5"/>
      <c r="AH12" s="6"/>
      <c r="AI12" s="4"/>
      <c r="AJ12" s="5"/>
      <c r="AK12" s="6"/>
      <c r="AL12" s="7"/>
      <c r="AM12" s="8"/>
      <c r="AN12" s="8"/>
      <c r="AO12" s="8"/>
      <c r="AP12" s="8"/>
      <c r="AQ12" s="8"/>
      <c r="AR12" s="9"/>
      <c r="AS12" s="4"/>
      <c r="AT12" s="5"/>
      <c r="AU12" s="6"/>
      <c r="AV12" s="10"/>
      <c r="AW12" s="11"/>
      <c r="AX12" s="11"/>
      <c r="AY12" s="11"/>
      <c r="AZ12" s="12"/>
      <c r="BA12" s="4"/>
      <c r="BB12" s="5"/>
      <c r="BC12" s="6"/>
    </row>
    <row r="13" spans="14:75" ht="18" customHeight="1" x14ac:dyDescent="0.15">
      <c r="N13" s="13"/>
      <c r="O13" s="14"/>
      <c r="P13" s="15"/>
      <c r="Q13" s="16"/>
      <c r="R13" s="17"/>
      <c r="S13" s="17"/>
      <c r="T13" s="17"/>
      <c r="U13" s="17"/>
      <c r="V13" s="17"/>
      <c r="W13" s="18"/>
      <c r="X13" s="13"/>
      <c r="Y13" s="14"/>
      <c r="Z13" s="15"/>
      <c r="AA13" s="19"/>
      <c r="AB13" s="20"/>
      <c r="AC13" s="20"/>
      <c r="AD13" s="20"/>
      <c r="AE13" s="21"/>
      <c r="AF13" s="13"/>
      <c r="AG13" s="14"/>
      <c r="AH13" s="15"/>
      <c r="AI13" s="13"/>
      <c r="AJ13" s="14"/>
      <c r="AK13" s="15"/>
      <c r="AL13" s="16"/>
      <c r="AM13" s="17"/>
      <c r="AN13" s="17"/>
      <c r="AO13" s="17"/>
      <c r="AP13" s="17"/>
      <c r="AQ13" s="17"/>
      <c r="AR13" s="18"/>
      <c r="AS13" s="13"/>
      <c r="AT13" s="14"/>
      <c r="AU13" s="15"/>
      <c r="AV13" s="19"/>
      <c r="AW13" s="20"/>
      <c r="AX13" s="20"/>
      <c r="AY13" s="20"/>
      <c r="AZ13" s="21"/>
      <c r="BA13" s="13"/>
      <c r="BB13" s="14"/>
      <c r="BC13" s="15"/>
    </row>
    <row r="14" spans="14:75" ht="18" customHeight="1" x14ac:dyDescent="0.15">
      <c r="N14" s="22"/>
      <c r="O14" s="23"/>
      <c r="P14" s="24"/>
      <c r="Q14" s="25"/>
      <c r="R14" s="26"/>
      <c r="S14" s="26"/>
      <c r="T14" s="26"/>
      <c r="U14" s="26"/>
      <c r="V14" s="26"/>
      <c r="W14" s="27"/>
      <c r="X14" s="22"/>
      <c r="Y14" s="23"/>
      <c r="Z14" s="24"/>
      <c r="AA14" s="28"/>
      <c r="AB14" s="29"/>
      <c r="AC14" s="29"/>
      <c r="AD14" s="29"/>
      <c r="AE14" s="30"/>
      <c r="AF14" s="22"/>
      <c r="AG14" s="23"/>
      <c r="AH14" s="24"/>
      <c r="AI14" s="22"/>
      <c r="AJ14" s="23"/>
      <c r="AK14" s="24"/>
      <c r="AL14" s="25"/>
      <c r="AM14" s="26"/>
      <c r="AN14" s="26"/>
      <c r="AO14" s="26"/>
      <c r="AP14" s="26"/>
      <c r="AQ14" s="26"/>
      <c r="AR14" s="27"/>
      <c r="AS14" s="22"/>
      <c r="AT14" s="23"/>
      <c r="AU14" s="24"/>
      <c r="AV14" s="28"/>
      <c r="AW14" s="29"/>
      <c r="AX14" s="29"/>
      <c r="AY14" s="29"/>
      <c r="AZ14" s="30"/>
      <c r="BA14" s="22"/>
      <c r="BB14" s="23"/>
      <c r="BC14" s="24"/>
    </row>
    <row r="15" spans="14:75" ht="18" customHeight="1" x14ac:dyDescent="0.15">
      <c r="BL15" s="1" t="s">
        <v>4</v>
      </c>
    </row>
    <row r="16" spans="14:75" ht="18" customHeight="1" x14ac:dyDescent="0.15"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L16" s="1">
        <f>SUM(BN16:BX16)</f>
        <v>4250</v>
      </c>
      <c r="BN16" s="1">
        <v>325</v>
      </c>
      <c r="BO16" s="1">
        <v>685</v>
      </c>
      <c r="BP16" s="1">
        <v>325</v>
      </c>
      <c r="BQ16" s="1">
        <v>465</v>
      </c>
      <c r="BR16" s="1">
        <v>325</v>
      </c>
      <c r="BS16" s="1">
        <v>325</v>
      </c>
      <c r="BT16" s="1">
        <v>685</v>
      </c>
      <c r="BU16" s="1">
        <v>325</v>
      </c>
      <c r="BV16" s="1">
        <v>465</v>
      </c>
      <c r="BW16" s="1">
        <v>325</v>
      </c>
    </row>
    <row r="18" spans="14:74" ht="18" customHeight="1" x14ac:dyDescent="0.2">
      <c r="N18" s="32" t="s">
        <v>5</v>
      </c>
      <c r="BN18" s="1">
        <f>SUM(BR16:BS16)</f>
        <v>650</v>
      </c>
      <c r="BO18" s="1">
        <f>SUM(BQ16:BS16)</f>
        <v>1115</v>
      </c>
      <c r="BP18" s="1">
        <f>SUM(BR16:BU16)</f>
        <v>1660</v>
      </c>
      <c r="BQ18" s="1">
        <f>SUM(BN16:BS16)</f>
        <v>2450</v>
      </c>
      <c r="BR18" s="1">
        <f>SUM(BQ16:BW16)</f>
        <v>2915</v>
      </c>
      <c r="BS18" s="1">
        <f>SUM(BP16:BW16)</f>
        <v>3240</v>
      </c>
      <c r="BT18" s="1">
        <f>SUM(BN16:BV16)</f>
        <v>3925</v>
      </c>
      <c r="BU18" s="1">
        <f>SUM(BN16:BW16)</f>
        <v>4250</v>
      </c>
    </row>
    <row r="19" spans="14:74" ht="18" customHeight="1" x14ac:dyDescent="0.15">
      <c r="BN19" s="1">
        <f>SUM(BP16:BQ16)</f>
        <v>790</v>
      </c>
      <c r="BO19" s="1">
        <f>SUM(BU16:BW16)</f>
        <v>1115</v>
      </c>
      <c r="BP19" s="1">
        <f>SUM(BN16:BQ16)</f>
        <v>1800</v>
      </c>
      <c r="BQ19" s="1">
        <f>SUM(BR16:BW16)</f>
        <v>2450</v>
      </c>
      <c r="BR19" s="1">
        <f>SUM(BN16:BT16)</f>
        <v>3135</v>
      </c>
      <c r="BS19" s="1">
        <f>SUM(BN16:BU16)</f>
        <v>3460</v>
      </c>
      <c r="BT19" s="1">
        <f>SUM(BO16:BW16)</f>
        <v>3925</v>
      </c>
    </row>
    <row r="20" spans="14:74" ht="18" customHeight="1" x14ac:dyDescent="0.2">
      <c r="N20" s="32" t="s">
        <v>6</v>
      </c>
      <c r="BN20" s="1">
        <f>SUM(BV16:BW16)</f>
        <v>790</v>
      </c>
      <c r="BO20" s="1">
        <f>SUM(BN16:BP16)</f>
        <v>1335</v>
      </c>
      <c r="BP20" s="1">
        <f>SUM(BT16:BW16)</f>
        <v>1800</v>
      </c>
    </row>
    <row r="21" spans="14:74" ht="18" customHeight="1" x14ac:dyDescent="0.15">
      <c r="BN21" s="1">
        <f>SUM(BV16:BW16)</f>
        <v>790</v>
      </c>
      <c r="BO21" s="1">
        <f>SUM(BT16:BV16)</f>
        <v>1475</v>
      </c>
    </row>
    <row r="22" spans="14:74" ht="18" customHeight="1" x14ac:dyDescent="0.15">
      <c r="BN22" s="1">
        <f>SUM(BN16:BO16)</f>
        <v>1010</v>
      </c>
    </row>
    <row r="23" spans="14:74" ht="18" customHeight="1" x14ac:dyDescent="0.15">
      <c r="N23" s="4"/>
      <c r="O23" s="5"/>
      <c r="P23" s="6"/>
      <c r="Q23" s="7"/>
      <c r="R23" s="8"/>
      <c r="S23" s="8"/>
      <c r="T23" s="8"/>
      <c r="U23" s="8"/>
      <c r="V23" s="8"/>
      <c r="W23" s="9"/>
      <c r="X23" s="4"/>
      <c r="Y23" s="5"/>
      <c r="Z23" s="6"/>
      <c r="AA23" s="10"/>
      <c r="AB23" s="11"/>
      <c r="AC23" s="11"/>
      <c r="AD23" s="11"/>
      <c r="AE23" s="12"/>
      <c r="AF23" s="4"/>
      <c r="AG23" s="5"/>
      <c r="AH23" s="6"/>
      <c r="AI23" s="10"/>
      <c r="AJ23" s="11"/>
      <c r="AK23" s="11"/>
      <c r="AL23" s="11"/>
      <c r="AM23" s="12"/>
      <c r="AN23" s="4"/>
      <c r="AO23" s="5"/>
      <c r="AP23" s="6"/>
      <c r="AQ23" s="10"/>
      <c r="AR23" s="11"/>
      <c r="AS23" s="11"/>
      <c r="AT23" s="11"/>
      <c r="AU23" s="12"/>
      <c r="AV23" s="4"/>
      <c r="AW23" s="5"/>
      <c r="AX23" s="6"/>
      <c r="BN23" s="1">
        <f>SUM(BT16:BU16)</f>
        <v>1010</v>
      </c>
    </row>
    <row r="24" spans="14:74" ht="18" customHeight="1" x14ac:dyDescent="0.15">
      <c r="N24" s="13"/>
      <c r="O24" s="14"/>
      <c r="P24" s="15"/>
      <c r="Q24" s="16"/>
      <c r="R24" s="17"/>
      <c r="S24" s="17"/>
      <c r="T24" s="17"/>
      <c r="U24" s="17"/>
      <c r="V24" s="17"/>
      <c r="W24" s="18"/>
      <c r="X24" s="13"/>
      <c r="Y24" s="14"/>
      <c r="Z24" s="15"/>
      <c r="AA24" s="19"/>
      <c r="AB24" s="20"/>
      <c r="AC24" s="20"/>
      <c r="AD24" s="20"/>
      <c r="AE24" s="21"/>
      <c r="AF24" s="13"/>
      <c r="AG24" s="14"/>
      <c r="AH24" s="15"/>
      <c r="AI24" s="19"/>
      <c r="AJ24" s="20"/>
      <c r="AK24" s="20"/>
      <c r="AL24" s="20"/>
      <c r="AM24" s="21"/>
      <c r="AN24" s="13"/>
      <c r="AO24" s="14"/>
      <c r="AP24" s="15"/>
      <c r="AQ24" s="19"/>
      <c r="AR24" s="20"/>
      <c r="AS24" s="20"/>
      <c r="AT24" s="20"/>
      <c r="AU24" s="21"/>
      <c r="AV24" s="13"/>
      <c r="AW24" s="14"/>
      <c r="AX24" s="15"/>
    </row>
    <row r="25" spans="14:74" ht="18" customHeight="1" x14ac:dyDescent="0.15">
      <c r="N25" s="22"/>
      <c r="O25" s="23"/>
      <c r="P25" s="24"/>
      <c r="Q25" s="25"/>
      <c r="R25" s="26"/>
      <c r="S25" s="26"/>
      <c r="T25" s="26"/>
      <c r="U25" s="26"/>
      <c r="V25" s="26"/>
      <c r="W25" s="27"/>
      <c r="X25" s="22"/>
      <c r="Y25" s="23"/>
      <c r="Z25" s="24"/>
      <c r="AA25" s="28"/>
      <c r="AB25" s="29"/>
      <c r="AC25" s="29"/>
      <c r="AD25" s="29"/>
      <c r="AE25" s="30"/>
      <c r="AF25" s="22"/>
      <c r="AG25" s="23"/>
      <c r="AH25" s="24"/>
      <c r="AI25" s="28"/>
      <c r="AJ25" s="29"/>
      <c r="AK25" s="29"/>
      <c r="AL25" s="29"/>
      <c r="AM25" s="30"/>
      <c r="AN25" s="22"/>
      <c r="AO25" s="23"/>
      <c r="AP25" s="24"/>
      <c r="AQ25" s="28"/>
      <c r="AR25" s="29"/>
      <c r="AS25" s="29"/>
      <c r="AT25" s="29"/>
      <c r="AU25" s="30"/>
      <c r="AV25" s="22"/>
      <c r="AW25" s="23"/>
      <c r="AX25" s="24"/>
      <c r="BO25" s="33">
        <v>1500</v>
      </c>
      <c r="BP25" s="33">
        <v>1700</v>
      </c>
      <c r="BQ25" s="33">
        <v>1900</v>
      </c>
      <c r="BR25" s="33">
        <v>2000</v>
      </c>
      <c r="BS25" s="33">
        <v>2100</v>
      </c>
      <c r="BT25" s="33">
        <v>2200</v>
      </c>
      <c r="BU25" s="33">
        <v>2300</v>
      </c>
    </row>
    <row r="27" spans="14:74" ht="18" customHeight="1" x14ac:dyDescent="0.15"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L27" s="1">
        <f>SUM(BM27:BW27)</f>
        <v>3705</v>
      </c>
      <c r="BN27" s="1">
        <v>325</v>
      </c>
      <c r="BO27" s="1">
        <v>685</v>
      </c>
      <c r="BP27" s="1">
        <v>325</v>
      </c>
      <c r="BQ27" s="1">
        <v>465</v>
      </c>
      <c r="BR27" s="1">
        <v>325</v>
      </c>
      <c r="BS27" s="1">
        <v>465</v>
      </c>
      <c r="BT27" s="1">
        <v>325</v>
      </c>
      <c r="BU27" s="1">
        <v>465</v>
      </c>
      <c r="BV27" s="1">
        <v>325</v>
      </c>
    </row>
    <row r="29" spans="14:74" ht="18" customHeight="1" x14ac:dyDescent="0.2">
      <c r="N29" s="32" t="s">
        <v>7</v>
      </c>
      <c r="BN29" s="1">
        <f>SUM(BR27:BS27)</f>
        <v>790</v>
      </c>
      <c r="BO29" s="1">
        <f>SUM(BQ27:BS27)</f>
        <v>1255</v>
      </c>
      <c r="BP29" s="1">
        <f>SUM(BR27:BU27)</f>
        <v>1580</v>
      </c>
      <c r="BQ29" s="1">
        <f>SUM(BN27:BS27)</f>
        <v>2590</v>
      </c>
      <c r="BR29" s="1">
        <f>SUM(BP27:BV27)</f>
        <v>2695</v>
      </c>
      <c r="BS29" s="1">
        <f>SUM(BO27:BV27)</f>
        <v>3380</v>
      </c>
      <c r="BT29" s="1">
        <f>SUM(BN27:BV27)</f>
        <v>3705</v>
      </c>
      <c r="BU29" s="1">
        <f>SUM(BN27:BV27)</f>
        <v>3705</v>
      </c>
    </row>
    <row r="30" spans="14:74" ht="18" customHeight="1" x14ac:dyDescent="0.15">
      <c r="BN30" s="1">
        <f>SUM(BP27:BQ27)</f>
        <v>790</v>
      </c>
      <c r="BO30" s="1">
        <f>SUM(BT27:BV27)</f>
        <v>1115</v>
      </c>
      <c r="BP30" s="1">
        <f>SUM(BN27:BQ27)</f>
        <v>1800</v>
      </c>
      <c r="BQ30" s="1">
        <f>SUM(BQ27:BV27)</f>
        <v>2370</v>
      </c>
      <c r="BR30" s="1">
        <f>SUM(BN27:BT27)</f>
        <v>2915</v>
      </c>
      <c r="BS30" s="1">
        <f>SUM(BN27:BU27)</f>
        <v>3380</v>
      </c>
      <c r="BT30" s="1">
        <f>SUM(BN27:BV27)</f>
        <v>3705</v>
      </c>
    </row>
    <row r="31" spans="14:74" ht="18" customHeight="1" x14ac:dyDescent="0.2">
      <c r="N31" s="32" t="s">
        <v>8</v>
      </c>
      <c r="BN31" s="1">
        <f>SUM(BU27:BV27)</f>
        <v>790</v>
      </c>
      <c r="BO31" s="1">
        <f>SUM(BN27:BP27)</f>
        <v>1335</v>
      </c>
      <c r="BP31" s="1">
        <f>SUM(BS27:BV27)</f>
        <v>1580</v>
      </c>
    </row>
    <row r="32" spans="14:74" ht="18" customHeight="1" x14ac:dyDescent="0.15">
      <c r="BN32" s="1">
        <f>SUM(BU27:BV27)</f>
        <v>790</v>
      </c>
      <c r="BO32" s="1">
        <f>SUM(BT27:BV27)</f>
        <v>1115</v>
      </c>
    </row>
    <row r="33" spans="14:221" ht="18" customHeight="1" x14ac:dyDescent="0.15">
      <c r="BN33" s="1">
        <f>SUM(BN27:BO27)</f>
        <v>1010</v>
      </c>
    </row>
    <row r="34" spans="14:221" ht="18" customHeight="1" x14ac:dyDescent="0.15">
      <c r="BN34" s="1">
        <f>SUM(BT27:BU27)</f>
        <v>790</v>
      </c>
    </row>
    <row r="35" spans="14:221" ht="18" customHeight="1" x14ac:dyDescent="0.15">
      <c r="N35" s="4"/>
      <c r="O35" s="5"/>
      <c r="P35" s="6"/>
      <c r="Q35" s="7"/>
      <c r="R35" s="8"/>
      <c r="S35" s="8"/>
      <c r="T35" s="8"/>
      <c r="U35" s="8"/>
      <c r="V35" s="8"/>
      <c r="W35" s="9"/>
      <c r="X35" s="4"/>
      <c r="Y35" s="5"/>
      <c r="Z35" s="6"/>
      <c r="AA35" s="10"/>
      <c r="AB35" s="11"/>
      <c r="AC35" s="11"/>
      <c r="AD35" s="11"/>
      <c r="AE35" s="12"/>
      <c r="AF35" s="4"/>
      <c r="AG35" s="5"/>
      <c r="AH35" s="6"/>
      <c r="AI35" s="7"/>
      <c r="AJ35" s="8"/>
      <c r="AK35" s="8"/>
      <c r="AL35" s="8"/>
      <c r="AM35" s="8"/>
      <c r="AN35" s="8"/>
      <c r="AO35" s="9"/>
      <c r="AP35" s="4"/>
      <c r="AQ35" s="5"/>
      <c r="AR35" s="6"/>
      <c r="AS35" s="10"/>
      <c r="AT35" s="11"/>
      <c r="AU35" s="11"/>
      <c r="AV35" s="11"/>
      <c r="AW35" s="12"/>
      <c r="AX35" s="4"/>
      <c r="AY35" s="5"/>
      <c r="AZ35" s="6"/>
      <c r="CE35" s="1">
        <f>SUM(CG49:CQ49)</f>
        <v>0</v>
      </c>
      <c r="CG35" s="1">
        <v>325</v>
      </c>
      <c r="CH35" s="1">
        <v>465</v>
      </c>
      <c r="CI35" s="1">
        <v>325</v>
      </c>
      <c r="CJ35" s="1">
        <v>685</v>
      </c>
      <c r="CK35" s="1">
        <v>325</v>
      </c>
      <c r="CL35" s="1">
        <v>325</v>
      </c>
      <c r="CM35" s="1">
        <v>325</v>
      </c>
    </row>
    <row r="36" spans="14:221" ht="18" customHeight="1" x14ac:dyDescent="0.15">
      <c r="N36" s="13"/>
      <c r="O36" s="14"/>
      <c r="P36" s="15"/>
      <c r="Q36" s="16"/>
      <c r="R36" s="17"/>
      <c r="S36" s="17"/>
      <c r="T36" s="17"/>
      <c r="U36" s="17"/>
      <c r="V36" s="17"/>
      <c r="W36" s="18"/>
      <c r="X36" s="13"/>
      <c r="Y36" s="14"/>
      <c r="Z36" s="15"/>
      <c r="AA36" s="19"/>
      <c r="AB36" s="20"/>
      <c r="AC36" s="20"/>
      <c r="AD36" s="20"/>
      <c r="AE36" s="21"/>
      <c r="AF36" s="13"/>
      <c r="AG36" s="14"/>
      <c r="AH36" s="15"/>
      <c r="AI36" s="16"/>
      <c r="AJ36" s="17"/>
      <c r="AK36" s="17"/>
      <c r="AL36" s="17"/>
      <c r="AM36" s="17"/>
      <c r="AN36" s="17"/>
      <c r="AO36" s="18"/>
      <c r="AP36" s="13"/>
      <c r="AQ36" s="14"/>
      <c r="AR36" s="15"/>
      <c r="AS36" s="19"/>
      <c r="AT36" s="20"/>
      <c r="AU36" s="20"/>
      <c r="AV36" s="20"/>
      <c r="AW36" s="21"/>
      <c r="AX36" s="13"/>
      <c r="AY36" s="14"/>
      <c r="AZ36" s="15"/>
    </row>
    <row r="37" spans="14:221" ht="18" customHeight="1" x14ac:dyDescent="0.15">
      <c r="N37" s="22"/>
      <c r="O37" s="23"/>
      <c r="P37" s="24"/>
      <c r="Q37" s="25"/>
      <c r="R37" s="26"/>
      <c r="S37" s="26"/>
      <c r="T37" s="26"/>
      <c r="U37" s="26"/>
      <c r="V37" s="26"/>
      <c r="W37" s="27"/>
      <c r="X37" s="22"/>
      <c r="Y37" s="23"/>
      <c r="Z37" s="24"/>
      <c r="AA37" s="28"/>
      <c r="AB37" s="29"/>
      <c r="AC37" s="29"/>
      <c r="AD37" s="29"/>
      <c r="AE37" s="30"/>
      <c r="AF37" s="22"/>
      <c r="AG37" s="23"/>
      <c r="AH37" s="24"/>
      <c r="AI37" s="25"/>
      <c r="AJ37" s="26"/>
      <c r="AK37" s="26"/>
      <c r="AL37" s="26"/>
      <c r="AM37" s="26"/>
      <c r="AN37" s="26"/>
      <c r="AO37" s="27"/>
      <c r="AP37" s="22"/>
      <c r="AQ37" s="23"/>
      <c r="AR37" s="24"/>
      <c r="AS37" s="28"/>
      <c r="AT37" s="29"/>
      <c r="AU37" s="29"/>
      <c r="AV37" s="29"/>
      <c r="AW37" s="30"/>
      <c r="AX37" s="22"/>
      <c r="AY37" s="23"/>
      <c r="AZ37" s="24"/>
      <c r="CG37" s="1">
        <f>SUM(CK35:CL35)</f>
        <v>650</v>
      </c>
      <c r="CH37" s="1">
        <f>SUM(CK35:CM35)</f>
        <v>975</v>
      </c>
      <c r="CI37" s="1">
        <f>SUM(CG35:CJ35)</f>
        <v>1800</v>
      </c>
      <c r="CJ37" s="1">
        <f>SUM(CG35:CK35)</f>
        <v>2125</v>
      </c>
      <c r="CK37" s="1">
        <f>SUM(CG35:CL35)</f>
        <v>2450</v>
      </c>
      <c r="CL37" s="1">
        <f>SUM(CG35:CM35)</f>
        <v>2775</v>
      </c>
    </row>
    <row r="38" spans="14:221" x14ac:dyDescent="0.15">
      <c r="CG38" s="1">
        <f>SUM(CI35:CJ35)</f>
        <v>1010</v>
      </c>
      <c r="CH38" s="1">
        <f>SUM(CJ35:CL35)</f>
        <v>1335</v>
      </c>
      <c r="CI38" s="1">
        <f>SUM(CH35:CK35)</f>
        <v>1800</v>
      </c>
      <c r="CJ38" s="1">
        <f>SUM(CH35:CL35)</f>
        <v>2125</v>
      </c>
      <c r="CK38" s="1">
        <f>SUM(CG35:CL35)</f>
        <v>2450</v>
      </c>
      <c r="CL38" s="1">
        <f>SUM(CG49:CN49)</f>
        <v>0</v>
      </c>
    </row>
    <row r="39" spans="14:221" ht="18" customHeight="1" x14ac:dyDescent="0.15"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BL39" s="1">
        <f>SUM(BN39:BX39)</f>
        <v>3925</v>
      </c>
      <c r="BN39" s="1">
        <v>325</v>
      </c>
      <c r="BO39" s="1">
        <v>685</v>
      </c>
      <c r="BP39" s="1">
        <v>325</v>
      </c>
      <c r="BQ39" s="1">
        <v>465</v>
      </c>
      <c r="BR39" s="1">
        <v>325</v>
      </c>
      <c r="BS39" s="1">
        <v>685</v>
      </c>
      <c r="BT39" s="1">
        <v>325</v>
      </c>
      <c r="BU39" s="1">
        <v>465</v>
      </c>
      <c r="BV39" s="1">
        <v>325</v>
      </c>
      <c r="CG39" s="1">
        <f>SUM(CG35:CH35)</f>
        <v>790</v>
      </c>
      <c r="CH39" s="1">
        <f>SUM(CH35:CJ35)</f>
        <v>1475</v>
      </c>
      <c r="CI39" s="1">
        <f>SUM(CJ35:CM35)</f>
        <v>1660</v>
      </c>
      <c r="CJ39" s="1">
        <f>SUM(CI35:CM35)</f>
        <v>1985</v>
      </c>
      <c r="CK39" s="1">
        <f>SUM(CG35:CL35)</f>
        <v>2450</v>
      </c>
    </row>
    <row r="40" spans="14:221" x14ac:dyDescent="0.15">
      <c r="CG40" s="1">
        <f>SUM(CL35:CM35)</f>
        <v>650</v>
      </c>
      <c r="CH40" s="1">
        <f>SUM(CG35:CI35)</f>
        <v>1115</v>
      </c>
      <c r="CI40" s="1">
        <f>SUM(CG35:CJ35)</f>
        <v>1800</v>
      </c>
      <c r="CJ40" s="1">
        <f>SUM(CI35:CM35)</f>
        <v>1985</v>
      </c>
      <c r="CK40" s="1">
        <f>SUM(CG35:CM35)</f>
        <v>2775</v>
      </c>
    </row>
    <row r="41" spans="14:221" ht="18" customHeight="1" x14ac:dyDescent="0.2">
      <c r="N41" s="32" t="s">
        <v>9</v>
      </c>
      <c r="BN41" s="1">
        <f>SUM(BR39:BS39)</f>
        <v>1010</v>
      </c>
      <c r="BO41" s="1">
        <f>SUM(BQ39:BS39)</f>
        <v>1475</v>
      </c>
      <c r="BP41" s="1">
        <f>SUM(BR39:BU39)</f>
        <v>1800</v>
      </c>
      <c r="BQ41" s="1">
        <f>SUM(BN39:BS39)</f>
        <v>2810</v>
      </c>
      <c r="BR41" s="1">
        <f>SUM(BP39:BV39)</f>
        <v>2915</v>
      </c>
      <c r="BS41" s="1">
        <f>SUM(BO39:BV39)</f>
        <v>3600</v>
      </c>
      <c r="BT41" s="1">
        <f>SUM(BN39:BV39)</f>
        <v>3925</v>
      </c>
      <c r="BU41" s="1">
        <f>SUM(BN39:BV39)</f>
        <v>3925</v>
      </c>
      <c r="CG41" s="1">
        <f>SUM(CG35:CH35)</f>
        <v>790</v>
      </c>
      <c r="CH41" s="1">
        <f>SUM(CK35:CM35)</f>
        <v>975</v>
      </c>
      <c r="CI41" s="1">
        <f>SUM(CH35:CK35)</f>
        <v>1800</v>
      </c>
      <c r="CJ41" s="1">
        <f>SUM(CH35:CM35)</f>
        <v>2450</v>
      </c>
    </row>
    <row r="42" spans="14:221" ht="18" customHeight="1" x14ac:dyDescent="0.15">
      <c r="BN42" s="1">
        <f>SUM(BP39:BQ39)</f>
        <v>790</v>
      </c>
      <c r="BO42" s="1">
        <f>SUM(BT39:BV39)</f>
        <v>1115</v>
      </c>
      <c r="BP42" s="1">
        <f>SUM(BN39:BQ39)</f>
        <v>1800</v>
      </c>
      <c r="BQ42" s="1">
        <f>SUM(BQ39:BV39)</f>
        <v>2590</v>
      </c>
      <c r="BR42" s="1">
        <f>SUM(BN39:BT39)</f>
        <v>3135</v>
      </c>
      <c r="BS42" s="1">
        <f>SUM(BN39:BU39)</f>
        <v>3600</v>
      </c>
      <c r="BT42" s="1">
        <f>SUM(BN39:BV39)</f>
        <v>3925</v>
      </c>
      <c r="CG42" s="1">
        <f>SUM(CM35)</f>
        <v>325</v>
      </c>
      <c r="CI42" s="1">
        <f>SUM(CI35:CL35)</f>
        <v>1660</v>
      </c>
      <c r="CJ42" s="1">
        <f>SUM(CH35:CM35)</f>
        <v>2450</v>
      </c>
    </row>
    <row r="43" spans="14:221" ht="18" customHeight="1" x14ac:dyDescent="0.2">
      <c r="N43" s="32" t="s">
        <v>10</v>
      </c>
      <c r="BN43" s="1">
        <f>SUM(BU39:BV39)</f>
        <v>790</v>
      </c>
      <c r="BO43" s="1">
        <f>SUM(BN39:BP39)</f>
        <v>1335</v>
      </c>
      <c r="BP43" s="1">
        <f>SUM(BS39:BV39)</f>
        <v>1800</v>
      </c>
    </row>
    <row r="44" spans="14:221" ht="18" customHeight="1" x14ac:dyDescent="0.15">
      <c r="BN44" s="1">
        <f>SUM(BU39:BV39)</f>
        <v>790</v>
      </c>
      <c r="BO44" s="1">
        <f>SUM(BT39:BV39)</f>
        <v>1115</v>
      </c>
      <c r="EY44" s="34"/>
      <c r="FW44" s="34"/>
    </row>
    <row r="45" spans="14:221" ht="18" customHeight="1" x14ac:dyDescent="0.15">
      <c r="BN45" s="1">
        <f>SUM(BN39:BO39)</f>
        <v>1010</v>
      </c>
      <c r="EY45" s="34"/>
      <c r="FW45" s="34"/>
    </row>
    <row r="46" spans="14:221" ht="18" customHeight="1" x14ac:dyDescent="0.15">
      <c r="BN46" s="1">
        <f>SUM(BT39:BU39)</f>
        <v>790</v>
      </c>
      <c r="CV46" s="1">
        <f>SUM(CX46:DK46)</f>
        <v>5550</v>
      </c>
      <c r="CX46" s="1">
        <v>325</v>
      </c>
      <c r="CY46" s="1">
        <v>465</v>
      </c>
      <c r="CZ46" s="1">
        <v>325</v>
      </c>
      <c r="DA46" s="1">
        <v>685</v>
      </c>
      <c r="DB46" s="1">
        <v>325</v>
      </c>
      <c r="DC46" s="1">
        <v>325</v>
      </c>
      <c r="DD46" s="1">
        <v>325</v>
      </c>
      <c r="DE46" s="1">
        <v>325</v>
      </c>
      <c r="DF46" s="1">
        <v>465</v>
      </c>
      <c r="DG46" s="1">
        <v>325</v>
      </c>
      <c r="DH46" s="1">
        <v>685</v>
      </c>
      <c r="DI46" s="1">
        <v>325</v>
      </c>
      <c r="DJ46" s="1">
        <v>325</v>
      </c>
      <c r="DK46" s="1">
        <v>325</v>
      </c>
      <c r="DT46" s="1">
        <f>SUM(DV46:EI46)</f>
        <v>5550</v>
      </c>
      <c r="DV46" s="1">
        <v>325</v>
      </c>
      <c r="DW46" s="1">
        <v>465</v>
      </c>
      <c r="DX46" s="1">
        <v>325</v>
      </c>
      <c r="DY46" s="1">
        <v>685</v>
      </c>
      <c r="DZ46" s="1">
        <v>325</v>
      </c>
      <c r="EA46" s="1">
        <v>325</v>
      </c>
      <c r="EB46" s="1">
        <v>325</v>
      </c>
      <c r="EC46" s="1">
        <v>325</v>
      </c>
      <c r="ED46" s="1">
        <v>465</v>
      </c>
      <c r="EE46" s="1">
        <v>325</v>
      </c>
      <c r="EF46" s="1">
        <v>685</v>
      </c>
      <c r="EG46" s="1">
        <v>325</v>
      </c>
      <c r="EH46" s="1">
        <v>325</v>
      </c>
      <c r="EI46" s="1">
        <v>325</v>
      </c>
      <c r="EJ46" s="1">
        <v>325</v>
      </c>
      <c r="EK46" s="1">
        <v>465</v>
      </c>
      <c r="EL46" s="1">
        <v>325</v>
      </c>
      <c r="EM46" s="1">
        <v>685</v>
      </c>
      <c r="EN46" s="1">
        <v>325</v>
      </c>
      <c r="EO46" s="1">
        <v>325</v>
      </c>
      <c r="EP46" s="1">
        <v>325</v>
      </c>
      <c r="EY46" s="34"/>
      <c r="FB46" s="1">
        <f>SUM(FD46:FQ46)</f>
        <v>5550</v>
      </c>
      <c r="FD46" s="1">
        <v>325</v>
      </c>
      <c r="FE46" s="1">
        <v>465</v>
      </c>
      <c r="FF46" s="1">
        <v>325</v>
      </c>
      <c r="FG46" s="1">
        <v>685</v>
      </c>
      <c r="FH46" s="1">
        <v>325</v>
      </c>
      <c r="FI46" s="1">
        <v>325</v>
      </c>
      <c r="FJ46" s="1">
        <v>325</v>
      </c>
      <c r="FK46" s="1">
        <v>325</v>
      </c>
      <c r="FL46" s="1">
        <v>465</v>
      </c>
      <c r="FM46" s="1">
        <v>325</v>
      </c>
      <c r="FN46" s="1">
        <v>685</v>
      </c>
      <c r="FO46" s="1">
        <v>325</v>
      </c>
      <c r="FP46" s="1">
        <v>325</v>
      </c>
      <c r="FQ46" s="1">
        <v>325</v>
      </c>
      <c r="FW46" s="34"/>
      <c r="FZ46" s="1">
        <f>SUM(GB46:GO46)</f>
        <v>5550</v>
      </c>
      <c r="GB46" s="1">
        <v>325</v>
      </c>
      <c r="GC46" s="1">
        <v>465</v>
      </c>
      <c r="GD46" s="1">
        <v>325</v>
      </c>
      <c r="GE46" s="1">
        <v>685</v>
      </c>
      <c r="GF46" s="1">
        <v>325</v>
      </c>
      <c r="GG46" s="1">
        <v>325</v>
      </c>
      <c r="GH46" s="1">
        <v>325</v>
      </c>
      <c r="GI46" s="1">
        <v>325</v>
      </c>
      <c r="GJ46" s="1">
        <v>465</v>
      </c>
      <c r="GK46" s="1">
        <v>325</v>
      </c>
      <c r="GL46" s="1">
        <v>685</v>
      </c>
      <c r="GM46" s="1">
        <v>325</v>
      </c>
      <c r="GN46" s="1">
        <v>325</v>
      </c>
      <c r="GO46" s="1">
        <v>325</v>
      </c>
      <c r="GU46" s="34"/>
      <c r="GX46" s="1">
        <f>SUM(GZ46:HM46)</f>
        <v>5550</v>
      </c>
      <c r="GZ46" s="1">
        <v>325</v>
      </c>
      <c r="HA46" s="1">
        <v>465</v>
      </c>
      <c r="HB46" s="1">
        <v>325</v>
      </c>
      <c r="HC46" s="1">
        <v>685</v>
      </c>
      <c r="HD46" s="1">
        <v>325</v>
      </c>
      <c r="HE46" s="1">
        <v>325</v>
      </c>
      <c r="HF46" s="1">
        <v>325</v>
      </c>
      <c r="HG46" s="1">
        <v>325</v>
      </c>
      <c r="HH46" s="1">
        <v>465</v>
      </c>
      <c r="HI46" s="1">
        <v>325</v>
      </c>
      <c r="HJ46" s="1">
        <v>685</v>
      </c>
      <c r="HK46" s="1">
        <v>325</v>
      </c>
      <c r="HL46" s="1">
        <v>325</v>
      </c>
      <c r="HM46" s="1">
        <v>325</v>
      </c>
    </row>
    <row r="47" spans="14:221" ht="18" customHeight="1" x14ac:dyDescent="0.15"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D47" s="2"/>
      <c r="CE47" s="2"/>
      <c r="CF47" s="2"/>
      <c r="DQ47" s="34"/>
      <c r="EY47" s="34"/>
      <c r="FW47" s="34"/>
      <c r="GU47" s="34"/>
    </row>
    <row r="48" spans="14:221" ht="18" customHeight="1" x14ac:dyDescent="0.15">
      <c r="CT48" s="34"/>
      <c r="CX48" s="1">
        <f>SUM(DB46:DC46)</f>
        <v>650</v>
      </c>
      <c r="CY48" s="1">
        <f>SUM(DB46:DD46)</f>
        <v>975</v>
      </c>
      <c r="CZ48" s="1">
        <f>SUM(CX46:DA46)</f>
        <v>1800</v>
      </c>
      <c r="DA48" s="1">
        <f>SUM(CX46:DB46)</f>
        <v>2125</v>
      </c>
      <c r="DB48" s="1">
        <f>SUM(CX46:DC46)</f>
        <v>2450</v>
      </c>
      <c r="DC48" s="1">
        <f>SUM(CX46:DD46)</f>
        <v>2775</v>
      </c>
      <c r="DD48" s="1">
        <f>SUM(CX46:DE46)</f>
        <v>3100</v>
      </c>
      <c r="DE48" s="1">
        <f>SUM(CX46:DF46)</f>
        <v>3565</v>
      </c>
      <c r="DF48" s="1">
        <f>SUM(CX46:DG46)</f>
        <v>3890</v>
      </c>
      <c r="DG48" s="1">
        <f>SUM(CX46:DH46)</f>
        <v>4575</v>
      </c>
      <c r="DH48" s="1">
        <f>SUM(CX46:DI46)</f>
        <v>4900</v>
      </c>
      <c r="DI48" s="1">
        <f>SUM(CX46:DJ46)</f>
        <v>5225</v>
      </c>
      <c r="DJ48" s="1">
        <f>SUM(CX46:DK46)</f>
        <v>5550</v>
      </c>
      <c r="DQ48" s="34"/>
      <c r="DV48" s="1">
        <f>SUM(DZ46:EA46)</f>
        <v>650</v>
      </c>
      <c r="DW48" s="1">
        <f>SUM(DZ46:EB46)</f>
        <v>975</v>
      </c>
      <c r="DX48" s="1">
        <f>SUM(DV46:DY46)</f>
        <v>1800</v>
      </c>
      <c r="DY48" s="1">
        <f>SUM(DV46:DZ46)</f>
        <v>2125</v>
      </c>
      <c r="DZ48" s="1">
        <f>SUM(DV46:EA46)</f>
        <v>2450</v>
      </c>
      <c r="EA48" s="1">
        <f>SUM(DV46:EB46)</f>
        <v>2775</v>
      </c>
      <c r="EB48" s="1">
        <f>SUM(DV46:EC46)</f>
        <v>3100</v>
      </c>
      <c r="EC48" s="1">
        <f>SUM(DV46:ED46)</f>
        <v>3565</v>
      </c>
      <c r="ED48" s="1">
        <f>SUM(DV46:EE46)</f>
        <v>3890</v>
      </c>
      <c r="EE48" s="1">
        <f>SUM(DV46:EF46)</f>
        <v>4575</v>
      </c>
      <c r="EF48" s="1">
        <f>SUM(DV46:EG46)</f>
        <v>4900</v>
      </c>
      <c r="EG48" s="1">
        <f>SUM(DV46:EH46)</f>
        <v>5225</v>
      </c>
      <c r="EH48" s="1">
        <f>SUM(DV46:EI46)</f>
        <v>5550</v>
      </c>
      <c r="EI48" s="1">
        <f>SUM(DV46:EJ46)</f>
        <v>5875</v>
      </c>
      <c r="EJ48" s="1">
        <f>SUM(DV46:EK46)</f>
        <v>6340</v>
      </c>
      <c r="EK48" s="1">
        <f>SUM(DV46:EL46)</f>
        <v>6665</v>
      </c>
      <c r="EL48" s="1">
        <f>SUM(DV46:EM46)</f>
        <v>7350</v>
      </c>
      <c r="EM48" s="1">
        <f>SUM(DV46:EO46)</f>
        <v>8000</v>
      </c>
      <c r="EN48" s="1">
        <f>SUM(DV46:EP46)</f>
        <v>8325</v>
      </c>
      <c r="EY48" s="34"/>
      <c r="FD48" s="1">
        <f>SUM(FH46:FI46)</f>
        <v>650</v>
      </c>
      <c r="FE48" s="1">
        <f>SUM(FH46:FJ46)</f>
        <v>975</v>
      </c>
      <c r="FF48" s="1">
        <f>SUM(FD46:FG46)</f>
        <v>1800</v>
      </c>
      <c r="FG48" s="1">
        <f>SUM(FD46:FH46)</f>
        <v>2125</v>
      </c>
      <c r="FH48" s="1">
        <f>SUM(FD46:FI46)</f>
        <v>2450</v>
      </c>
      <c r="FI48" s="1">
        <f>SUM(FD46:FJ46)</f>
        <v>2775</v>
      </c>
      <c r="FJ48" s="1">
        <f>SUM(FD46:FK46)</f>
        <v>3100</v>
      </c>
      <c r="FK48" s="1">
        <f>SUM(FD46:FL46)</f>
        <v>3565</v>
      </c>
      <c r="FL48" s="1">
        <f>SUM(FD46:FM46)</f>
        <v>3890</v>
      </c>
      <c r="FM48" s="1">
        <f>SUM(FD46:FN46)</f>
        <v>4575</v>
      </c>
      <c r="FN48" s="1">
        <f>SUM(FD46:FO46)</f>
        <v>4900</v>
      </c>
      <c r="FO48" s="1">
        <f>SUM(FD46:FP46)</f>
        <v>5225</v>
      </c>
      <c r="FP48" s="1">
        <f>SUM(FD46:FQ46)</f>
        <v>5550</v>
      </c>
      <c r="FW48" s="34"/>
      <c r="GB48" s="1">
        <f>SUM(GF46:GG46)</f>
        <v>650</v>
      </c>
      <c r="GC48" s="1">
        <f>SUM(GF46:GH46)</f>
        <v>975</v>
      </c>
      <c r="GD48" s="1">
        <f>SUM(GB46:GE46)</f>
        <v>1800</v>
      </c>
      <c r="GE48" s="1">
        <f>SUM(GB46:GF46)</f>
        <v>2125</v>
      </c>
      <c r="GF48" s="1">
        <f>SUM(GB46:GG46)</f>
        <v>2450</v>
      </c>
      <c r="GG48" s="1">
        <f>SUM(GB46:GH46)</f>
        <v>2775</v>
      </c>
      <c r="GH48" s="1">
        <f>SUM(GB46:GI46)</f>
        <v>3100</v>
      </c>
      <c r="GI48" s="1">
        <f>SUM(GB46:GJ46)</f>
        <v>3565</v>
      </c>
      <c r="GJ48" s="1">
        <f>SUM(GB46:GK46)</f>
        <v>3890</v>
      </c>
      <c r="GK48" s="1">
        <f>SUM(GB46:GL46)</f>
        <v>4575</v>
      </c>
      <c r="GL48" s="1">
        <f>SUM(GB46:GM46)</f>
        <v>4900</v>
      </c>
      <c r="GM48" s="1">
        <f>SUM(GB46:GN46)</f>
        <v>5225</v>
      </c>
      <c r="GN48" s="1">
        <f>SUM(GB46:GO46)</f>
        <v>5550</v>
      </c>
      <c r="GU48" s="34"/>
      <c r="GZ48" s="1">
        <f>SUM(HD46:HE46)</f>
        <v>650</v>
      </c>
      <c r="HA48" s="1">
        <f>SUM(HD46:HF46)</f>
        <v>975</v>
      </c>
      <c r="HB48" s="1">
        <f>SUM(GZ46:HC46)</f>
        <v>1800</v>
      </c>
      <c r="HC48" s="1">
        <f>SUM(GZ46:HD46)</f>
        <v>2125</v>
      </c>
      <c r="HD48" s="35">
        <f>SUM(GZ46:HE46)</f>
        <v>2450</v>
      </c>
      <c r="HE48" s="1">
        <f>SUM(GZ46:HF46)</f>
        <v>2775</v>
      </c>
      <c r="HF48" s="1">
        <f>SUM(GZ46:HG46)</f>
        <v>3100</v>
      </c>
      <c r="HG48" s="1">
        <f>SUM(GZ46:HH46)</f>
        <v>3565</v>
      </c>
      <c r="HH48" s="1">
        <f>SUM(GZ46:HI46)</f>
        <v>3890</v>
      </c>
      <c r="HI48" s="1">
        <f>SUM(GZ46:HJ46)</f>
        <v>4575</v>
      </c>
      <c r="HJ48" s="1">
        <f>SUM(GZ46:HK46)</f>
        <v>4900</v>
      </c>
      <c r="HK48" s="1">
        <f>SUM(GZ46:HL46)</f>
        <v>5225</v>
      </c>
      <c r="HL48" s="1">
        <f>SUM(GZ46:HM46)</f>
        <v>5550</v>
      </c>
    </row>
    <row r="49" spans="14:225" ht="18" customHeight="1" x14ac:dyDescent="0.15">
      <c r="N49" s="4"/>
      <c r="O49" s="5"/>
      <c r="P49" s="6"/>
      <c r="Q49" s="10"/>
      <c r="R49" s="11"/>
      <c r="S49" s="11"/>
      <c r="T49" s="11"/>
      <c r="U49" s="12"/>
      <c r="V49" s="4"/>
      <c r="W49" s="5"/>
      <c r="X49" s="6"/>
      <c r="Y49" s="7"/>
      <c r="Z49" s="8"/>
      <c r="AA49" s="8"/>
      <c r="AB49" s="8"/>
      <c r="AC49" s="8"/>
      <c r="AD49" s="8"/>
      <c r="AE49" s="9"/>
      <c r="AF49" s="4"/>
      <c r="AG49" s="5"/>
      <c r="AH49" s="6"/>
      <c r="AI49" s="4"/>
      <c r="AJ49" s="5"/>
      <c r="AK49" s="6"/>
      <c r="AL49" s="4"/>
      <c r="AM49" s="5"/>
      <c r="AN49" s="6"/>
      <c r="AO49" s="10"/>
      <c r="AP49" s="11"/>
      <c r="AQ49" s="11"/>
      <c r="AR49" s="11"/>
      <c r="AS49" s="12"/>
      <c r="AT49" s="4"/>
      <c r="AU49" s="5"/>
      <c r="AV49" s="6"/>
      <c r="AW49" s="4"/>
      <c r="AX49" s="5"/>
      <c r="AY49" s="6"/>
      <c r="BL49" s="1">
        <f>SUM(BN49:BX49)</f>
        <v>3890</v>
      </c>
      <c r="BN49" s="1">
        <v>325</v>
      </c>
      <c r="BO49" s="1">
        <v>465</v>
      </c>
      <c r="BP49" s="1">
        <v>325</v>
      </c>
      <c r="BQ49" s="1">
        <v>685</v>
      </c>
      <c r="BR49" s="1">
        <v>325</v>
      </c>
      <c r="BS49" s="1">
        <v>325</v>
      </c>
      <c r="BT49" s="1">
        <v>325</v>
      </c>
      <c r="BU49" s="1">
        <v>465</v>
      </c>
      <c r="BV49" s="1">
        <v>325</v>
      </c>
      <c r="BW49" s="1">
        <v>325</v>
      </c>
      <c r="CT49" s="34"/>
      <c r="CX49" s="1">
        <f>SUM(CZ46:DA46)</f>
        <v>1010</v>
      </c>
      <c r="CY49" s="1">
        <f>SUM(DA46:DC46)</f>
        <v>1335</v>
      </c>
      <c r="CZ49" s="1">
        <f>SUM(CY46:DB46)</f>
        <v>1800</v>
      </c>
      <c r="DA49" s="1">
        <f>SUM(CY46:DC46)</f>
        <v>2125</v>
      </c>
      <c r="DB49" s="1">
        <f>SUM(CX46:DC46)</f>
        <v>2450</v>
      </c>
      <c r="DC49" s="1">
        <f>SUM(CX46:DE46)</f>
        <v>3100</v>
      </c>
      <c r="DD49" s="1">
        <f>SUM(CY46:DF46)</f>
        <v>3240</v>
      </c>
      <c r="DE49" s="1">
        <f>SUM(DC46:DL46)</f>
        <v>3425</v>
      </c>
      <c r="DF49" s="1">
        <f>SUM(DC46:DK46)</f>
        <v>3425</v>
      </c>
      <c r="DG49" s="1">
        <f>SUM(DA46:DK46)</f>
        <v>4435</v>
      </c>
      <c r="DH49" s="1">
        <f>SUM(CZ46:DK46)</f>
        <v>4760</v>
      </c>
      <c r="DI49" s="1">
        <f>SUM(CY46:DK46)</f>
        <v>5225</v>
      </c>
      <c r="DJ49" s="1">
        <f>SUM(CX46:DK46)</f>
        <v>5550</v>
      </c>
      <c r="DQ49" s="34"/>
      <c r="DV49" s="1">
        <f>SUM(DX46:DY46)</f>
        <v>1010</v>
      </c>
      <c r="DW49" s="1">
        <f>SUM(DY46:EA46)</f>
        <v>1335</v>
      </c>
      <c r="DX49" s="1">
        <f>SUM(DW46:DZ46)</f>
        <v>1800</v>
      </c>
      <c r="DY49" s="1">
        <f>SUM(DW46:EA46)</f>
        <v>2125</v>
      </c>
      <c r="DZ49" s="1">
        <f>SUM(DV46:EA46)</f>
        <v>2450</v>
      </c>
      <c r="EA49" s="1">
        <f>SUM(DV46:EC46)</f>
        <v>3100</v>
      </c>
      <c r="EB49" s="1">
        <f>SUM(DW46:ED46)</f>
        <v>3240</v>
      </c>
      <c r="EC49" s="1">
        <f>SUM(EA46:EJ46)</f>
        <v>3750</v>
      </c>
      <c r="ED49" s="1">
        <f>SUM(EA46:EI46)</f>
        <v>3425</v>
      </c>
      <c r="EE49" s="1">
        <f>SUM(DY46:EI46)</f>
        <v>4435</v>
      </c>
      <c r="EF49" s="1">
        <f>SUM(DX46:EI46)</f>
        <v>4760</v>
      </c>
      <c r="EG49" s="1">
        <f>SUM(DW46:EI46)</f>
        <v>5225</v>
      </c>
      <c r="EH49" s="1">
        <f>SUM(DV46:EI46)</f>
        <v>5550</v>
      </c>
      <c r="EI49" s="1">
        <f>SUM(DZ46:EP46)</f>
        <v>6525</v>
      </c>
      <c r="EJ49" s="1">
        <f>SUM(DX46:EP46)</f>
        <v>7535</v>
      </c>
      <c r="EK49" s="1">
        <f>SUM(DX46:EO46)</f>
        <v>7210</v>
      </c>
      <c r="EL49" s="1">
        <f>SUM(DX46:EP46)</f>
        <v>7535</v>
      </c>
      <c r="EM49" s="1">
        <f>SUM(DW46:EQ46)</f>
        <v>8000</v>
      </c>
      <c r="EN49" s="1">
        <f>SUM(DV46:EP46)</f>
        <v>8325</v>
      </c>
      <c r="EY49" s="34"/>
      <c r="FD49" s="1">
        <f>SUM(FF46:FG46)</f>
        <v>1010</v>
      </c>
      <c r="FE49" s="1">
        <f>SUM(FG46:FI46)</f>
        <v>1335</v>
      </c>
      <c r="FF49" s="1">
        <f>SUM(FE46:FH46)</f>
        <v>1800</v>
      </c>
      <c r="FG49" s="1">
        <f>SUM(FE46:FI46)</f>
        <v>2125</v>
      </c>
      <c r="FH49" s="1">
        <f>SUM(FD46:FI46)</f>
        <v>2450</v>
      </c>
      <c r="FI49" s="1">
        <f>SUM(FD46:FK46)</f>
        <v>3100</v>
      </c>
      <c r="FJ49" s="1">
        <f>SUM(FE46:FL46)</f>
        <v>3240</v>
      </c>
      <c r="FK49" s="1">
        <f>SUM(FI46:FR46)</f>
        <v>3425</v>
      </c>
      <c r="FL49" s="1">
        <f>SUM(FI46:FQ46)</f>
        <v>3425</v>
      </c>
      <c r="FM49" s="1">
        <f>SUM(FG46:FQ46)</f>
        <v>4435</v>
      </c>
      <c r="FN49" s="1">
        <f>SUM(FF46:FQ46)</f>
        <v>4760</v>
      </c>
      <c r="FO49" s="1">
        <f>SUM(FE46:FQ46)</f>
        <v>5225</v>
      </c>
      <c r="FP49" s="1">
        <f>SUM(FD46:FQ46)</f>
        <v>5550</v>
      </c>
      <c r="FW49" s="34"/>
      <c r="GB49" s="1">
        <f>SUM(GD46:GE46)</f>
        <v>1010</v>
      </c>
      <c r="GC49" s="1">
        <f>SUM(GE46:GG46)</f>
        <v>1335</v>
      </c>
      <c r="GD49" s="1">
        <f>SUM(GC46:GF46)</f>
        <v>1800</v>
      </c>
      <c r="GE49" s="1">
        <f>SUM(GC46:GG46)</f>
        <v>2125</v>
      </c>
      <c r="GF49" s="1">
        <f>SUM(GB46:GG46)</f>
        <v>2450</v>
      </c>
      <c r="GG49" s="1">
        <f>SUM(GB46:GI46)</f>
        <v>3100</v>
      </c>
      <c r="GH49" s="1">
        <f>SUM(GC46:GJ46)</f>
        <v>3240</v>
      </c>
      <c r="GI49" s="1">
        <f>SUM(GG46:GP46)</f>
        <v>3425</v>
      </c>
      <c r="GJ49" s="1">
        <f>SUM(GG46:GO46)</f>
        <v>3425</v>
      </c>
      <c r="GK49" s="1">
        <f>SUM(GE46:GO46)</f>
        <v>4435</v>
      </c>
      <c r="GL49" s="1">
        <f>SUM(GD46:GO46)</f>
        <v>4760</v>
      </c>
      <c r="GM49" s="1">
        <f>SUM(GC46:GO46)</f>
        <v>5225</v>
      </c>
      <c r="GN49" s="1">
        <f>SUM(GB46:GO46)</f>
        <v>5550</v>
      </c>
      <c r="GU49" s="34"/>
      <c r="GZ49" s="1">
        <f>SUM(HB46:HC46)</f>
        <v>1010</v>
      </c>
      <c r="HA49" s="1">
        <f>SUM(HC46:HE46)</f>
        <v>1335</v>
      </c>
      <c r="HB49" s="1">
        <f>SUM(HA46:HD46)</f>
        <v>1800</v>
      </c>
      <c r="HC49" s="1">
        <f>SUM(HA46:HE46)</f>
        <v>2125</v>
      </c>
      <c r="HD49" s="1">
        <f>SUM(GZ47:HE47)</f>
        <v>0</v>
      </c>
      <c r="HE49" s="1">
        <f>SUM(GZ46:HG46)</f>
        <v>3100</v>
      </c>
      <c r="HF49" s="1">
        <f>SUM(HA46:HH46)</f>
        <v>3240</v>
      </c>
      <c r="HG49" s="1">
        <f>SUM(HE46:HN46)</f>
        <v>3425</v>
      </c>
      <c r="HH49" s="1">
        <f>SUM(HE46:HM46)</f>
        <v>3425</v>
      </c>
      <c r="HI49" s="1">
        <f>SUM(HC46:HM46)</f>
        <v>4435</v>
      </c>
      <c r="HJ49" s="1">
        <f>SUM(HB46:HM46)</f>
        <v>4760</v>
      </c>
      <c r="HK49" s="1">
        <f>SUM(HA46:HM46)</f>
        <v>5225</v>
      </c>
      <c r="HL49" s="1">
        <f>SUM(GZ46:HM46)</f>
        <v>5550</v>
      </c>
    </row>
    <row r="50" spans="14:225" ht="18" customHeight="1" x14ac:dyDescent="0.2">
      <c r="N50" s="13"/>
      <c r="O50" s="14"/>
      <c r="P50" s="15"/>
      <c r="Q50" s="19"/>
      <c r="R50" s="20"/>
      <c r="S50" s="20"/>
      <c r="T50" s="20"/>
      <c r="U50" s="21"/>
      <c r="V50" s="13"/>
      <c r="W50" s="14"/>
      <c r="X50" s="15"/>
      <c r="Y50" s="16"/>
      <c r="Z50" s="17"/>
      <c r="AA50" s="17"/>
      <c r="AB50" s="17"/>
      <c r="AC50" s="17"/>
      <c r="AD50" s="17"/>
      <c r="AE50" s="18"/>
      <c r="AF50" s="13"/>
      <c r="AG50" s="14"/>
      <c r="AH50" s="15"/>
      <c r="AI50" s="13"/>
      <c r="AJ50" s="14"/>
      <c r="AK50" s="15"/>
      <c r="AL50" s="13"/>
      <c r="AM50" s="14"/>
      <c r="AN50" s="15"/>
      <c r="AO50" s="19"/>
      <c r="AP50" s="20"/>
      <c r="AQ50" s="20"/>
      <c r="AR50" s="20"/>
      <c r="AS50" s="21"/>
      <c r="AT50" s="13"/>
      <c r="AU50" s="14"/>
      <c r="AV50" s="15"/>
      <c r="AW50" s="13"/>
      <c r="AX50" s="14"/>
      <c r="AY50" s="15"/>
      <c r="CE50" s="36" t="s">
        <v>11</v>
      </c>
      <c r="CF50" s="37"/>
      <c r="CG50" s="37"/>
      <c r="CH50" s="37"/>
      <c r="CI50" s="37"/>
      <c r="CJ50" s="37"/>
      <c r="CK50" s="37"/>
      <c r="CL50" s="37"/>
      <c r="CM50" s="37"/>
      <c r="CN50" s="37"/>
      <c r="CT50" s="34"/>
      <c r="CX50" s="1">
        <f>SUM(CX46:CY46)</f>
        <v>790</v>
      </c>
      <c r="CY50" s="1">
        <f>SUM(CY46:DA46)</f>
        <v>1475</v>
      </c>
      <c r="CZ50" s="1">
        <f>SUM(DA46:DD46)</f>
        <v>1660</v>
      </c>
      <c r="DA50" s="1">
        <f>SUM(CZ46:DD46)</f>
        <v>1985</v>
      </c>
      <c r="DB50" s="1">
        <f>SUM(CX46:DC46)</f>
        <v>2450</v>
      </c>
      <c r="DC50" s="1">
        <f>SUM(DA46:DF46)</f>
        <v>2450</v>
      </c>
      <c r="DD50" s="1">
        <f>SUM(CZ46:DG46)</f>
        <v>3100</v>
      </c>
      <c r="DF50" s="1">
        <f>SUM(DF46:DK46)</f>
        <v>2450</v>
      </c>
      <c r="DQ50" s="34"/>
      <c r="DV50" s="1">
        <f>SUM(DV46:DW46)</f>
        <v>790</v>
      </c>
      <c r="DW50" s="1">
        <f>SUM(DW46:DY46)</f>
        <v>1475</v>
      </c>
      <c r="DX50" s="1">
        <f>SUM(DY46:EB46)</f>
        <v>1660</v>
      </c>
      <c r="DY50" s="1">
        <f>SUM(DX46:EB46)</f>
        <v>1985</v>
      </c>
      <c r="DZ50" s="1">
        <f>SUM(DV46:EA46)</f>
        <v>2450</v>
      </c>
      <c r="EA50" s="1">
        <f>SUM(DY46:ED46)</f>
        <v>2450</v>
      </c>
      <c r="EB50" s="1">
        <f>SUM(DX46:EE46)</f>
        <v>3100</v>
      </c>
      <c r="ED50" s="1">
        <f>SUM(ED46:EI46)</f>
        <v>2450</v>
      </c>
      <c r="EH50" s="1">
        <f>SUM(DW46:EO46)</f>
        <v>7675</v>
      </c>
      <c r="EI50" s="1">
        <f>SUM(DX46:EN46)</f>
        <v>6885</v>
      </c>
      <c r="EJ50" s="1">
        <f>SUM(DZ46:EN46)</f>
        <v>5875</v>
      </c>
      <c r="EK50" s="1">
        <f>SUM(EB46:EN46)</f>
        <v>5225</v>
      </c>
      <c r="EY50" s="34"/>
      <c r="FD50" s="1">
        <f>SUM(FD46:FE46)</f>
        <v>790</v>
      </c>
      <c r="FE50" s="1">
        <f>SUM(FE46:FG46)</f>
        <v>1475</v>
      </c>
      <c r="FF50" s="1">
        <f>SUM(FG46:FJ46)</f>
        <v>1660</v>
      </c>
      <c r="FG50" s="1">
        <f>SUM(FE47:FI47)</f>
        <v>0</v>
      </c>
      <c r="FH50" s="1">
        <f>SUM(FD46:FI46)</f>
        <v>2450</v>
      </c>
      <c r="FI50" s="1">
        <f>SUM(FG46:FL46)</f>
        <v>2450</v>
      </c>
      <c r="FJ50" s="1">
        <f>SUM(FF46:FM46)</f>
        <v>3100</v>
      </c>
      <c r="FL50" s="1">
        <f>SUM(FL46:FQ46)</f>
        <v>2450</v>
      </c>
      <c r="FW50" s="34"/>
      <c r="GB50" s="1">
        <f>SUM(GB46:GC46)</f>
        <v>790</v>
      </c>
      <c r="GC50" s="1">
        <f>SUM(GC46:GE46)</f>
        <v>1475</v>
      </c>
      <c r="GD50" s="1">
        <f>SUM(GE46:GH46)</f>
        <v>1660</v>
      </c>
      <c r="GE50" s="1">
        <f>SUM(GC47:GG47)</f>
        <v>0</v>
      </c>
      <c r="GF50" s="1">
        <f>SUM(GB46:GG46)</f>
        <v>2450</v>
      </c>
      <c r="GG50" s="1">
        <f>SUM(GE46:GJ46)</f>
        <v>2450</v>
      </c>
      <c r="GH50" s="1">
        <f>SUM(GD46:GK46)</f>
        <v>3100</v>
      </c>
      <c r="GJ50" s="1">
        <f>SUM(GJ46:GO46)</f>
        <v>2450</v>
      </c>
      <c r="GU50" s="34"/>
      <c r="GZ50" s="1">
        <f>SUM(GZ46:HA46)</f>
        <v>790</v>
      </c>
      <c r="HA50" s="1">
        <f>SUM(HA46:HC46)</f>
        <v>1475</v>
      </c>
      <c r="HB50" s="1">
        <f>SUM(HC46:HF46)</f>
        <v>1660</v>
      </c>
      <c r="HC50" s="1">
        <f>SUM(HA47:HE47)</f>
        <v>0</v>
      </c>
      <c r="HD50" s="1">
        <f>SUM(GZ48:HE48)</f>
        <v>10775</v>
      </c>
      <c r="HE50" s="1">
        <f>SUM(HC46:HH46)</f>
        <v>2450</v>
      </c>
      <c r="HF50" s="1">
        <f>SUM(HB46:HI46)</f>
        <v>3100</v>
      </c>
      <c r="HH50" s="1">
        <f>SUM(HH46:HM46)</f>
        <v>2450</v>
      </c>
    </row>
    <row r="51" spans="14:225" ht="18" customHeight="1" x14ac:dyDescent="0.2">
      <c r="N51" s="22"/>
      <c r="O51" s="23"/>
      <c r="P51" s="24"/>
      <c r="Q51" s="28"/>
      <c r="R51" s="29"/>
      <c r="S51" s="29"/>
      <c r="T51" s="29"/>
      <c r="U51" s="30"/>
      <c r="V51" s="22"/>
      <c r="W51" s="23"/>
      <c r="X51" s="24"/>
      <c r="Y51" s="25"/>
      <c r="Z51" s="26"/>
      <c r="AA51" s="26"/>
      <c r="AB51" s="26"/>
      <c r="AC51" s="26"/>
      <c r="AD51" s="26"/>
      <c r="AE51" s="27"/>
      <c r="AF51" s="22"/>
      <c r="AG51" s="23"/>
      <c r="AH51" s="24"/>
      <c r="AI51" s="22"/>
      <c r="AJ51" s="23"/>
      <c r="AK51" s="24"/>
      <c r="AL51" s="22"/>
      <c r="AM51" s="23"/>
      <c r="AN51" s="24"/>
      <c r="AO51" s="28"/>
      <c r="AP51" s="29"/>
      <c r="AQ51" s="29"/>
      <c r="AR51" s="29"/>
      <c r="AS51" s="30"/>
      <c r="AT51" s="22"/>
      <c r="AU51" s="23"/>
      <c r="AV51" s="24"/>
      <c r="AW51" s="22"/>
      <c r="AX51" s="23"/>
      <c r="AY51" s="24"/>
      <c r="BN51" s="1">
        <f>SUM(BR49:BS49)</f>
        <v>650</v>
      </c>
      <c r="BO51" s="1">
        <f>SUM(BR49:BT49)</f>
        <v>975</v>
      </c>
      <c r="BP51" s="1">
        <f>SUM(BR49:BU49)</f>
        <v>1440</v>
      </c>
      <c r="BQ51" s="1">
        <f>SUM(BR49:BW49)</f>
        <v>2090</v>
      </c>
      <c r="BR51" s="1">
        <f>SUM(BO49:BU49)</f>
        <v>2915</v>
      </c>
      <c r="BS51" s="1">
        <f>SUM(BO49:BV49)</f>
        <v>3240</v>
      </c>
      <c r="BT51" s="1">
        <f>SUM(BN49:BV49)</f>
        <v>3565</v>
      </c>
      <c r="BU51" s="1">
        <f>SUM(BN49:BW49)</f>
        <v>3890</v>
      </c>
      <c r="CE51" s="37" t="s">
        <v>12</v>
      </c>
      <c r="CF51" s="37"/>
      <c r="CG51" s="37"/>
      <c r="CH51" s="37"/>
      <c r="CI51" s="37"/>
      <c r="CJ51" s="37"/>
      <c r="CK51" s="37"/>
      <c r="CL51" s="37"/>
      <c r="CM51" s="37"/>
      <c r="CN51" s="37"/>
      <c r="CT51" s="34"/>
      <c r="CX51" s="1">
        <f>SUM(DC46:DD46)</f>
        <v>650</v>
      </c>
      <c r="CY51" s="1">
        <f>SUM(CX46:CZ46)</f>
        <v>1115</v>
      </c>
      <c r="CZ51" s="1">
        <f>SUM(CX46:DA46)</f>
        <v>1800</v>
      </c>
      <c r="DA51" s="1">
        <f>SUM(CZ46:DD46)</f>
        <v>1985</v>
      </c>
      <c r="DB51" s="1">
        <f>SUM(CX46:DD46)</f>
        <v>2775</v>
      </c>
      <c r="DD51" s="1">
        <f>SUM(DA46:DH46)</f>
        <v>3460</v>
      </c>
      <c r="DQ51" s="34"/>
      <c r="DV51" s="1">
        <f>SUM(EA46:EB46)</f>
        <v>650</v>
      </c>
      <c r="DW51" s="1">
        <f>SUM(DV46:DX46)</f>
        <v>1115</v>
      </c>
      <c r="DX51" s="1">
        <f>SUM(DV46:DY46)</f>
        <v>1800</v>
      </c>
      <c r="DY51" s="1">
        <f>SUM(DX46:EB46)</f>
        <v>1985</v>
      </c>
      <c r="DZ51" s="1">
        <f>SUM(DV46:EB46)</f>
        <v>2775</v>
      </c>
      <c r="EB51" s="1">
        <f>SUM(DY46:EF46)</f>
        <v>3460</v>
      </c>
      <c r="EH51" s="1">
        <f>SUM(DY46:EK46)</f>
        <v>5225</v>
      </c>
      <c r="EY51" s="34"/>
      <c r="FD51" s="1">
        <f>SUM(FI46:FJ46)</f>
        <v>650</v>
      </c>
      <c r="FE51" s="1">
        <f>SUM(FD46:FF46)</f>
        <v>1115</v>
      </c>
      <c r="FF51" s="1">
        <f>SUM(FD46:FG46)</f>
        <v>1800</v>
      </c>
      <c r="FG51" s="1">
        <f>SUM(FE48:FI48)</f>
        <v>10125</v>
      </c>
      <c r="FH51" s="1">
        <f>SUM(FD46:FJ46)</f>
        <v>2775</v>
      </c>
      <c r="FJ51" s="1">
        <f>SUM(FG46:FN46)</f>
        <v>3460</v>
      </c>
      <c r="FW51" s="34"/>
      <c r="GB51" s="1">
        <f>SUM(GG46:GH46)</f>
        <v>650</v>
      </c>
      <c r="GC51" s="1">
        <f>SUM(GB46:GD46)</f>
        <v>1115</v>
      </c>
      <c r="GD51" s="1">
        <f>SUM(GB46:GE46)</f>
        <v>1800</v>
      </c>
      <c r="GE51" s="1">
        <f>SUM(GC48:GG48)</f>
        <v>10125</v>
      </c>
      <c r="GF51" s="1">
        <f>SUM(GB46:GH46)</f>
        <v>2775</v>
      </c>
      <c r="GH51" s="1">
        <f>SUM(GE46:GL46)</f>
        <v>3460</v>
      </c>
      <c r="GU51" s="34"/>
      <c r="GZ51" s="1">
        <f>SUM(HE46:HF46)</f>
        <v>650</v>
      </c>
      <c r="HA51" s="1">
        <f>SUM(GZ46:HB46)</f>
        <v>1115</v>
      </c>
      <c r="HB51" s="1">
        <f>SUM(GZ46:HC46)</f>
        <v>1800</v>
      </c>
      <c r="HC51" s="1">
        <f>SUM(HA48:HE48)</f>
        <v>10125</v>
      </c>
      <c r="HD51" s="1">
        <f>SUM(GZ49:HE49)</f>
        <v>9370</v>
      </c>
      <c r="HF51" s="1">
        <f>SUM(HC46:HJ46)</f>
        <v>3460</v>
      </c>
    </row>
    <row r="52" spans="14:225" ht="18" customHeight="1" x14ac:dyDescent="0.2">
      <c r="BN52" s="1">
        <f>SUM(BP49:BQ49)</f>
        <v>1010</v>
      </c>
      <c r="BO52" s="1">
        <f>SUM(BQ49:BS49)</f>
        <v>1335</v>
      </c>
      <c r="BP52" s="1">
        <f>SUM(BN49:BQ49)</f>
        <v>1800</v>
      </c>
      <c r="BQ52" s="1">
        <f>SUM(BN49:BR49)</f>
        <v>2125</v>
      </c>
      <c r="BR52" s="1">
        <f>SUM(BN49:BT49)</f>
        <v>2775</v>
      </c>
      <c r="BS52" s="1">
        <f>SUM(BN49:BU49)</f>
        <v>3240</v>
      </c>
      <c r="BT52" s="1">
        <f>SUM(BN49:BV49)</f>
        <v>3565</v>
      </c>
      <c r="CE52" s="37" t="s">
        <v>13</v>
      </c>
      <c r="CF52" s="37"/>
      <c r="CG52" s="37"/>
      <c r="CH52" s="37"/>
      <c r="CI52" s="37"/>
      <c r="CJ52" s="37"/>
      <c r="CK52" s="37"/>
      <c r="CL52" s="37"/>
      <c r="CM52" s="37"/>
      <c r="CN52" s="37"/>
      <c r="CT52" s="34"/>
      <c r="CX52" s="1">
        <f>SUM(CX46:CY46)</f>
        <v>790</v>
      </c>
      <c r="CY52" s="1">
        <f>SUM(DB46:DD46)</f>
        <v>975</v>
      </c>
      <c r="CZ52" s="1">
        <f>SUM(CY46:DB46)</f>
        <v>1800</v>
      </c>
      <c r="DA52" s="1">
        <f>SUM(CY46:DD46)</f>
        <v>2450</v>
      </c>
      <c r="DD52" s="1">
        <f>SUM(DA46:DJ46)</f>
        <v>4110</v>
      </c>
      <c r="DG52" s="1">
        <f>SUM(CY46:DG46)</f>
        <v>3565</v>
      </c>
      <c r="DQ52" s="34"/>
      <c r="DV52" s="1">
        <f>SUM(DV46:DW46)</f>
        <v>790</v>
      </c>
      <c r="DW52" s="1">
        <f>SUM(DZ46:EB46)</f>
        <v>975</v>
      </c>
      <c r="DX52" s="1">
        <f>SUM(DW46:DZ46)</f>
        <v>1800</v>
      </c>
      <c r="DY52" s="1">
        <f>SUM(DW46:EB46)</f>
        <v>2450</v>
      </c>
      <c r="EB52" s="1">
        <f>SUM(DY46:EH46)</f>
        <v>4110</v>
      </c>
      <c r="EE52" s="1">
        <f>SUM(DW46:EE46)</f>
        <v>3565</v>
      </c>
      <c r="EK52" s="1">
        <f>SUM(DZ46:EO46)</f>
        <v>6200</v>
      </c>
      <c r="EL52" s="1">
        <f>SUM(EB46:EP46)</f>
        <v>5875</v>
      </c>
      <c r="EM52" s="1">
        <f>SUM(DY46:EN46)</f>
        <v>6560</v>
      </c>
      <c r="EN52" s="1">
        <f>SUM(DZ46:EO46)</f>
        <v>6200</v>
      </c>
      <c r="EY52" s="34"/>
      <c r="FD52" s="1">
        <f>SUM(FD46:FE46)</f>
        <v>790</v>
      </c>
      <c r="FE52" s="1">
        <f>SUM(FH46:FJ46)</f>
        <v>975</v>
      </c>
      <c r="FF52" s="1">
        <f>SUM(FE46:FH46)</f>
        <v>1800</v>
      </c>
      <c r="FG52" s="1">
        <f>SUM(FE49:FI49)</f>
        <v>10810</v>
      </c>
      <c r="FJ52" s="1">
        <f>SUM(FG46:FP46)</f>
        <v>4110</v>
      </c>
      <c r="FM52" s="1">
        <f>SUM(FE46:FM46)</f>
        <v>3565</v>
      </c>
      <c r="FW52" s="34"/>
      <c r="GB52" s="1">
        <f>SUM(GB46:GC46)</f>
        <v>790</v>
      </c>
      <c r="GC52" s="1">
        <f>SUM(GF46:GH46)</f>
        <v>975</v>
      </c>
      <c r="GD52" s="1">
        <f>SUM(GC46:GF46)</f>
        <v>1800</v>
      </c>
      <c r="GE52" s="1">
        <f>SUM(GC49:GG49)</f>
        <v>10810</v>
      </c>
      <c r="GH52" s="1">
        <f>SUM(GE46:GN46)</f>
        <v>4110</v>
      </c>
      <c r="GK52" s="1">
        <f>SUM(GC46:GK46)</f>
        <v>3565</v>
      </c>
      <c r="GU52" s="34"/>
      <c r="GZ52" s="1">
        <f>SUM(GZ46:HA46)</f>
        <v>790</v>
      </c>
      <c r="HA52" s="1">
        <f>SUM(HD46:HF46)</f>
        <v>975</v>
      </c>
      <c r="HB52" s="1">
        <f>SUM(HA46:HD46)</f>
        <v>1800</v>
      </c>
      <c r="HC52" s="1">
        <f>SUM(HA49:HE49)</f>
        <v>8360</v>
      </c>
      <c r="HF52" s="1">
        <f>SUM(HC46:HL46)</f>
        <v>4110</v>
      </c>
      <c r="HH52" s="35">
        <f>SUM(HH46:HM46)</f>
        <v>2450</v>
      </c>
      <c r="HI52" s="1">
        <f>SUM(HA46:HI46)</f>
        <v>3565</v>
      </c>
    </row>
    <row r="53" spans="14:225" ht="18" customHeight="1" x14ac:dyDescent="0.2">
      <c r="N53" s="32" t="s">
        <v>14</v>
      </c>
      <c r="BN53" s="1">
        <f>SUM(BU49:BV49)</f>
        <v>790</v>
      </c>
      <c r="BO53" s="1">
        <f>SUM(BT49:BV49)</f>
        <v>1115</v>
      </c>
      <c r="BP53" s="1">
        <f>SUM(BS49:BV49)</f>
        <v>1440</v>
      </c>
      <c r="BQ53" s="1">
        <f>SUM(BN49:BS49)</f>
        <v>2450</v>
      </c>
      <c r="BR53" s="1">
        <f>SUM(BQ49:BW49)</f>
        <v>2775</v>
      </c>
      <c r="BS53" s="1">
        <f>SUM(BP49:BW49)</f>
        <v>3100</v>
      </c>
      <c r="CE53" s="38" t="s">
        <v>15</v>
      </c>
      <c r="CF53" s="37"/>
      <c r="CG53" s="37"/>
      <c r="CH53" s="37"/>
      <c r="CI53" s="37"/>
      <c r="CJ53" s="37"/>
      <c r="CK53" s="37"/>
      <c r="CL53" s="37"/>
      <c r="CM53" s="37"/>
      <c r="CN53" s="37"/>
      <c r="CT53" s="34"/>
      <c r="CX53" s="1">
        <f>SUM(DD46)</f>
        <v>325</v>
      </c>
      <c r="CZ53" s="1">
        <f>SUM(CZ46:DC46)</f>
        <v>1660</v>
      </c>
      <c r="DA53" s="1">
        <f>SUM(CY46:DD46)</f>
        <v>2450</v>
      </c>
      <c r="DD53" s="1">
        <f>SUM(DB46:DJ46)</f>
        <v>3425</v>
      </c>
      <c r="DQ53" s="34"/>
      <c r="DV53" s="1">
        <f>SUM(EB46)</f>
        <v>325</v>
      </c>
      <c r="DX53" s="1">
        <f>SUM(DX46:EA46)</f>
        <v>1660</v>
      </c>
      <c r="DY53" s="1">
        <f>SUM(DW46:EB46)</f>
        <v>2450</v>
      </c>
      <c r="EB53" s="1">
        <f>SUM(DZ46:EH46)</f>
        <v>3425</v>
      </c>
      <c r="EK53" s="1">
        <f>SUM(EA46:EP46)</f>
        <v>6200</v>
      </c>
      <c r="EY53" s="34"/>
      <c r="FD53" s="1">
        <f>SUM(FJ46)</f>
        <v>325</v>
      </c>
      <c r="FF53" s="1">
        <f>SUM(FF46:FI46)</f>
        <v>1660</v>
      </c>
      <c r="FG53" s="1">
        <f>SUM(FE50:FI50)</f>
        <v>8035</v>
      </c>
      <c r="FJ53" s="1">
        <f>SUM(FH46:FP46)</f>
        <v>3425</v>
      </c>
      <c r="FW53" s="34"/>
      <c r="GB53" s="1">
        <f>SUM(GH46)</f>
        <v>325</v>
      </c>
      <c r="GD53" s="1">
        <f>SUM(GD46:GG46)</f>
        <v>1660</v>
      </c>
      <c r="GE53" s="1">
        <f>SUM(GC50:GG50)</f>
        <v>8035</v>
      </c>
      <c r="GH53" s="1">
        <f>SUM(GF46:GN46)</f>
        <v>3425</v>
      </c>
      <c r="GU53" s="34"/>
      <c r="GZ53" s="1">
        <f>SUM(HF46)</f>
        <v>325</v>
      </c>
      <c r="HB53" s="1">
        <f>SUM(HB46:HE46)</f>
        <v>1660</v>
      </c>
      <c r="HC53" s="1">
        <f>SUM(HA50:HE50)</f>
        <v>16360</v>
      </c>
      <c r="HF53" s="1">
        <f>SUM(HC47:HL47)</f>
        <v>0</v>
      </c>
    </row>
    <row r="54" spans="14:225" ht="18" customHeight="1" x14ac:dyDescent="0.2">
      <c r="BN54" s="1">
        <f>SUM(BU49:BV49)</f>
        <v>790</v>
      </c>
      <c r="BO54" s="1">
        <f>SUM(BN49:BP49)</f>
        <v>1115</v>
      </c>
      <c r="BP54" s="1">
        <f>SUM(BO49:BR49)</f>
        <v>1800</v>
      </c>
      <c r="BQ54" s="1">
        <f>SUM(BO49:BT49)</f>
        <v>2450</v>
      </c>
      <c r="BR54" s="1">
        <f>SUM(BO49:BU49)</f>
        <v>2915</v>
      </c>
      <c r="BS54" s="1">
        <f>SUM(BO49:BV49)</f>
        <v>3240</v>
      </c>
      <c r="CE54" s="37" t="s">
        <v>16</v>
      </c>
      <c r="CF54" s="37"/>
      <c r="CG54" s="37"/>
      <c r="CH54" s="37"/>
      <c r="CI54" s="37"/>
      <c r="CJ54" s="37"/>
      <c r="CK54" s="37"/>
      <c r="CL54" s="37"/>
      <c r="CM54" s="37"/>
      <c r="CN54" s="37"/>
      <c r="CT54" s="34"/>
      <c r="CU54" s="1">
        <v>2402</v>
      </c>
      <c r="DD54" s="1">
        <f>SUM(DA46:DI46)</f>
        <v>3785</v>
      </c>
      <c r="DQ54" s="34"/>
      <c r="DS54" s="1">
        <v>2912</v>
      </c>
      <c r="EB54" s="1">
        <f>SUM(DY46:EG46)</f>
        <v>3785</v>
      </c>
      <c r="EK54" s="1">
        <f>SUM(DW46:EL46)</f>
        <v>6340</v>
      </c>
      <c r="EY54" s="34"/>
      <c r="FA54" s="1">
        <v>2099</v>
      </c>
      <c r="FJ54" s="1">
        <f>SUM(FG46:FO46)</f>
        <v>3785</v>
      </c>
      <c r="FW54" s="34"/>
      <c r="FY54" s="1">
        <v>2099</v>
      </c>
      <c r="GH54" s="1">
        <f>SUM(GE46:GM46)</f>
        <v>3785</v>
      </c>
      <c r="GU54" s="34"/>
      <c r="GW54" s="1">
        <v>1131</v>
      </c>
      <c r="HF54" s="1">
        <f>SUM(HC48:HL48)</f>
        <v>38155</v>
      </c>
    </row>
    <row r="55" spans="14:225" ht="18" customHeight="1" x14ac:dyDescent="0.2">
      <c r="N55" s="32" t="s">
        <v>17</v>
      </c>
      <c r="BN55" s="1">
        <f>SUM(BN49:BO49)</f>
        <v>790</v>
      </c>
      <c r="BO55" s="1">
        <f>SUM(BT49:BV49)</f>
        <v>1115</v>
      </c>
      <c r="BP55" s="1">
        <f>SUM(BP49:BS49)</f>
        <v>1660</v>
      </c>
      <c r="BQ55" s="1">
        <f>SUM(BP49:BU49)</f>
        <v>2450</v>
      </c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T55" s="34"/>
      <c r="CU55" s="1">
        <v>3568</v>
      </c>
      <c r="DD55" s="1">
        <f>SUM(CZ46:DH46)</f>
        <v>3785</v>
      </c>
      <c r="DQ55" s="34"/>
      <c r="DS55" s="1">
        <v>6215</v>
      </c>
      <c r="EB55" s="1">
        <f>SUM(DX46:EF46)</f>
        <v>3785</v>
      </c>
      <c r="EE55" s="1">
        <f>SUM(DX46:EE46)</f>
        <v>3100</v>
      </c>
      <c r="EY55" s="34"/>
      <c r="FA55" s="1">
        <v>3401</v>
      </c>
      <c r="FJ55" s="1">
        <f>SUM(FF46:FN46)</f>
        <v>3785</v>
      </c>
      <c r="FL55" s="1">
        <f>SUM(FH46:FP46)</f>
        <v>3425</v>
      </c>
      <c r="FM55" s="1">
        <f>SUM(FD46:FN46)</f>
        <v>4575</v>
      </c>
      <c r="FW55" s="34"/>
      <c r="FY55" s="1">
        <v>3401</v>
      </c>
      <c r="GH55" s="1">
        <f>SUM(GD46:GL46)</f>
        <v>3785</v>
      </c>
      <c r="GJ55" s="1">
        <f>SUM(GF46:GN46)</f>
        <v>3425</v>
      </c>
      <c r="GK55" s="1">
        <f>SUM(GB46:GL46)</f>
        <v>4575</v>
      </c>
      <c r="GU55" s="34"/>
      <c r="GW55" s="1">
        <v>2583</v>
      </c>
      <c r="HD55" s="1">
        <f>SUM(HJ46:HK46)</f>
        <v>1010</v>
      </c>
      <c r="HF55" s="1">
        <f>SUM(HC49:HL49)</f>
        <v>35285</v>
      </c>
      <c r="HH55" s="1">
        <f>SUM(HD46:HL46)</f>
        <v>3425</v>
      </c>
      <c r="HI55" s="1">
        <f>SUM(GZ46:HJ46)</f>
        <v>4575</v>
      </c>
    </row>
    <row r="56" spans="14:225" ht="18" customHeight="1" x14ac:dyDescent="0.15">
      <c r="BN56" s="1">
        <f>SUM(BT49:BU49)</f>
        <v>790</v>
      </c>
      <c r="BO56" s="1">
        <f>SUM(BO49:BQ49)</f>
        <v>1475</v>
      </c>
      <c r="BP56" s="1">
        <f>SUM(BQ49:BT49)</f>
        <v>1660</v>
      </c>
      <c r="BQ56" s="1">
        <f>SUM(BQ49:BV49)</f>
        <v>2450</v>
      </c>
      <c r="CE56" s="168" t="s">
        <v>18</v>
      </c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34"/>
      <c r="CU56" s="1">
        <v>5231</v>
      </c>
      <c r="DD56" s="1">
        <f>SUM(CX46:DF46)</f>
        <v>3565</v>
      </c>
      <c r="DQ56" s="34"/>
      <c r="DS56" s="1">
        <v>8850</v>
      </c>
      <c r="EB56" s="1">
        <f>SUM(DV46:ED46)</f>
        <v>3565</v>
      </c>
      <c r="EG56" s="1">
        <f>SUM(DZ46:EG46)</f>
        <v>3100</v>
      </c>
      <c r="EY56" s="34"/>
      <c r="FA56" s="1">
        <v>4313</v>
      </c>
      <c r="FJ56" s="1">
        <f>SUM(FD46:FL46)</f>
        <v>3565</v>
      </c>
      <c r="FW56" s="34"/>
      <c r="FY56" s="1">
        <v>4313</v>
      </c>
      <c r="GH56" s="1">
        <f>SUM(GB46:GJ46)</f>
        <v>3565</v>
      </c>
      <c r="GU56" s="34"/>
      <c r="GW56" s="1">
        <v>4070</v>
      </c>
      <c r="HF56" s="1">
        <f>SUM(HC50:HL50)</f>
        <v>18775</v>
      </c>
      <c r="HH56" s="1">
        <f>SUM(HC46:HL46)</f>
        <v>4110</v>
      </c>
    </row>
    <row r="57" spans="14:225" ht="18" customHeight="1" x14ac:dyDescent="0.15">
      <c r="BO57" s="1">
        <f>SUM(BO49:BR49)</f>
        <v>1800</v>
      </c>
      <c r="BP57" s="1">
        <f>SUM(BS49:BV49)</f>
        <v>1440</v>
      </c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34"/>
      <c r="DQ57" s="34"/>
      <c r="EI57" s="1">
        <f>SUM(EC46:EJ46)</f>
        <v>3100</v>
      </c>
      <c r="EJ57" s="1">
        <f>SUM(EE46:EL46)</f>
        <v>3100</v>
      </c>
      <c r="EK57" s="1">
        <f>SUM(EG46:EN46)</f>
        <v>3100</v>
      </c>
      <c r="EL57" s="1">
        <f>SUM(EH46:EO46)</f>
        <v>3100</v>
      </c>
      <c r="EM57" s="1">
        <f>SUM(EI46:EP46)</f>
        <v>3100</v>
      </c>
      <c r="EY57" s="34"/>
      <c r="FW57" s="34"/>
      <c r="GU57" s="34"/>
    </row>
    <row r="58" spans="14:225" ht="18" customHeight="1" x14ac:dyDescent="0.15">
      <c r="BP58" s="1">
        <f>SUM(BN49:BQ49)</f>
        <v>1800</v>
      </c>
      <c r="CT58" s="34"/>
      <c r="DQ58" s="34"/>
      <c r="EY58" s="34"/>
      <c r="FW58" s="34"/>
      <c r="GU58" s="34"/>
    </row>
    <row r="59" spans="14:225" ht="18" customHeight="1" x14ac:dyDescent="0.2">
      <c r="CE59" s="39" t="s">
        <v>19</v>
      </c>
      <c r="CT59" s="34"/>
      <c r="DQ59" s="34"/>
      <c r="EY59" s="34"/>
      <c r="FW59" s="34"/>
      <c r="GU59" s="34"/>
    </row>
    <row r="60" spans="14:225" ht="18" customHeight="1" x14ac:dyDescent="0.15">
      <c r="CT60" s="34"/>
      <c r="DQ60" s="34"/>
      <c r="EY60" s="34"/>
      <c r="FW60" s="34"/>
      <c r="GU60" s="34"/>
    </row>
    <row r="61" spans="14:225" ht="18" customHeight="1" x14ac:dyDescent="0.15">
      <c r="BN61" s="40"/>
      <c r="BO61" s="10"/>
      <c r="BP61" s="12"/>
      <c r="BQ61" s="40"/>
      <c r="BR61" s="7"/>
      <c r="BS61" s="8"/>
      <c r="BT61" s="9"/>
      <c r="BU61" s="40"/>
      <c r="BV61" s="40"/>
      <c r="BW61" s="40"/>
      <c r="BX61" s="10"/>
      <c r="BY61" s="12"/>
      <c r="BZ61" s="40"/>
      <c r="CA61" s="40"/>
      <c r="CE61" s="41" t="s">
        <v>20</v>
      </c>
      <c r="CF61" s="42"/>
      <c r="CG61" s="42"/>
      <c r="CH61" s="42"/>
      <c r="CI61" s="42"/>
      <c r="CJ61" s="42"/>
      <c r="CK61" s="42"/>
      <c r="CL61" s="42"/>
      <c r="CM61" s="42"/>
      <c r="CN61" s="42"/>
      <c r="CO61" s="42"/>
      <c r="CP61" s="42"/>
      <c r="CQ61" s="42"/>
      <c r="CR61" s="42"/>
      <c r="CS61" s="42"/>
      <c r="CT61" s="34"/>
      <c r="CV61" s="40"/>
      <c r="CW61" s="10"/>
      <c r="CX61" s="12"/>
      <c r="CY61" s="40"/>
      <c r="CZ61" s="7"/>
      <c r="DA61" s="8"/>
      <c r="DB61" s="9"/>
      <c r="DC61" s="40"/>
      <c r="DD61" s="40"/>
      <c r="DE61" s="40"/>
      <c r="DF61" s="40"/>
      <c r="DG61" s="10"/>
      <c r="DH61" s="12"/>
      <c r="DI61" s="40"/>
      <c r="DJ61" s="7"/>
      <c r="DK61" s="8"/>
      <c r="DL61" s="9"/>
      <c r="DM61" s="40"/>
      <c r="DN61" s="40"/>
      <c r="DO61" s="40"/>
      <c r="DQ61" s="34"/>
      <c r="DT61" s="40"/>
      <c r="DU61" s="10"/>
      <c r="DV61" s="12"/>
      <c r="DW61" s="40"/>
      <c r="DX61" s="7"/>
      <c r="DY61" s="8"/>
      <c r="DZ61" s="9"/>
      <c r="EA61" s="40"/>
      <c r="EB61" s="40"/>
      <c r="EC61" s="40"/>
      <c r="ED61" s="40"/>
      <c r="EE61" s="10"/>
      <c r="EF61" s="12"/>
      <c r="EG61" s="40"/>
      <c r="EH61" s="7"/>
      <c r="EI61" s="8"/>
      <c r="EJ61" s="9"/>
      <c r="EK61" s="40"/>
      <c r="EL61" s="40"/>
      <c r="EM61" s="40"/>
      <c r="EN61" s="40"/>
      <c r="EO61" s="10"/>
      <c r="EP61" s="12"/>
      <c r="EQ61" s="40"/>
      <c r="ER61" s="7"/>
      <c r="ES61" s="8"/>
      <c r="ET61" s="9"/>
      <c r="EU61" s="40"/>
      <c r="EV61" s="40"/>
      <c r="EW61" s="40"/>
      <c r="EY61" s="34"/>
      <c r="FB61" s="40"/>
      <c r="FC61" s="10"/>
      <c r="FD61" s="12"/>
      <c r="FE61" s="40"/>
      <c r="FF61" s="7"/>
      <c r="FG61" s="8"/>
      <c r="FH61" s="9"/>
      <c r="FI61" s="40"/>
      <c r="FJ61" s="40"/>
      <c r="FK61" s="40"/>
      <c r="FL61" s="40"/>
      <c r="FM61" s="10"/>
      <c r="FN61" s="12"/>
      <c r="FO61" s="40"/>
      <c r="FP61" s="7"/>
      <c r="FQ61" s="8"/>
      <c r="FR61" s="9"/>
      <c r="FS61" s="40"/>
      <c r="FT61" s="40"/>
      <c r="FU61" s="40"/>
      <c r="FW61" s="34"/>
      <c r="FZ61" s="40"/>
      <c r="GA61" s="10"/>
      <c r="GB61" s="12"/>
      <c r="GC61" s="40"/>
      <c r="GD61" s="7"/>
      <c r="GE61" s="8"/>
      <c r="GF61" s="9"/>
      <c r="GG61" s="40"/>
      <c r="GH61" s="40"/>
      <c r="GI61" s="40"/>
      <c r="GJ61" s="40"/>
      <c r="GK61" s="10"/>
      <c r="GL61" s="12"/>
      <c r="GM61" s="40"/>
      <c r="GN61" s="7"/>
      <c r="GO61" s="8"/>
      <c r="GP61" s="9"/>
      <c r="GQ61" s="40"/>
      <c r="GR61" s="40"/>
      <c r="GS61" s="40"/>
      <c r="GU61" s="34"/>
      <c r="GX61" s="40"/>
      <c r="GY61" s="10"/>
      <c r="GZ61" s="12"/>
      <c r="HA61" s="40"/>
      <c r="HB61" s="7"/>
      <c r="HC61" s="8"/>
      <c r="HD61" s="9"/>
      <c r="HE61" s="40"/>
      <c r="HF61" s="40"/>
      <c r="HG61" s="40"/>
      <c r="HH61" s="40"/>
      <c r="HI61" s="10"/>
      <c r="HJ61" s="12"/>
      <c r="HK61" s="40"/>
      <c r="HL61" s="7"/>
      <c r="HM61" s="8"/>
      <c r="HN61" s="9"/>
      <c r="HO61" s="40"/>
      <c r="HP61" s="40"/>
      <c r="HQ61" s="40"/>
    </row>
    <row r="62" spans="14:225" ht="18" customHeight="1" x14ac:dyDescent="0.15">
      <c r="BN62" s="43"/>
      <c r="BO62" s="19"/>
      <c r="BP62" s="21"/>
      <c r="BQ62" s="43"/>
      <c r="BR62" s="16"/>
      <c r="BS62" s="17"/>
      <c r="BT62" s="18"/>
      <c r="BU62" s="43"/>
      <c r="BV62" s="43"/>
      <c r="BW62" s="43"/>
      <c r="BX62" s="19"/>
      <c r="BY62" s="21"/>
      <c r="BZ62" s="43"/>
      <c r="CA62" s="43"/>
      <c r="CT62" s="34"/>
      <c r="CV62" s="43"/>
      <c r="CW62" s="19"/>
      <c r="CX62" s="21"/>
      <c r="CY62" s="43"/>
      <c r="CZ62" s="16"/>
      <c r="DA62" s="17"/>
      <c r="DB62" s="18"/>
      <c r="DC62" s="43"/>
      <c r="DD62" s="43"/>
      <c r="DE62" s="43"/>
      <c r="DF62" s="43"/>
      <c r="DG62" s="19"/>
      <c r="DH62" s="21"/>
      <c r="DI62" s="43"/>
      <c r="DJ62" s="16"/>
      <c r="DK62" s="17"/>
      <c r="DL62" s="18"/>
      <c r="DM62" s="43"/>
      <c r="DN62" s="43"/>
      <c r="DO62" s="43"/>
      <c r="DQ62" s="34"/>
      <c r="DT62" s="43"/>
      <c r="DU62" s="19"/>
      <c r="DV62" s="21"/>
      <c r="DW62" s="43"/>
      <c r="DX62" s="16"/>
      <c r="DY62" s="17"/>
      <c r="DZ62" s="18"/>
      <c r="EA62" s="43"/>
      <c r="EB62" s="43"/>
      <c r="EC62" s="43"/>
      <c r="ED62" s="43"/>
      <c r="EE62" s="19"/>
      <c r="EF62" s="21"/>
      <c r="EG62" s="43"/>
      <c r="EH62" s="16"/>
      <c r="EI62" s="17"/>
      <c r="EJ62" s="18"/>
      <c r="EK62" s="43"/>
      <c r="EL62" s="43"/>
      <c r="EM62" s="43"/>
      <c r="EN62" s="43"/>
      <c r="EO62" s="19"/>
      <c r="EP62" s="21"/>
      <c r="EQ62" s="43"/>
      <c r="ER62" s="16"/>
      <c r="ES62" s="17"/>
      <c r="ET62" s="18"/>
      <c r="EU62" s="43"/>
      <c r="EV62" s="43"/>
      <c r="EW62" s="43"/>
      <c r="EY62" s="34"/>
      <c r="FB62" s="43"/>
      <c r="FC62" s="19"/>
      <c r="FD62" s="21"/>
      <c r="FE62" s="43"/>
      <c r="FF62" s="16"/>
      <c r="FG62" s="17"/>
      <c r="FH62" s="18"/>
      <c r="FI62" s="43"/>
      <c r="FJ62" s="43"/>
      <c r="FK62" s="43"/>
      <c r="FL62" s="43"/>
      <c r="FM62" s="19"/>
      <c r="FN62" s="21"/>
      <c r="FO62" s="43"/>
      <c r="FP62" s="16"/>
      <c r="FQ62" s="17"/>
      <c r="FR62" s="18"/>
      <c r="FS62" s="43"/>
      <c r="FT62" s="43"/>
      <c r="FU62" s="43"/>
      <c r="FW62" s="34"/>
      <c r="FZ62" s="43"/>
      <c r="GA62" s="19"/>
      <c r="GB62" s="21"/>
      <c r="GC62" s="43"/>
      <c r="GD62" s="16"/>
      <c r="GE62" s="17"/>
      <c r="GF62" s="18"/>
      <c r="GG62" s="43"/>
      <c r="GH62" s="43"/>
      <c r="GI62" s="43"/>
      <c r="GJ62" s="43"/>
      <c r="GK62" s="19"/>
      <c r="GL62" s="21"/>
      <c r="GM62" s="43"/>
      <c r="GN62" s="16"/>
      <c r="GO62" s="17"/>
      <c r="GP62" s="18"/>
      <c r="GQ62" s="43"/>
      <c r="GR62" s="43"/>
      <c r="GS62" s="43"/>
      <c r="GU62" s="34"/>
      <c r="GX62" s="43"/>
      <c r="GY62" s="19"/>
      <c r="GZ62" s="21"/>
      <c r="HA62" s="43"/>
      <c r="HB62" s="16"/>
      <c r="HC62" s="17"/>
      <c r="HD62" s="18"/>
      <c r="HE62" s="43"/>
      <c r="HF62" s="43"/>
      <c r="HG62" s="43"/>
      <c r="HH62" s="43"/>
      <c r="HI62" s="19"/>
      <c r="HJ62" s="21"/>
      <c r="HK62" s="43"/>
      <c r="HL62" s="16"/>
      <c r="HM62" s="17"/>
      <c r="HN62" s="18"/>
      <c r="HO62" s="43"/>
      <c r="HP62" s="43"/>
      <c r="HQ62" s="43"/>
    </row>
    <row r="63" spans="14:225" ht="18" customHeight="1" x14ac:dyDescent="0.15">
      <c r="BN63" s="44"/>
      <c r="BO63" s="28"/>
      <c r="BP63" s="30"/>
      <c r="BQ63" s="44"/>
      <c r="BR63" s="25"/>
      <c r="BS63" s="26"/>
      <c r="BT63" s="27"/>
      <c r="BU63" s="44"/>
      <c r="BV63" s="44"/>
      <c r="BW63" s="44"/>
      <c r="BX63" s="28"/>
      <c r="BY63" s="30"/>
      <c r="BZ63" s="44"/>
      <c r="CA63" s="44"/>
      <c r="CE63" s="45" t="s">
        <v>21</v>
      </c>
      <c r="CF63" s="46"/>
      <c r="CG63" s="46"/>
      <c r="CH63" s="46"/>
      <c r="CI63" s="46"/>
      <c r="CJ63" s="46"/>
      <c r="CK63" s="46"/>
      <c r="CL63" s="46"/>
      <c r="CM63" s="46"/>
      <c r="CN63" s="46"/>
      <c r="CO63" s="46"/>
      <c r="CP63" s="46"/>
      <c r="CQ63" s="46"/>
      <c r="CR63" s="46"/>
      <c r="CS63" s="46"/>
      <c r="CT63" s="34"/>
      <c r="CV63" s="44"/>
      <c r="CW63" s="28"/>
      <c r="CX63" s="30"/>
      <c r="CY63" s="44"/>
      <c r="CZ63" s="25"/>
      <c r="DA63" s="26"/>
      <c r="DB63" s="27"/>
      <c r="DC63" s="44"/>
      <c r="DD63" s="44"/>
      <c r="DE63" s="44"/>
      <c r="DF63" s="44"/>
      <c r="DG63" s="28"/>
      <c r="DH63" s="30"/>
      <c r="DI63" s="44"/>
      <c r="DJ63" s="25"/>
      <c r="DK63" s="26"/>
      <c r="DL63" s="27"/>
      <c r="DM63" s="44"/>
      <c r="DN63" s="44"/>
      <c r="DO63" s="44"/>
      <c r="DQ63" s="34"/>
      <c r="DT63" s="44"/>
      <c r="DU63" s="28"/>
      <c r="DV63" s="30"/>
      <c r="DW63" s="44"/>
      <c r="DX63" s="25"/>
      <c r="DY63" s="26"/>
      <c r="DZ63" s="27"/>
      <c r="EA63" s="44"/>
      <c r="EB63" s="44"/>
      <c r="EC63" s="44"/>
      <c r="ED63" s="44"/>
      <c r="EE63" s="28"/>
      <c r="EF63" s="30"/>
      <c r="EG63" s="44"/>
      <c r="EH63" s="25"/>
      <c r="EI63" s="26"/>
      <c r="EJ63" s="27"/>
      <c r="EK63" s="44"/>
      <c r="EL63" s="44"/>
      <c r="EM63" s="44"/>
      <c r="EN63" s="44"/>
      <c r="EO63" s="28"/>
      <c r="EP63" s="30"/>
      <c r="EQ63" s="44"/>
      <c r="ER63" s="25"/>
      <c r="ES63" s="26"/>
      <c r="ET63" s="27"/>
      <c r="EU63" s="44"/>
      <c r="EV63" s="44"/>
      <c r="EW63" s="44"/>
      <c r="EY63" s="34"/>
      <c r="FB63" s="44"/>
      <c r="FC63" s="28"/>
      <c r="FD63" s="30"/>
      <c r="FE63" s="44"/>
      <c r="FF63" s="25"/>
      <c r="FG63" s="26"/>
      <c r="FH63" s="27"/>
      <c r="FI63" s="44"/>
      <c r="FJ63" s="44"/>
      <c r="FK63" s="44"/>
      <c r="FL63" s="44"/>
      <c r="FM63" s="28"/>
      <c r="FN63" s="30"/>
      <c r="FO63" s="44"/>
      <c r="FP63" s="25"/>
      <c r="FQ63" s="26"/>
      <c r="FR63" s="27"/>
      <c r="FS63" s="44"/>
      <c r="FT63" s="44"/>
      <c r="FU63" s="44"/>
      <c r="FW63" s="34"/>
      <c r="FZ63" s="44"/>
      <c r="GA63" s="28"/>
      <c r="GB63" s="30"/>
      <c r="GC63" s="44"/>
      <c r="GD63" s="25"/>
      <c r="GE63" s="26"/>
      <c r="GF63" s="27"/>
      <c r="GG63" s="44"/>
      <c r="GH63" s="44"/>
      <c r="GI63" s="44"/>
      <c r="GJ63" s="44"/>
      <c r="GK63" s="28"/>
      <c r="GL63" s="30"/>
      <c r="GM63" s="44"/>
      <c r="GN63" s="25"/>
      <c r="GO63" s="26"/>
      <c r="GP63" s="27"/>
      <c r="GQ63" s="44"/>
      <c r="GR63" s="44"/>
      <c r="GS63" s="44"/>
      <c r="GU63" s="34"/>
      <c r="GX63" s="44"/>
      <c r="GY63" s="28"/>
      <c r="GZ63" s="30"/>
      <c r="HA63" s="44"/>
      <c r="HB63" s="25"/>
      <c r="HC63" s="26"/>
      <c r="HD63" s="27"/>
      <c r="HE63" s="44"/>
      <c r="HF63" s="44"/>
      <c r="HG63" s="44"/>
      <c r="HH63" s="44"/>
      <c r="HI63" s="28"/>
      <c r="HJ63" s="30"/>
      <c r="HK63" s="44"/>
      <c r="HL63" s="25"/>
      <c r="HM63" s="26"/>
      <c r="HN63" s="27"/>
      <c r="HO63" s="44"/>
      <c r="HP63" s="44"/>
      <c r="HQ63" s="44"/>
    </row>
    <row r="64" spans="14:225" ht="18" customHeight="1" x14ac:dyDescent="0.15">
      <c r="CT64" s="34"/>
      <c r="DQ64" s="34"/>
      <c r="EY64" s="34"/>
      <c r="FW64" s="34"/>
      <c r="GU64" s="34"/>
    </row>
    <row r="65" spans="66:225" ht="18" customHeight="1" x14ac:dyDescent="0.2">
      <c r="BN65" s="47">
        <v>325</v>
      </c>
      <c r="BO65" s="169">
        <v>465</v>
      </c>
      <c r="BP65" s="169"/>
      <c r="BQ65" s="47">
        <v>325</v>
      </c>
      <c r="BR65" s="169">
        <v>685</v>
      </c>
      <c r="BS65" s="169"/>
      <c r="BT65" s="169"/>
      <c r="BU65" s="47">
        <v>325</v>
      </c>
      <c r="BV65" s="47">
        <v>325</v>
      </c>
      <c r="BW65" s="47">
        <v>325</v>
      </c>
      <c r="BX65" s="169">
        <v>465</v>
      </c>
      <c r="BY65" s="169"/>
      <c r="BZ65" s="47">
        <v>325</v>
      </c>
      <c r="CA65" s="47">
        <v>325</v>
      </c>
      <c r="CE65" s="40"/>
      <c r="CF65" s="40"/>
      <c r="CG65" s="40"/>
      <c r="CH65" s="40"/>
      <c r="CI65" s="40"/>
      <c r="CJ65" s="40"/>
      <c r="CK65" s="40"/>
      <c r="CL65" s="40"/>
      <c r="CM65" s="40"/>
      <c r="CT65" s="34"/>
      <c r="CV65" s="48">
        <v>325</v>
      </c>
      <c r="CW65" s="170">
        <v>465</v>
      </c>
      <c r="CX65" s="170"/>
      <c r="CY65" s="48">
        <v>325</v>
      </c>
      <c r="CZ65" s="170">
        <v>685</v>
      </c>
      <c r="DA65" s="170"/>
      <c r="DB65" s="170"/>
      <c r="DC65" s="48">
        <v>325</v>
      </c>
      <c r="DD65" s="48">
        <v>325</v>
      </c>
      <c r="DE65" s="48">
        <v>325</v>
      </c>
      <c r="DF65" s="49">
        <v>325</v>
      </c>
      <c r="DG65" s="171">
        <v>465</v>
      </c>
      <c r="DH65" s="171"/>
      <c r="DI65" s="49">
        <v>325</v>
      </c>
      <c r="DJ65" s="171">
        <v>685</v>
      </c>
      <c r="DK65" s="171"/>
      <c r="DL65" s="171"/>
      <c r="DM65" s="49">
        <v>325</v>
      </c>
      <c r="DN65" s="49">
        <v>325</v>
      </c>
      <c r="DO65" s="49">
        <v>325</v>
      </c>
      <c r="DQ65" s="34"/>
      <c r="DT65" s="48">
        <v>325</v>
      </c>
      <c r="DU65" s="170">
        <v>465</v>
      </c>
      <c r="DV65" s="170"/>
      <c r="DW65" s="48">
        <v>325</v>
      </c>
      <c r="DX65" s="170">
        <v>685</v>
      </c>
      <c r="DY65" s="170"/>
      <c r="DZ65" s="170"/>
      <c r="EA65" s="48">
        <v>325</v>
      </c>
      <c r="EB65" s="48">
        <v>325</v>
      </c>
      <c r="EC65" s="48">
        <v>325</v>
      </c>
      <c r="ED65" s="49">
        <v>325</v>
      </c>
      <c r="EE65" s="171">
        <v>465</v>
      </c>
      <c r="EF65" s="171"/>
      <c r="EG65" s="49">
        <v>325</v>
      </c>
      <c r="EH65" s="171">
        <v>685</v>
      </c>
      <c r="EI65" s="171"/>
      <c r="EJ65" s="171"/>
      <c r="EK65" s="49">
        <v>325</v>
      </c>
      <c r="EL65" s="49">
        <v>325</v>
      </c>
      <c r="EM65" s="49">
        <v>325</v>
      </c>
      <c r="EN65" s="48">
        <v>325</v>
      </c>
      <c r="EO65" s="170">
        <v>465</v>
      </c>
      <c r="EP65" s="170"/>
      <c r="EQ65" s="48">
        <v>325</v>
      </c>
      <c r="ER65" s="170">
        <v>685</v>
      </c>
      <c r="ES65" s="170"/>
      <c r="ET65" s="170"/>
      <c r="EU65" s="48">
        <v>325</v>
      </c>
      <c r="EV65" s="48">
        <v>325</v>
      </c>
      <c r="EW65" s="48">
        <v>325</v>
      </c>
      <c r="EY65" s="34"/>
      <c r="FB65" s="48">
        <v>325</v>
      </c>
      <c r="FC65" s="170">
        <v>465</v>
      </c>
      <c r="FD65" s="170"/>
      <c r="FE65" s="48">
        <v>325</v>
      </c>
      <c r="FF65" s="170">
        <v>685</v>
      </c>
      <c r="FG65" s="170"/>
      <c r="FH65" s="170"/>
      <c r="FI65" s="48">
        <v>325</v>
      </c>
      <c r="FJ65" s="48">
        <v>325</v>
      </c>
      <c r="FK65" s="48">
        <v>325</v>
      </c>
      <c r="FL65" s="49">
        <v>325</v>
      </c>
      <c r="FM65" s="171">
        <v>465</v>
      </c>
      <c r="FN65" s="171"/>
      <c r="FO65" s="49">
        <v>325</v>
      </c>
      <c r="FP65" s="171">
        <v>685</v>
      </c>
      <c r="FQ65" s="171"/>
      <c r="FR65" s="171"/>
      <c r="FS65" s="49">
        <v>325</v>
      </c>
      <c r="FT65" s="49">
        <v>325</v>
      </c>
      <c r="FU65" s="49">
        <v>325</v>
      </c>
      <c r="FW65" s="34"/>
      <c r="FZ65" s="48">
        <v>325</v>
      </c>
      <c r="GA65" s="170">
        <v>465</v>
      </c>
      <c r="GB65" s="170"/>
      <c r="GC65" s="48">
        <v>325</v>
      </c>
      <c r="GD65" s="170">
        <v>685</v>
      </c>
      <c r="GE65" s="170"/>
      <c r="GF65" s="170"/>
      <c r="GG65" s="48">
        <v>325</v>
      </c>
      <c r="GH65" s="48">
        <v>325</v>
      </c>
      <c r="GI65" s="48">
        <v>325</v>
      </c>
      <c r="GJ65" s="49">
        <v>325</v>
      </c>
      <c r="GK65" s="171">
        <v>465</v>
      </c>
      <c r="GL65" s="171"/>
      <c r="GM65" s="49">
        <v>325</v>
      </c>
      <c r="GN65" s="171">
        <v>685</v>
      </c>
      <c r="GO65" s="171"/>
      <c r="GP65" s="171"/>
      <c r="GQ65" s="49">
        <v>325</v>
      </c>
      <c r="GR65" s="49">
        <v>325</v>
      </c>
      <c r="GS65" s="49">
        <v>325</v>
      </c>
      <c r="GU65" s="34"/>
      <c r="GX65" s="48">
        <v>325</v>
      </c>
      <c r="GY65" s="170">
        <v>465</v>
      </c>
      <c r="GZ65" s="170"/>
      <c r="HA65" s="48">
        <v>325</v>
      </c>
      <c r="HB65" s="170">
        <v>685</v>
      </c>
      <c r="HC65" s="170"/>
      <c r="HD65" s="170"/>
      <c r="HE65" s="48">
        <v>325</v>
      </c>
      <c r="HF65" s="48">
        <v>325</v>
      </c>
      <c r="HG65" s="48">
        <v>325</v>
      </c>
      <c r="HH65" s="49">
        <v>325</v>
      </c>
      <c r="HI65" s="171">
        <v>465</v>
      </c>
      <c r="HJ65" s="171"/>
      <c r="HK65" s="49">
        <v>325</v>
      </c>
      <c r="HL65" s="171">
        <v>685</v>
      </c>
      <c r="HM65" s="171"/>
      <c r="HN65" s="171"/>
      <c r="HO65" s="49">
        <v>325</v>
      </c>
      <c r="HP65" s="49">
        <v>325</v>
      </c>
      <c r="HQ65" s="49">
        <v>325</v>
      </c>
    </row>
    <row r="66" spans="66:225" ht="18" customHeight="1" x14ac:dyDescent="0.2">
      <c r="BT66" s="32"/>
      <c r="BU66" s="3"/>
      <c r="BV66" s="3"/>
      <c r="CE66" s="43"/>
      <c r="CF66" s="43"/>
      <c r="CG66" s="43"/>
      <c r="CH66" s="43"/>
      <c r="CI66" s="43"/>
      <c r="CJ66" s="43"/>
      <c r="CK66" s="43"/>
      <c r="CL66" s="43"/>
      <c r="CM66" s="43"/>
      <c r="CT66" s="34"/>
      <c r="DB66" s="32"/>
      <c r="DC66" s="3"/>
      <c r="DD66" s="3"/>
      <c r="DQ66" s="34"/>
      <c r="DZ66" s="32"/>
      <c r="EA66" s="3"/>
      <c r="EB66" s="3"/>
      <c r="EY66" s="34"/>
      <c r="FH66" s="32"/>
      <c r="FI66" s="3"/>
      <c r="FJ66" s="3"/>
      <c r="FW66" s="34"/>
      <c r="GF66" s="32"/>
      <c r="GG66" s="3"/>
      <c r="GH66" s="3"/>
      <c r="GU66" s="34"/>
      <c r="HD66" s="32"/>
      <c r="HE66" s="3"/>
      <c r="HF66" s="3"/>
    </row>
    <row r="67" spans="66:225" ht="18" customHeight="1" x14ac:dyDescent="0.2">
      <c r="BN67" s="50">
        <f>SUM(BN49:BW49)</f>
        <v>3890</v>
      </c>
      <c r="BO67" s="51" t="s">
        <v>22</v>
      </c>
      <c r="BP67" s="32"/>
      <c r="BQ67" s="32"/>
      <c r="BR67" s="32"/>
      <c r="BS67" s="32"/>
      <c r="BT67" s="32"/>
      <c r="BU67" s="3"/>
      <c r="BV67" s="3"/>
      <c r="CE67" s="44"/>
      <c r="CF67" s="44"/>
      <c r="CG67" s="44"/>
      <c r="CH67" s="44"/>
      <c r="CI67" s="44"/>
      <c r="CJ67" s="44"/>
      <c r="CK67" s="44"/>
      <c r="CL67" s="44"/>
      <c r="CM67" s="44"/>
      <c r="CT67" s="34"/>
      <c r="CV67" s="52"/>
      <c r="CW67" s="53"/>
      <c r="CX67" s="53"/>
      <c r="CY67" s="53"/>
      <c r="CZ67" s="53"/>
      <c r="DA67" s="53"/>
      <c r="DB67" s="54"/>
      <c r="DC67" s="55"/>
      <c r="DD67" s="56"/>
      <c r="DG67" s="52"/>
      <c r="DH67" s="53"/>
      <c r="DI67" s="53"/>
      <c r="DJ67" s="53"/>
      <c r="DK67" s="53"/>
      <c r="DL67" s="53"/>
      <c r="DM67" s="54"/>
      <c r="DN67" s="55"/>
      <c r="DO67" s="56"/>
      <c r="DQ67" s="34"/>
      <c r="DT67" s="57"/>
      <c r="DU67" s="58"/>
      <c r="DV67" s="58"/>
      <c r="DW67" s="58"/>
      <c r="DX67" s="58"/>
      <c r="DY67" s="58"/>
      <c r="DZ67" s="59"/>
      <c r="EA67" s="60"/>
      <c r="EB67" s="60"/>
      <c r="EC67" s="58"/>
      <c r="ED67" s="61"/>
      <c r="EJ67" s="62"/>
      <c r="EK67" s="62"/>
      <c r="EL67" s="62"/>
      <c r="EM67" s="57"/>
      <c r="EN67" s="58"/>
      <c r="EO67" s="58"/>
      <c r="EP67" s="58"/>
      <c r="EQ67" s="58"/>
      <c r="ER67" s="58"/>
      <c r="ES67" s="59"/>
      <c r="ET67" s="60"/>
      <c r="EU67" s="60"/>
      <c r="EV67" s="58"/>
      <c r="EW67" s="61"/>
      <c r="EY67" s="34"/>
      <c r="FC67" s="63"/>
      <c r="FD67" s="64"/>
      <c r="FE67" s="64"/>
      <c r="FF67" s="64"/>
      <c r="FG67" s="64"/>
      <c r="FH67" s="64"/>
      <c r="FI67" s="65"/>
      <c r="FJ67" s="66"/>
      <c r="FM67" s="63"/>
      <c r="FN67" s="64"/>
      <c r="FO67" s="64"/>
      <c r="FP67" s="64"/>
      <c r="FQ67" s="64"/>
      <c r="FR67" s="64"/>
      <c r="FS67" s="65"/>
      <c r="FT67" s="66"/>
      <c r="FW67" s="34"/>
      <c r="FZ67" s="40"/>
      <c r="GA67" s="63"/>
      <c r="GB67" s="64"/>
      <c r="GC67" s="64"/>
      <c r="GD67" s="64"/>
      <c r="GE67" s="64"/>
      <c r="GF67" s="64"/>
      <c r="GG67" s="65"/>
      <c r="GH67" s="66"/>
      <c r="GI67" s="40"/>
      <c r="GJ67" s="40"/>
      <c r="GK67" s="63"/>
      <c r="GL67" s="64"/>
      <c r="GM67" s="64"/>
      <c r="GN67" s="64"/>
      <c r="GO67" s="64"/>
      <c r="GP67" s="64"/>
      <c r="GQ67" s="65"/>
      <c r="GR67" s="66"/>
      <c r="GS67" s="40"/>
      <c r="GU67" s="34"/>
      <c r="GX67" s="67"/>
      <c r="GY67" s="68"/>
      <c r="GZ67" s="68"/>
      <c r="HA67" s="69"/>
      <c r="HG67" s="67"/>
      <c r="HH67" s="68"/>
      <c r="HI67" s="68"/>
      <c r="HJ67" s="69"/>
    </row>
    <row r="68" spans="66:225" ht="18" customHeight="1" x14ac:dyDescent="0.2">
      <c r="BN68" s="32"/>
      <c r="BO68" s="32"/>
      <c r="BP68" s="32"/>
      <c r="BQ68" s="32"/>
      <c r="BR68" s="32"/>
      <c r="BS68" s="32"/>
      <c r="BT68" s="32"/>
      <c r="BU68" s="3"/>
      <c r="BV68" s="3"/>
      <c r="CT68" s="34"/>
      <c r="CV68" s="70"/>
      <c r="CW68" s="71"/>
      <c r="CX68" s="71"/>
      <c r="CY68" s="71"/>
      <c r="CZ68" s="71"/>
      <c r="DA68" s="71"/>
      <c r="DB68" s="72"/>
      <c r="DC68" s="73"/>
      <c r="DD68" s="74"/>
      <c r="DG68" s="70"/>
      <c r="DH68" s="71"/>
      <c r="DI68" s="71"/>
      <c r="DJ68" s="71"/>
      <c r="DK68" s="71"/>
      <c r="DL68" s="71"/>
      <c r="DM68" s="72"/>
      <c r="DN68" s="73"/>
      <c r="DO68" s="74"/>
      <c r="DQ68" s="34"/>
      <c r="DT68" s="75"/>
      <c r="DU68" s="76"/>
      <c r="DV68" s="76"/>
      <c r="DW68" s="76"/>
      <c r="DX68" s="76"/>
      <c r="DY68" s="76"/>
      <c r="DZ68" s="77"/>
      <c r="EA68" s="78"/>
      <c r="EB68" s="79"/>
      <c r="EC68" s="76"/>
      <c r="ED68" s="80"/>
      <c r="EJ68" s="62"/>
      <c r="EM68" s="75"/>
      <c r="EN68" s="76"/>
      <c r="EO68" s="76"/>
      <c r="EP68" s="76"/>
      <c r="EQ68" s="76"/>
      <c r="ER68" s="76"/>
      <c r="ES68" s="77"/>
      <c r="ET68" s="78"/>
      <c r="EU68" s="79"/>
      <c r="EV68" s="76"/>
      <c r="EW68" s="80"/>
      <c r="EY68" s="34"/>
      <c r="FC68" s="81"/>
      <c r="FD68" s="82"/>
      <c r="FE68" s="82"/>
      <c r="FF68" s="82"/>
      <c r="FG68" s="82"/>
      <c r="FH68" s="82"/>
      <c r="FI68" s="83"/>
      <c r="FJ68" s="84"/>
      <c r="FM68" s="81"/>
      <c r="FN68" s="82"/>
      <c r="FO68" s="82"/>
      <c r="FP68" s="82"/>
      <c r="FQ68" s="82"/>
      <c r="FR68" s="82"/>
      <c r="FS68" s="83"/>
      <c r="FT68" s="84"/>
      <c r="FW68" s="34"/>
      <c r="FZ68" s="43"/>
      <c r="GA68" s="81"/>
      <c r="GB68" s="82"/>
      <c r="GC68" s="82"/>
      <c r="GD68" s="82"/>
      <c r="GE68" s="82"/>
      <c r="GF68" s="82"/>
      <c r="GG68" s="83"/>
      <c r="GH68" s="84"/>
      <c r="GI68" s="43"/>
      <c r="GJ68" s="43"/>
      <c r="GK68" s="81"/>
      <c r="GL68" s="82"/>
      <c r="GM68" s="82"/>
      <c r="GN68" s="82"/>
      <c r="GO68" s="82"/>
      <c r="GP68" s="82"/>
      <c r="GQ68" s="83"/>
      <c r="GR68" s="84"/>
      <c r="GS68" s="43"/>
      <c r="GU68" s="34"/>
      <c r="GX68" s="85" t="s">
        <v>23</v>
      </c>
      <c r="GY68" s="86"/>
      <c r="GZ68" s="86"/>
      <c r="HA68" s="87"/>
      <c r="HG68" s="85" t="s">
        <v>23</v>
      </c>
      <c r="HH68" s="86"/>
      <c r="HI68" s="86"/>
      <c r="HJ68" s="87"/>
    </row>
    <row r="69" spans="66:225" ht="18" customHeight="1" x14ac:dyDescent="0.2">
      <c r="BN69" s="32" t="s">
        <v>24</v>
      </c>
      <c r="BO69" s="32"/>
      <c r="BP69" s="32"/>
      <c r="BQ69" s="32"/>
      <c r="BR69" s="32"/>
      <c r="BS69" s="32"/>
      <c r="BT69" s="32"/>
      <c r="BU69" s="3"/>
      <c r="BV69" s="3"/>
      <c r="CE69" s="47">
        <v>325</v>
      </c>
      <c r="CF69" s="47">
        <v>325</v>
      </c>
      <c r="CG69" s="47">
        <v>325</v>
      </c>
      <c r="CH69" s="47">
        <v>325</v>
      </c>
      <c r="CI69" s="47">
        <v>325</v>
      </c>
      <c r="CJ69" s="47">
        <v>325</v>
      </c>
      <c r="CK69" s="47">
        <v>325</v>
      </c>
      <c r="CL69" s="47">
        <v>325</v>
      </c>
      <c r="CM69" s="47">
        <v>325</v>
      </c>
      <c r="CT69" s="34"/>
      <c r="CV69" s="88" t="s">
        <v>25</v>
      </c>
      <c r="CW69" s="89"/>
      <c r="CX69" s="89"/>
      <c r="CY69" s="89"/>
      <c r="CZ69" s="89"/>
      <c r="DA69" s="89"/>
      <c r="DB69" s="89"/>
      <c r="DC69" s="90"/>
      <c r="DD69" s="91"/>
      <c r="DG69" s="88" t="s">
        <v>25</v>
      </c>
      <c r="DH69" s="89"/>
      <c r="DI69" s="89"/>
      <c r="DJ69" s="89"/>
      <c r="DK69" s="89"/>
      <c r="DL69" s="89"/>
      <c r="DM69" s="89"/>
      <c r="DN69" s="90"/>
      <c r="DO69" s="91"/>
      <c r="DQ69" s="34"/>
      <c r="DT69" s="92" t="s">
        <v>26</v>
      </c>
      <c r="DU69" s="93"/>
      <c r="DV69" s="93"/>
      <c r="DW69" s="93"/>
      <c r="DX69" s="93"/>
      <c r="DY69" s="93"/>
      <c r="DZ69" s="93"/>
      <c r="EA69" s="94"/>
      <c r="EB69" s="94"/>
      <c r="EC69" s="93"/>
      <c r="ED69" s="95"/>
      <c r="EJ69" s="96"/>
      <c r="EK69" s="62"/>
      <c r="EL69" s="62"/>
      <c r="EM69" s="92" t="s">
        <v>26</v>
      </c>
      <c r="EN69" s="93"/>
      <c r="EO69" s="93"/>
      <c r="EP69" s="93"/>
      <c r="EQ69" s="93"/>
      <c r="ER69" s="93"/>
      <c r="ES69" s="93"/>
      <c r="ET69" s="94"/>
      <c r="EU69" s="94"/>
      <c r="EV69" s="93"/>
      <c r="EW69" s="95"/>
      <c r="EY69" s="34"/>
      <c r="FC69" s="97" t="s">
        <v>27</v>
      </c>
      <c r="FD69" s="98"/>
      <c r="FE69" s="98"/>
      <c r="FF69" s="98"/>
      <c r="FG69" s="98"/>
      <c r="FH69" s="98"/>
      <c r="FI69" s="98"/>
      <c r="FJ69" s="99"/>
      <c r="FM69" s="97" t="s">
        <v>27</v>
      </c>
      <c r="FN69" s="98"/>
      <c r="FO69" s="98"/>
      <c r="FP69" s="98"/>
      <c r="FQ69" s="98"/>
      <c r="FR69" s="98"/>
      <c r="FS69" s="98"/>
      <c r="FT69" s="99"/>
      <c r="FW69" s="34"/>
      <c r="FZ69" s="44"/>
      <c r="GA69" s="97" t="s">
        <v>27</v>
      </c>
      <c r="GB69" s="98"/>
      <c r="GC69" s="98"/>
      <c r="GD69" s="98"/>
      <c r="GE69" s="98"/>
      <c r="GF69" s="98"/>
      <c r="GG69" s="98"/>
      <c r="GH69" s="99"/>
      <c r="GI69" s="44"/>
      <c r="GJ69" s="44"/>
      <c r="GK69" s="97" t="s">
        <v>27</v>
      </c>
      <c r="GL69" s="98"/>
      <c r="GM69" s="98"/>
      <c r="GN69" s="98"/>
      <c r="GO69" s="98"/>
      <c r="GP69" s="98"/>
      <c r="GQ69" s="98"/>
      <c r="GR69" s="99"/>
      <c r="GS69" s="44"/>
      <c r="GU69" s="34"/>
      <c r="GX69" s="100" t="s">
        <v>28</v>
      </c>
      <c r="GY69" s="101"/>
      <c r="GZ69" s="101"/>
      <c r="HA69" s="102"/>
      <c r="HG69" s="100" t="s">
        <v>28</v>
      </c>
      <c r="HH69" s="101"/>
      <c r="HI69" s="101"/>
      <c r="HJ69" s="102"/>
    </row>
    <row r="70" spans="66:225" ht="18" customHeight="1" x14ac:dyDescent="0.2">
      <c r="BN70" s="32"/>
      <c r="BO70" s="32"/>
      <c r="BP70" s="32"/>
      <c r="BQ70" s="32"/>
      <c r="BR70" s="32"/>
      <c r="BS70" s="32"/>
      <c r="BT70" s="32"/>
      <c r="BU70" s="3"/>
      <c r="BV70" s="3"/>
      <c r="CK70" s="32"/>
      <c r="CL70" s="3"/>
      <c r="CM70" s="3"/>
      <c r="CT70" s="34"/>
      <c r="DC70" s="3"/>
      <c r="DD70" s="3"/>
      <c r="DQ70" s="34"/>
      <c r="EA70" s="3"/>
      <c r="EB70" s="3"/>
      <c r="EY70" s="34"/>
      <c r="FI70" s="3"/>
      <c r="FJ70" s="3"/>
      <c r="FW70" s="34"/>
      <c r="GG70" s="3"/>
      <c r="GH70" s="3"/>
      <c r="GU70" s="34"/>
    </row>
    <row r="71" spans="66:225" ht="18" customHeight="1" x14ac:dyDescent="0.2">
      <c r="BN71" s="32" t="s">
        <v>29</v>
      </c>
      <c r="BO71" s="32"/>
      <c r="BP71" s="32"/>
      <c r="BQ71" s="32"/>
      <c r="BR71" s="32"/>
      <c r="BS71" s="32"/>
      <c r="BT71" s="32"/>
      <c r="CE71" s="50">
        <f>CG86</f>
        <v>2925</v>
      </c>
      <c r="CG71" s="103" t="s">
        <v>22</v>
      </c>
      <c r="CH71" s="32"/>
      <c r="CI71" s="32"/>
      <c r="CJ71" s="32"/>
      <c r="CK71" s="32"/>
      <c r="CL71" s="3"/>
      <c r="CM71" s="3"/>
      <c r="CT71" s="34"/>
      <c r="CZ71" s="52"/>
      <c r="DA71" s="53"/>
      <c r="DB71" s="53"/>
      <c r="DC71" s="53"/>
      <c r="DD71" s="53"/>
      <c r="DE71" s="53"/>
      <c r="DF71" s="54"/>
      <c r="DG71" s="55"/>
      <c r="DH71" s="56"/>
      <c r="DQ71" s="104"/>
      <c r="EA71" s="57"/>
      <c r="EB71" s="58"/>
      <c r="EC71" s="58"/>
      <c r="ED71" s="58"/>
      <c r="EE71" s="58"/>
      <c r="EF71" s="58"/>
      <c r="EG71" s="59"/>
      <c r="EH71" s="60"/>
      <c r="EI71" s="60"/>
      <c r="EJ71" s="58"/>
      <c r="EK71" s="61"/>
      <c r="EL71" s="57"/>
      <c r="EM71" s="58"/>
      <c r="EN71" s="58"/>
      <c r="EO71" s="58"/>
      <c r="EP71" s="58"/>
      <c r="EQ71" s="58"/>
      <c r="ER71" s="59"/>
      <c r="ES71" s="60"/>
      <c r="ET71" s="60"/>
      <c r="EU71" s="58"/>
      <c r="EV71" s="61"/>
      <c r="EY71" s="34"/>
      <c r="FB71" s="63"/>
      <c r="FC71" s="64"/>
      <c r="FD71" s="64"/>
      <c r="FE71" s="64"/>
      <c r="FF71" s="64"/>
      <c r="FG71" s="64"/>
      <c r="FH71" s="65"/>
      <c r="FI71" s="66"/>
      <c r="FL71" s="63"/>
      <c r="FM71" s="64"/>
      <c r="FN71" s="64"/>
      <c r="FO71" s="64"/>
      <c r="FP71" s="64"/>
      <c r="FQ71" s="64"/>
      <c r="FR71" s="65"/>
      <c r="FS71" s="66"/>
      <c r="FW71" s="34"/>
      <c r="FZ71" s="63"/>
      <c r="GA71" s="64"/>
      <c r="GB71" s="64"/>
      <c r="GC71" s="64"/>
      <c r="GD71" s="64"/>
      <c r="GE71" s="64"/>
      <c r="GF71" s="65"/>
      <c r="GG71" s="66"/>
      <c r="GH71" s="40"/>
      <c r="GI71" s="40"/>
      <c r="GJ71" s="63"/>
      <c r="GK71" s="64"/>
      <c r="GL71" s="64"/>
      <c r="GM71" s="64"/>
      <c r="GN71" s="64"/>
      <c r="GO71" s="64"/>
      <c r="GP71" s="65"/>
      <c r="GQ71" s="66"/>
      <c r="GR71" s="40"/>
      <c r="GS71" s="40"/>
      <c r="GU71" s="34"/>
      <c r="HH71" s="67"/>
      <c r="HI71" s="68"/>
      <c r="HJ71" s="68"/>
      <c r="HK71" s="69"/>
    </row>
    <row r="72" spans="66:225" ht="18" customHeight="1" x14ac:dyDescent="0.2">
      <c r="BN72" s="32"/>
      <c r="BO72" s="32"/>
      <c r="BP72" s="32"/>
      <c r="BQ72" s="32"/>
      <c r="BR72" s="32"/>
      <c r="BS72" s="32"/>
      <c r="BT72" s="32"/>
      <c r="BY72" s="105"/>
      <c r="BZ72" s="105"/>
      <c r="CA72" s="105"/>
      <c r="CB72" s="105"/>
      <c r="CC72" s="106"/>
      <c r="CD72" s="105"/>
      <c r="CE72" s="107">
        <v>1</v>
      </c>
      <c r="CG72" s="32" t="s">
        <v>30</v>
      </c>
      <c r="CH72" s="32"/>
      <c r="CI72" s="32"/>
      <c r="CJ72" s="32"/>
      <c r="CK72" s="32"/>
      <c r="CL72" s="3"/>
      <c r="CM72" s="3"/>
      <c r="CT72" s="104"/>
      <c r="CU72" s="105"/>
      <c r="CZ72" s="70"/>
      <c r="DA72" s="71"/>
      <c r="DB72" s="71"/>
      <c r="DC72" s="71"/>
      <c r="DD72" s="71"/>
      <c r="DE72" s="71"/>
      <c r="DF72" s="72"/>
      <c r="DG72" s="73"/>
      <c r="DH72" s="74"/>
      <c r="DQ72" s="34"/>
      <c r="DS72" s="105"/>
      <c r="EA72" s="75"/>
      <c r="EB72" s="76"/>
      <c r="EC72" s="76"/>
      <c r="ED72" s="76"/>
      <c r="EE72" s="76"/>
      <c r="EF72" s="76"/>
      <c r="EG72" s="77"/>
      <c r="EH72" s="78"/>
      <c r="EI72" s="79"/>
      <c r="EJ72" s="76"/>
      <c r="EK72" s="80"/>
      <c r="EL72" s="75"/>
      <c r="EM72" s="76"/>
      <c r="EN72" s="76"/>
      <c r="EO72" s="76"/>
      <c r="EP72" s="76"/>
      <c r="EQ72" s="76"/>
      <c r="ER72" s="77"/>
      <c r="ES72" s="78"/>
      <c r="ET72" s="79"/>
      <c r="EU72" s="76"/>
      <c r="EV72" s="80"/>
      <c r="EY72" s="34"/>
      <c r="FA72" s="105"/>
      <c r="FB72" s="81"/>
      <c r="FC72" s="82"/>
      <c r="FD72" s="82"/>
      <c r="FE72" s="82"/>
      <c r="FF72" s="82"/>
      <c r="FG72" s="82"/>
      <c r="FH72" s="83"/>
      <c r="FI72" s="84"/>
      <c r="FL72" s="81"/>
      <c r="FM72" s="82"/>
      <c r="FN72" s="82"/>
      <c r="FO72" s="82"/>
      <c r="FP72" s="82"/>
      <c r="FQ72" s="82"/>
      <c r="FR72" s="83"/>
      <c r="FS72" s="84"/>
      <c r="FW72" s="34"/>
      <c r="FY72" s="105"/>
      <c r="FZ72" s="81"/>
      <c r="GA72" s="82"/>
      <c r="GB72" s="82"/>
      <c r="GC72" s="82"/>
      <c r="GD72" s="82"/>
      <c r="GE72" s="82"/>
      <c r="GF72" s="83"/>
      <c r="GG72" s="84"/>
      <c r="GH72" s="43"/>
      <c r="GI72" s="43"/>
      <c r="GJ72" s="81"/>
      <c r="GK72" s="82"/>
      <c r="GL72" s="82"/>
      <c r="GM72" s="82"/>
      <c r="GN72" s="82"/>
      <c r="GO72" s="82"/>
      <c r="GP72" s="83"/>
      <c r="GQ72" s="84"/>
      <c r="GR72" s="43"/>
      <c r="GS72" s="43"/>
      <c r="GU72" s="34"/>
      <c r="HH72" s="85" t="s">
        <v>23</v>
      </c>
      <c r="HI72" s="86"/>
      <c r="HJ72" s="86"/>
      <c r="HK72" s="87"/>
    </row>
    <row r="73" spans="66:225" ht="18" customHeight="1" x14ac:dyDescent="0.2">
      <c r="BN73" s="32"/>
      <c r="BO73" s="32">
        <v>1</v>
      </c>
      <c r="BP73" s="50">
        <f>BN49</f>
        <v>325</v>
      </c>
      <c r="BQ73" s="32"/>
      <c r="BR73" s="108" t="s">
        <v>31</v>
      </c>
      <c r="BS73" s="108" t="s">
        <v>22</v>
      </c>
      <c r="BT73" s="32"/>
      <c r="CE73" s="107">
        <v>9</v>
      </c>
      <c r="CG73" s="32" t="s">
        <v>32</v>
      </c>
      <c r="CH73" s="32"/>
      <c r="CI73" s="32"/>
      <c r="CJ73" s="32"/>
      <c r="CK73" s="32"/>
      <c r="CL73" s="3"/>
      <c r="CM73" s="3"/>
      <c r="CT73" s="34"/>
      <c r="CZ73" s="88" t="s">
        <v>25</v>
      </c>
      <c r="DA73" s="89"/>
      <c r="DB73" s="89"/>
      <c r="DC73" s="89"/>
      <c r="DD73" s="89"/>
      <c r="DE73" s="89"/>
      <c r="DF73" s="89"/>
      <c r="DG73" s="90"/>
      <c r="DH73" s="91"/>
      <c r="DQ73" s="104"/>
      <c r="EA73" s="92" t="s">
        <v>26</v>
      </c>
      <c r="EB73" s="93"/>
      <c r="EC73" s="93"/>
      <c r="ED73" s="93"/>
      <c r="EE73" s="93"/>
      <c r="EF73" s="93"/>
      <c r="EG73" s="93"/>
      <c r="EH73" s="94"/>
      <c r="EI73" s="94"/>
      <c r="EJ73" s="93"/>
      <c r="EK73" s="95"/>
      <c r="EL73" s="92" t="s">
        <v>26</v>
      </c>
      <c r="EM73" s="93"/>
      <c r="EN73" s="93"/>
      <c r="EO73" s="93"/>
      <c r="EP73" s="93"/>
      <c r="EQ73" s="93"/>
      <c r="ER73" s="93"/>
      <c r="ES73" s="94"/>
      <c r="ET73" s="94"/>
      <c r="EU73" s="93"/>
      <c r="EV73" s="95"/>
      <c r="EY73" s="34"/>
      <c r="FB73" s="97" t="s">
        <v>27</v>
      </c>
      <c r="FC73" s="98"/>
      <c r="FD73" s="98"/>
      <c r="FE73" s="98"/>
      <c r="FF73" s="98"/>
      <c r="FG73" s="98"/>
      <c r="FH73" s="98"/>
      <c r="FI73" s="99"/>
      <c r="FL73" s="97" t="s">
        <v>27</v>
      </c>
      <c r="FM73" s="98"/>
      <c r="FN73" s="98"/>
      <c r="FO73" s="98"/>
      <c r="FP73" s="98"/>
      <c r="FQ73" s="98"/>
      <c r="FR73" s="98"/>
      <c r="FS73" s="99"/>
      <c r="FW73" s="34"/>
      <c r="FZ73" s="97" t="s">
        <v>27</v>
      </c>
      <c r="GA73" s="98"/>
      <c r="GB73" s="98"/>
      <c r="GC73" s="98"/>
      <c r="GD73" s="98"/>
      <c r="GE73" s="98"/>
      <c r="GF73" s="98"/>
      <c r="GG73" s="99"/>
      <c r="GH73" s="44"/>
      <c r="GI73" s="44"/>
      <c r="GJ73" s="97" t="s">
        <v>27</v>
      </c>
      <c r="GK73" s="98"/>
      <c r="GL73" s="98"/>
      <c r="GM73" s="98"/>
      <c r="GN73" s="98"/>
      <c r="GO73" s="98"/>
      <c r="GP73" s="98"/>
      <c r="GQ73" s="99"/>
      <c r="GR73" s="44"/>
      <c r="GS73" s="44"/>
      <c r="GU73" s="34"/>
      <c r="HH73" s="100" t="s">
        <v>28</v>
      </c>
      <c r="HI73" s="101"/>
      <c r="HJ73" s="101"/>
      <c r="HK73" s="102"/>
    </row>
    <row r="74" spans="66:225" ht="18" customHeight="1" x14ac:dyDescent="0.2">
      <c r="BN74" s="32"/>
      <c r="BO74" s="32">
        <v>2</v>
      </c>
      <c r="BP74" s="50">
        <f>BO49</f>
        <v>465</v>
      </c>
      <c r="BQ74" s="32"/>
      <c r="BR74" s="109">
        <f t="shared" ref="BR74:BR93" si="0">($BP74-$BP73)/$BP73</f>
        <v>0.43076923076923079</v>
      </c>
      <c r="BS74" s="32">
        <f t="shared" ref="BS74:BS93" si="1">$BP74-$BP73</f>
        <v>140</v>
      </c>
      <c r="BT74" s="32"/>
      <c r="BY74" s="105"/>
      <c r="BZ74" s="105"/>
      <c r="CA74" s="105"/>
      <c r="CB74" s="105"/>
      <c r="CC74" s="106"/>
      <c r="CD74" s="105"/>
      <c r="CE74" s="107">
        <v>9</v>
      </c>
      <c r="CG74" s="32" t="s">
        <v>33</v>
      </c>
      <c r="CH74" s="32"/>
      <c r="CI74" s="32"/>
      <c r="CJ74" s="32"/>
      <c r="CK74" s="32"/>
      <c r="CL74" s="3"/>
      <c r="CM74" s="3"/>
      <c r="CP74" s="105"/>
      <c r="CQ74" s="105"/>
      <c r="CR74" s="105"/>
      <c r="CT74" s="104"/>
      <c r="CU74" s="105"/>
      <c r="DQ74" s="34"/>
      <c r="DS74" s="105"/>
      <c r="ET74" s="3"/>
      <c r="EU74" s="110"/>
      <c r="EY74" s="34"/>
      <c r="FA74" s="105"/>
      <c r="FW74" s="34"/>
      <c r="FY74" s="105"/>
      <c r="GU74" s="34"/>
    </row>
    <row r="75" spans="66:225" ht="18" customHeight="1" x14ac:dyDescent="0.2">
      <c r="BN75" s="32"/>
      <c r="BO75" s="32">
        <v>3</v>
      </c>
      <c r="BP75" s="50">
        <f>BN51</f>
        <v>650</v>
      </c>
      <c r="BQ75" s="32"/>
      <c r="BR75" s="109">
        <f t="shared" si="0"/>
        <v>0.39784946236559138</v>
      </c>
      <c r="BS75" s="32">
        <f t="shared" si="1"/>
        <v>185</v>
      </c>
      <c r="BT75" s="32"/>
      <c r="CT75" s="34"/>
      <c r="CW75" s="52"/>
      <c r="CX75" s="53"/>
      <c r="CY75" s="53"/>
      <c r="CZ75" s="53"/>
      <c r="DA75" s="53"/>
      <c r="DB75" s="53"/>
      <c r="DC75" s="53"/>
      <c r="DD75" s="53"/>
      <c r="DE75" s="53"/>
      <c r="DF75" s="53"/>
      <c r="DG75" s="53"/>
      <c r="DH75" s="53"/>
      <c r="DI75" s="111"/>
      <c r="DQ75" s="34"/>
      <c r="EK75" s="57"/>
      <c r="EL75" s="58"/>
      <c r="EM75" s="58"/>
      <c r="EN75" s="58"/>
      <c r="EO75" s="58"/>
      <c r="EP75" s="58"/>
      <c r="EQ75" s="59"/>
      <c r="ER75" s="60"/>
      <c r="ES75" s="60"/>
      <c r="ET75" s="58"/>
      <c r="EU75" s="61"/>
      <c r="EY75" s="34"/>
      <c r="FK75" s="63"/>
      <c r="FL75" s="64"/>
      <c r="FM75" s="64"/>
      <c r="FN75" s="64"/>
      <c r="FO75" s="64"/>
      <c r="FP75" s="64"/>
      <c r="FQ75" s="65"/>
      <c r="FR75" s="66"/>
      <c r="FW75" s="34"/>
      <c r="FZ75" s="40"/>
      <c r="GA75" s="10"/>
      <c r="GB75" s="12"/>
      <c r="GC75" s="40"/>
      <c r="GD75" s="7"/>
      <c r="GE75" s="8"/>
      <c r="GF75" s="9"/>
      <c r="GG75" s="40"/>
      <c r="GH75" s="40"/>
      <c r="GI75" s="63"/>
      <c r="GJ75" s="64"/>
      <c r="GK75" s="64"/>
      <c r="GL75" s="64"/>
      <c r="GM75" s="64"/>
      <c r="GN75" s="64"/>
      <c r="GO75" s="65"/>
      <c r="GP75" s="66"/>
      <c r="GQ75" s="40"/>
      <c r="GR75" s="40"/>
      <c r="GS75" s="40"/>
      <c r="GU75" s="34"/>
      <c r="GX75" s="67"/>
      <c r="GY75" s="68"/>
      <c r="GZ75" s="68"/>
      <c r="HA75" s="68"/>
      <c r="HB75" s="68"/>
      <c r="HC75" s="68"/>
      <c r="HD75" s="68"/>
      <c r="HE75" s="68"/>
      <c r="HF75" s="69"/>
      <c r="HH75" s="67"/>
      <c r="HI75" s="68"/>
      <c r="HJ75" s="68"/>
      <c r="HK75" s="68"/>
      <c r="HL75" s="68"/>
      <c r="HM75" s="68"/>
      <c r="HN75" s="68"/>
      <c r="HO75" s="68"/>
      <c r="HP75" s="69"/>
    </row>
    <row r="76" spans="66:225" ht="18" customHeight="1" x14ac:dyDescent="0.2">
      <c r="BN76" s="32"/>
      <c r="BO76" s="32">
        <v>4</v>
      </c>
      <c r="BP76" s="50">
        <f>BQ49</f>
        <v>685</v>
      </c>
      <c r="BQ76" s="32"/>
      <c r="BR76" s="109">
        <f t="shared" si="0"/>
        <v>5.3846153846153849E-2</v>
      </c>
      <c r="BS76" s="32">
        <f t="shared" si="1"/>
        <v>35</v>
      </c>
      <c r="BT76" s="32"/>
      <c r="CE76" s="32" t="s">
        <v>29</v>
      </c>
      <c r="CF76" s="32"/>
      <c r="CG76" s="32"/>
      <c r="CH76" s="32"/>
      <c r="CI76" s="32"/>
      <c r="CJ76" s="32"/>
      <c r="CK76" s="32"/>
      <c r="CP76" s="105"/>
      <c r="CQ76" s="105"/>
      <c r="CR76" s="105"/>
      <c r="CT76" s="34"/>
      <c r="CW76" s="70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112"/>
      <c r="DQ76" s="34"/>
      <c r="EK76" s="75"/>
      <c r="EL76" s="76"/>
      <c r="EM76" s="76"/>
      <c r="EN76" s="76"/>
      <c r="EO76" s="76"/>
      <c r="EP76" s="76"/>
      <c r="EQ76" s="77"/>
      <c r="ER76" s="78"/>
      <c r="ES76" s="79"/>
      <c r="ET76" s="76"/>
      <c r="EU76" s="80"/>
      <c r="EY76" s="34"/>
      <c r="FK76" s="81"/>
      <c r="FL76" s="82"/>
      <c r="FM76" s="82"/>
      <c r="FN76" s="82"/>
      <c r="FO76" s="82"/>
      <c r="FP76" s="82"/>
      <c r="FQ76" s="83"/>
      <c r="FR76" s="84"/>
      <c r="FW76" s="34"/>
      <c r="FZ76" s="43"/>
      <c r="GA76" s="19"/>
      <c r="GB76" s="21"/>
      <c r="GC76" s="43"/>
      <c r="GD76" s="16"/>
      <c r="GE76" s="17"/>
      <c r="GF76" s="18"/>
      <c r="GG76" s="43"/>
      <c r="GH76" s="43"/>
      <c r="GI76" s="81"/>
      <c r="GJ76" s="82"/>
      <c r="GK76" s="82"/>
      <c r="GL76" s="82"/>
      <c r="GM76" s="82"/>
      <c r="GN76" s="82"/>
      <c r="GO76" s="83"/>
      <c r="GP76" s="84"/>
      <c r="GQ76" s="43"/>
      <c r="GR76" s="43"/>
      <c r="GS76" s="43"/>
      <c r="GU76" s="34"/>
      <c r="GX76" s="113"/>
      <c r="GY76" s="86"/>
      <c r="GZ76" s="86"/>
      <c r="HA76" s="86"/>
      <c r="HB76" s="86"/>
      <c r="HC76" s="86"/>
      <c r="HD76" s="86"/>
      <c r="HE76" s="86"/>
      <c r="HF76" s="87"/>
      <c r="HH76" s="113"/>
      <c r="HI76" s="86"/>
      <c r="HJ76" s="86"/>
      <c r="HK76" s="86"/>
      <c r="HL76" s="86"/>
      <c r="HM76" s="86"/>
      <c r="HN76" s="86"/>
      <c r="HO76" s="86"/>
      <c r="HP76" s="87"/>
    </row>
    <row r="77" spans="66:225" ht="18" customHeight="1" x14ac:dyDescent="0.2">
      <c r="BN77" s="32"/>
      <c r="BO77" s="32">
        <v>5</v>
      </c>
      <c r="BP77" s="50">
        <f>BN53</f>
        <v>790</v>
      </c>
      <c r="BQ77" s="32"/>
      <c r="BR77" s="109">
        <f t="shared" si="0"/>
        <v>0.15328467153284672</v>
      </c>
      <c r="BS77" s="32">
        <f t="shared" si="1"/>
        <v>105</v>
      </c>
      <c r="BT77" s="32"/>
      <c r="CE77" s="32"/>
      <c r="CF77" s="32"/>
      <c r="CG77" s="32"/>
      <c r="CH77" s="32"/>
      <c r="CI77" s="32"/>
      <c r="CJ77" s="32"/>
      <c r="CK77" s="32"/>
      <c r="CT77" s="34"/>
      <c r="CW77" s="88" t="s">
        <v>34</v>
      </c>
      <c r="CX77" s="89"/>
      <c r="CY77" s="89"/>
      <c r="CZ77" s="89"/>
      <c r="DA77" s="89"/>
      <c r="DB77" s="89"/>
      <c r="DC77" s="89"/>
      <c r="DD77" s="89"/>
      <c r="DE77" s="89"/>
      <c r="DF77" s="89"/>
      <c r="DG77" s="89"/>
      <c r="DH77" s="89"/>
      <c r="DI77" s="114"/>
      <c r="DQ77" s="34"/>
      <c r="EK77" s="92" t="s">
        <v>26</v>
      </c>
      <c r="EL77" s="93"/>
      <c r="EM77" s="93"/>
      <c r="EN77" s="93"/>
      <c r="EO77" s="93"/>
      <c r="EP77" s="93"/>
      <c r="EQ77" s="93"/>
      <c r="ER77" s="94"/>
      <c r="ES77" s="94"/>
      <c r="ET77" s="93"/>
      <c r="EU77" s="95"/>
      <c r="EY77" s="34"/>
      <c r="FK77" s="97" t="s">
        <v>27</v>
      </c>
      <c r="FL77" s="98"/>
      <c r="FM77" s="98"/>
      <c r="FN77" s="98"/>
      <c r="FO77" s="98"/>
      <c r="FP77" s="98"/>
      <c r="FQ77" s="98"/>
      <c r="FR77" s="99"/>
      <c r="FW77" s="34"/>
      <c r="FZ77" s="44"/>
      <c r="GA77" s="28"/>
      <c r="GB77" s="30"/>
      <c r="GC77" s="44"/>
      <c r="GD77" s="25"/>
      <c r="GE77" s="26"/>
      <c r="GF77" s="27"/>
      <c r="GG77" s="44"/>
      <c r="GH77" s="44"/>
      <c r="GI77" s="97" t="s">
        <v>27</v>
      </c>
      <c r="GJ77" s="98"/>
      <c r="GK77" s="98"/>
      <c r="GL77" s="98"/>
      <c r="GM77" s="98"/>
      <c r="GN77" s="98"/>
      <c r="GO77" s="98"/>
      <c r="GP77" s="99"/>
      <c r="GQ77" s="44"/>
      <c r="GR77" s="44"/>
      <c r="GS77" s="44"/>
      <c r="GU77" s="34"/>
      <c r="GX77" s="115" t="s">
        <v>35</v>
      </c>
      <c r="GY77" s="101"/>
      <c r="GZ77" s="101"/>
      <c r="HA77" s="101"/>
      <c r="HB77" s="101"/>
      <c r="HC77" s="101"/>
      <c r="HD77" s="101"/>
      <c r="HE77" s="101"/>
      <c r="HF77" s="102"/>
      <c r="HH77" s="115" t="s">
        <v>35</v>
      </c>
      <c r="HI77" s="101"/>
      <c r="HJ77" s="101"/>
      <c r="HK77" s="101"/>
      <c r="HL77" s="101"/>
      <c r="HM77" s="101"/>
      <c r="HN77" s="101"/>
      <c r="HO77" s="101"/>
      <c r="HP77" s="102"/>
    </row>
    <row r="78" spans="66:225" ht="18" customHeight="1" x14ac:dyDescent="0.2">
      <c r="BN78" s="32"/>
      <c r="BO78" s="32">
        <v>6</v>
      </c>
      <c r="BP78" s="50">
        <f>BO51</f>
        <v>975</v>
      </c>
      <c r="BR78" s="109">
        <f t="shared" si="0"/>
        <v>0.23417721518987342</v>
      </c>
      <c r="BS78" s="32">
        <f t="shared" si="1"/>
        <v>185</v>
      </c>
      <c r="BT78" s="32"/>
      <c r="CE78" s="32"/>
      <c r="CF78" s="32">
        <v>1</v>
      </c>
      <c r="CG78" s="50">
        <f>CG35</f>
        <v>325</v>
      </c>
      <c r="CH78" s="32"/>
      <c r="CI78" s="108" t="s">
        <v>31</v>
      </c>
      <c r="CJ78" s="108" t="s">
        <v>22</v>
      </c>
      <c r="CK78" s="32"/>
      <c r="CT78" s="34"/>
      <c r="DQ78" s="34"/>
      <c r="EY78" s="34"/>
      <c r="FW78" s="34"/>
      <c r="GU78" s="34"/>
    </row>
    <row r="79" spans="66:225" ht="18" customHeight="1" x14ac:dyDescent="0.2">
      <c r="BN79" s="32"/>
      <c r="BO79" s="32">
        <v>7</v>
      </c>
      <c r="BP79" s="50">
        <f>BN52</f>
        <v>1010</v>
      </c>
      <c r="BQ79" s="32"/>
      <c r="BR79" s="109">
        <f t="shared" si="0"/>
        <v>3.5897435897435895E-2</v>
      </c>
      <c r="BS79" s="32">
        <f t="shared" si="1"/>
        <v>35</v>
      </c>
      <c r="BT79" s="32"/>
      <c r="CE79" s="32"/>
      <c r="CF79" s="32">
        <v>2</v>
      </c>
      <c r="CG79" s="50">
        <f>CG37</f>
        <v>650</v>
      </c>
      <c r="CH79" s="32"/>
      <c r="CI79" s="109">
        <f t="shared" ref="CI79:CI86" si="2">($CG79-$CG78)/$CG78</f>
        <v>1</v>
      </c>
      <c r="CJ79" s="116">
        <f t="shared" ref="CJ79:CJ86" si="3">$CG79-$CG78</f>
        <v>325</v>
      </c>
      <c r="CK79" s="32"/>
      <c r="CT79" s="34"/>
      <c r="CW79" s="52"/>
      <c r="CX79" s="53"/>
      <c r="CY79" s="53"/>
      <c r="CZ79" s="53"/>
      <c r="DA79" s="53"/>
      <c r="DB79" s="53"/>
      <c r="DC79" s="53"/>
      <c r="DD79" s="53"/>
      <c r="DE79" s="53"/>
      <c r="DF79" s="53"/>
      <c r="DG79" s="53"/>
      <c r="DH79" s="53"/>
      <c r="DI79" s="53"/>
      <c r="DJ79" s="53"/>
      <c r="DK79" s="53"/>
      <c r="DL79" s="53"/>
      <c r="DM79" s="53"/>
      <c r="DN79" s="53"/>
      <c r="DO79" s="111"/>
      <c r="DQ79" s="34"/>
      <c r="EG79" s="57"/>
      <c r="EH79" s="58"/>
      <c r="EI79" s="58"/>
      <c r="EJ79" s="58"/>
      <c r="EK79" s="58"/>
      <c r="EL79" s="58"/>
      <c r="EM79" s="59"/>
      <c r="EN79" s="60"/>
      <c r="EO79" s="60"/>
      <c r="EP79" s="58"/>
      <c r="EQ79" s="61"/>
      <c r="EY79" s="34"/>
      <c r="FJ79" s="63"/>
      <c r="FK79" s="64"/>
      <c r="FL79" s="64"/>
      <c r="FM79" s="64"/>
      <c r="FN79" s="64"/>
      <c r="FO79" s="64"/>
      <c r="FP79" s="64"/>
      <c r="FQ79" s="64"/>
      <c r="FR79" s="64"/>
      <c r="FS79" s="64"/>
      <c r="FT79" s="64"/>
      <c r="FU79" s="117"/>
      <c r="FW79" s="34"/>
      <c r="FZ79" s="40"/>
      <c r="GA79" s="10"/>
      <c r="GB79" s="12"/>
      <c r="GC79" s="40"/>
      <c r="GD79" s="7"/>
      <c r="GE79" s="8"/>
      <c r="GF79" s="9"/>
      <c r="GG79" s="40"/>
      <c r="GH79" s="63"/>
      <c r="GI79" s="64"/>
      <c r="GJ79" s="64"/>
      <c r="GK79" s="64"/>
      <c r="GL79" s="64"/>
      <c r="GM79" s="64"/>
      <c r="GN79" s="64"/>
      <c r="GO79" s="64"/>
      <c r="GP79" s="64"/>
      <c r="GQ79" s="64"/>
      <c r="GR79" s="64"/>
      <c r="GS79" s="117"/>
      <c r="GU79" s="34"/>
      <c r="HG79" s="67"/>
      <c r="HH79" s="68"/>
      <c r="HI79" s="68"/>
      <c r="HJ79" s="68"/>
      <c r="HK79" s="68"/>
      <c r="HL79" s="68"/>
      <c r="HM79" s="68"/>
      <c r="HN79" s="68"/>
      <c r="HO79" s="69"/>
    </row>
    <row r="80" spans="66:225" ht="18" customHeight="1" x14ac:dyDescent="0.2">
      <c r="BN80" s="32"/>
      <c r="BO80" s="32">
        <v>8</v>
      </c>
      <c r="BP80" s="50">
        <f>BO53</f>
        <v>1115</v>
      </c>
      <c r="BR80" s="109">
        <f t="shared" si="0"/>
        <v>0.10396039603960396</v>
      </c>
      <c r="BS80" s="32">
        <f t="shared" si="1"/>
        <v>105</v>
      </c>
      <c r="BT80" s="32"/>
      <c r="CE80" s="32"/>
      <c r="CF80" s="32">
        <v>3</v>
      </c>
      <c r="CG80" s="50">
        <f>CH37</f>
        <v>975</v>
      </c>
      <c r="CH80" s="32"/>
      <c r="CI80" s="109">
        <f t="shared" si="2"/>
        <v>0.5</v>
      </c>
      <c r="CJ80" s="116">
        <f t="shared" si="3"/>
        <v>325</v>
      </c>
      <c r="CK80" s="32"/>
      <c r="CT80" s="34"/>
      <c r="CW80" s="70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112"/>
      <c r="DQ80" s="34"/>
      <c r="EG80" s="75"/>
      <c r="EH80" s="76"/>
      <c r="EI80" s="76"/>
      <c r="EJ80" s="76"/>
      <c r="EK80" s="76"/>
      <c r="EL80" s="76"/>
      <c r="EM80" s="77"/>
      <c r="EN80" s="78"/>
      <c r="EO80" s="79"/>
      <c r="EP80" s="76"/>
      <c r="EQ80" s="80"/>
      <c r="EY80" s="34"/>
      <c r="FJ80" s="81"/>
      <c r="FK80" s="82"/>
      <c r="FL80" s="82"/>
      <c r="FM80" s="82"/>
      <c r="FN80" s="82"/>
      <c r="FO80" s="82"/>
      <c r="FP80" s="82"/>
      <c r="FQ80" s="82"/>
      <c r="FR80" s="82"/>
      <c r="FS80" s="82"/>
      <c r="FT80" s="82"/>
      <c r="FU80" s="118"/>
      <c r="FW80" s="34"/>
      <c r="FZ80" s="43"/>
      <c r="GA80" s="19"/>
      <c r="GB80" s="21"/>
      <c r="GC80" s="43"/>
      <c r="GD80" s="16"/>
      <c r="GE80" s="17"/>
      <c r="GF80" s="18"/>
      <c r="GG80" s="43"/>
      <c r="GH80" s="81"/>
      <c r="GI80" s="82"/>
      <c r="GJ80" s="82"/>
      <c r="GK80" s="82"/>
      <c r="GL80" s="82"/>
      <c r="GM80" s="82"/>
      <c r="GN80" s="82"/>
      <c r="GO80" s="82"/>
      <c r="GP80" s="82"/>
      <c r="GQ80" s="82"/>
      <c r="GR80" s="82"/>
      <c r="GS80" s="118"/>
      <c r="GU80" s="34"/>
      <c r="HG80" s="113"/>
      <c r="HH80" s="86"/>
      <c r="HI80" s="86"/>
      <c r="HJ80" s="86"/>
      <c r="HK80" s="86"/>
      <c r="HL80" s="86"/>
      <c r="HM80" s="86"/>
      <c r="HN80" s="86"/>
      <c r="HO80" s="87"/>
    </row>
    <row r="81" spans="66:225" ht="18" customHeight="1" x14ac:dyDescent="0.2">
      <c r="BN81" s="32"/>
      <c r="BO81" s="32">
        <v>9</v>
      </c>
      <c r="BP81" s="50">
        <f>BO52</f>
        <v>1335</v>
      </c>
      <c r="BQ81" s="32"/>
      <c r="BR81" s="109">
        <f t="shared" si="0"/>
        <v>0.19730941704035873</v>
      </c>
      <c r="BS81" s="32">
        <f t="shared" si="1"/>
        <v>220</v>
      </c>
      <c r="BT81" s="32"/>
      <c r="CE81" s="32"/>
      <c r="CF81" s="32">
        <v>4</v>
      </c>
      <c r="CG81" s="50">
        <v>1300</v>
      </c>
      <c r="CH81" s="32"/>
      <c r="CI81" s="109">
        <f t="shared" si="2"/>
        <v>0.33333333333333331</v>
      </c>
      <c r="CJ81" s="116">
        <f t="shared" si="3"/>
        <v>325</v>
      </c>
      <c r="CK81" s="32"/>
      <c r="CT81" s="34"/>
      <c r="CW81" s="88" t="s">
        <v>36</v>
      </c>
      <c r="CX81" s="89"/>
      <c r="CY81" s="89"/>
      <c r="CZ81" s="89"/>
      <c r="DA81" s="89"/>
      <c r="DB81" s="89"/>
      <c r="DC81" s="89"/>
      <c r="DD81" s="89"/>
      <c r="DE81" s="89"/>
      <c r="DF81" s="89"/>
      <c r="DG81" s="89"/>
      <c r="DH81" s="89"/>
      <c r="DI81" s="89"/>
      <c r="DJ81" s="89"/>
      <c r="DK81" s="89"/>
      <c r="DL81" s="89"/>
      <c r="DM81" s="89"/>
      <c r="DN81" s="89"/>
      <c r="DO81" s="114"/>
      <c r="DQ81" s="34"/>
      <c r="EG81" s="92" t="s">
        <v>26</v>
      </c>
      <c r="EH81" s="93"/>
      <c r="EI81" s="93"/>
      <c r="EJ81" s="93"/>
      <c r="EK81" s="93"/>
      <c r="EL81" s="93"/>
      <c r="EM81" s="93"/>
      <c r="EN81" s="94"/>
      <c r="EO81" s="94"/>
      <c r="EP81" s="93"/>
      <c r="EQ81" s="95"/>
      <c r="EY81" s="34"/>
      <c r="FJ81" s="97" t="s">
        <v>37</v>
      </c>
      <c r="FK81" s="98"/>
      <c r="FL81" s="98"/>
      <c r="FM81" s="98"/>
      <c r="FN81" s="98"/>
      <c r="FO81" s="98"/>
      <c r="FP81" s="98"/>
      <c r="FQ81" s="98"/>
      <c r="FR81" s="98"/>
      <c r="FS81" s="98"/>
      <c r="FT81" s="98"/>
      <c r="FU81" s="119"/>
      <c r="FW81" s="34"/>
      <c r="FZ81" s="44"/>
      <c r="GA81" s="28"/>
      <c r="GB81" s="30"/>
      <c r="GC81" s="44"/>
      <c r="GD81" s="25"/>
      <c r="GE81" s="26"/>
      <c r="GF81" s="27"/>
      <c r="GG81" s="44"/>
      <c r="GH81" s="97" t="s">
        <v>37</v>
      </c>
      <c r="GI81" s="98"/>
      <c r="GJ81" s="98"/>
      <c r="GK81" s="98"/>
      <c r="GL81" s="98"/>
      <c r="GM81" s="98"/>
      <c r="GN81" s="98"/>
      <c r="GO81" s="98"/>
      <c r="GP81" s="98"/>
      <c r="GQ81" s="98"/>
      <c r="GR81" s="98"/>
      <c r="GS81" s="119"/>
      <c r="GU81" s="34"/>
      <c r="HG81" s="115" t="s">
        <v>35</v>
      </c>
      <c r="HH81" s="101"/>
      <c r="HI81" s="101"/>
      <c r="HJ81" s="101"/>
      <c r="HK81" s="101"/>
      <c r="HL81" s="101"/>
      <c r="HM81" s="101"/>
      <c r="HN81" s="101"/>
      <c r="HO81" s="102"/>
    </row>
    <row r="82" spans="66:225" ht="18" customHeight="1" x14ac:dyDescent="0.2">
      <c r="BN82" s="32"/>
      <c r="BO82" s="32">
        <v>10</v>
      </c>
      <c r="BP82" s="50">
        <f>BP51</f>
        <v>1440</v>
      </c>
      <c r="BQ82" s="32"/>
      <c r="BR82" s="109">
        <f t="shared" si="0"/>
        <v>7.8651685393258425E-2</v>
      </c>
      <c r="BS82" s="32">
        <f t="shared" si="1"/>
        <v>105</v>
      </c>
      <c r="BT82" s="32"/>
      <c r="CE82" s="32"/>
      <c r="CF82" s="32">
        <v>5</v>
      </c>
      <c r="CG82" s="50">
        <v>1625</v>
      </c>
      <c r="CI82" s="109">
        <f t="shared" si="2"/>
        <v>0.25</v>
      </c>
      <c r="CJ82" s="116">
        <f t="shared" si="3"/>
        <v>325</v>
      </c>
      <c r="CK82" s="32"/>
      <c r="CT82" s="34"/>
      <c r="DQ82" s="34"/>
      <c r="EY82" s="34"/>
      <c r="FW82" s="34"/>
      <c r="GU82" s="34"/>
    </row>
    <row r="83" spans="66:225" ht="18" customHeight="1" x14ac:dyDescent="0.2">
      <c r="BN83" s="32"/>
      <c r="BO83" s="32">
        <v>11</v>
      </c>
      <c r="BP83" s="50">
        <f>BO56</f>
        <v>1475</v>
      </c>
      <c r="BQ83" s="32"/>
      <c r="BR83" s="109">
        <f t="shared" si="0"/>
        <v>2.4305555555555556E-2</v>
      </c>
      <c r="BS83" s="32">
        <f t="shared" si="1"/>
        <v>35</v>
      </c>
      <c r="BT83" s="32"/>
      <c r="CE83" s="32"/>
      <c r="CF83" s="32">
        <v>6</v>
      </c>
      <c r="CG83" s="50">
        <v>1950</v>
      </c>
      <c r="CI83" s="109">
        <f t="shared" si="2"/>
        <v>0.2</v>
      </c>
      <c r="CJ83" s="116">
        <f t="shared" si="3"/>
        <v>325</v>
      </c>
      <c r="CK83" s="32"/>
      <c r="CT83" s="34"/>
      <c r="CV83" s="52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  <c r="DL83" s="53"/>
      <c r="DM83" s="53"/>
      <c r="DN83" s="111"/>
      <c r="DQ83" s="34"/>
      <c r="ED83" s="57"/>
      <c r="EE83" s="58"/>
      <c r="EF83" s="58"/>
      <c r="EG83" s="58"/>
      <c r="EH83" s="58"/>
      <c r="EI83" s="58"/>
      <c r="EJ83" s="59"/>
      <c r="EK83" s="60"/>
      <c r="EL83" s="60"/>
      <c r="EM83" s="58"/>
      <c r="EN83" s="61"/>
      <c r="EY83" s="34"/>
      <c r="FI83" s="63"/>
      <c r="FJ83" s="64"/>
      <c r="FK83" s="64"/>
      <c r="FL83" s="64"/>
      <c r="FM83" s="64"/>
      <c r="FN83" s="64"/>
      <c r="FO83" s="64"/>
      <c r="FP83" s="64"/>
      <c r="FQ83" s="64"/>
      <c r="FR83" s="64"/>
      <c r="FS83" s="64"/>
      <c r="FT83" s="117"/>
      <c r="FW83" s="34"/>
      <c r="FZ83" s="40"/>
      <c r="GA83" s="10"/>
      <c r="GB83" s="12"/>
      <c r="GC83" s="40"/>
      <c r="GD83" s="7"/>
      <c r="GE83" s="8"/>
      <c r="GF83" s="9"/>
      <c r="GG83" s="63"/>
      <c r="GH83" s="64"/>
      <c r="GI83" s="64"/>
      <c r="GJ83" s="64"/>
      <c r="GK83" s="64"/>
      <c r="GL83" s="64"/>
      <c r="GM83" s="64"/>
      <c r="GN83" s="64"/>
      <c r="GO83" s="64"/>
      <c r="GP83" s="64"/>
      <c r="GQ83" s="64"/>
      <c r="GR83" s="117"/>
      <c r="GS83" s="40"/>
      <c r="GU83" s="34"/>
      <c r="HF83" s="67"/>
      <c r="HG83" s="68"/>
      <c r="HH83" s="68"/>
      <c r="HI83" s="68"/>
      <c r="HJ83" s="68"/>
      <c r="HK83" s="68"/>
      <c r="HL83" s="68"/>
      <c r="HM83" s="68"/>
      <c r="HN83" s="69"/>
    </row>
    <row r="84" spans="66:225" ht="18" customHeight="1" x14ac:dyDescent="0.2">
      <c r="BN84" s="32"/>
      <c r="BO84" s="32">
        <v>12</v>
      </c>
      <c r="BP84" s="50">
        <f>BP56</f>
        <v>1660</v>
      </c>
      <c r="BQ84" s="32"/>
      <c r="BR84" s="109">
        <f t="shared" si="0"/>
        <v>0.12542372881355932</v>
      </c>
      <c r="BS84" s="32">
        <f t="shared" si="1"/>
        <v>185</v>
      </c>
      <c r="BT84" s="32"/>
      <c r="CE84" s="32"/>
      <c r="CF84" s="32">
        <v>7</v>
      </c>
      <c r="CG84" s="50">
        <v>2275</v>
      </c>
      <c r="CH84" s="32"/>
      <c r="CI84" s="109">
        <f t="shared" si="2"/>
        <v>0.16666666666666666</v>
      </c>
      <c r="CJ84" s="116">
        <f t="shared" si="3"/>
        <v>325</v>
      </c>
      <c r="CT84" s="34"/>
      <c r="CV84" s="70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  <c r="DL84" s="71"/>
      <c r="DM84" s="71"/>
      <c r="DN84" s="112"/>
      <c r="DQ84" s="34"/>
      <c r="ED84" s="75"/>
      <c r="EE84" s="76"/>
      <c r="EF84" s="76"/>
      <c r="EG84" s="76"/>
      <c r="EH84" s="76"/>
      <c r="EI84" s="76"/>
      <c r="EJ84" s="77"/>
      <c r="EK84" s="78"/>
      <c r="EL84" s="79"/>
      <c r="EM84" s="76"/>
      <c r="EN84" s="80"/>
      <c r="ES84" s="32"/>
      <c r="EY84" s="34"/>
      <c r="FI84" s="81"/>
      <c r="FJ84" s="82"/>
      <c r="FK84" s="82"/>
      <c r="FL84" s="82"/>
      <c r="FM84" s="82"/>
      <c r="FN84" s="82"/>
      <c r="FO84" s="82"/>
      <c r="FP84" s="82"/>
      <c r="FQ84" s="82"/>
      <c r="FR84" s="82"/>
      <c r="FS84" s="82"/>
      <c r="FT84" s="118"/>
      <c r="FW84" s="34"/>
      <c r="FZ84" s="43"/>
      <c r="GA84" s="19"/>
      <c r="GB84" s="21"/>
      <c r="GC84" s="43"/>
      <c r="GD84" s="16"/>
      <c r="GE84" s="17"/>
      <c r="GF84" s="18"/>
      <c r="GG84" s="81"/>
      <c r="GH84" s="82"/>
      <c r="GI84" s="82"/>
      <c r="GJ84" s="82"/>
      <c r="GK84" s="82"/>
      <c r="GL84" s="82"/>
      <c r="GM84" s="82"/>
      <c r="GN84" s="82"/>
      <c r="GO84" s="82"/>
      <c r="GP84" s="82"/>
      <c r="GQ84" s="82"/>
      <c r="GR84" s="118"/>
      <c r="GS84" s="43"/>
      <c r="GU84" s="34"/>
      <c r="HF84" s="113"/>
      <c r="HG84" s="86"/>
      <c r="HH84" s="86"/>
      <c r="HI84" s="86"/>
      <c r="HJ84" s="86"/>
      <c r="HK84" s="86"/>
      <c r="HL84" s="86"/>
      <c r="HM84" s="86"/>
      <c r="HN84" s="87"/>
    </row>
    <row r="85" spans="66:225" ht="18" customHeight="1" x14ac:dyDescent="0.2">
      <c r="BN85" s="32"/>
      <c r="BO85" s="32">
        <v>13</v>
      </c>
      <c r="BP85" s="50">
        <f>BP54</f>
        <v>1800</v>
      </c>
      <c r="BQ85" s="32"/>
      <c r="BR85" s="109">
        <f t="shared" si="0"/>
        <v>8.4337349397590355E-2</v>
      </c>
      <c r="BS85" s="32">
        <f t="shared" si="1"/>
        <v>140</v>
      </c>
      <c r="BT85" s="32"/>
      <c r="CE85" s="32"/>
      <c r="CF85" s="32">
        <v>8</v>
      </c>
      <c r="CG85" s="50">
        <v>2600</v>
      </c>
      <c r="CI85" s="109">
        <f t="shared" si="2"/>
        <v>0.14285714285714285</v>
      </c>
      <c r="CJ85" s="116">
        <f t="shared" si="3"/>
        <v>325</v>
      </c>
      <c r="CK85" s="32"/>
      <c r="CT85" s="34"/>
      <c r="CV85" s="88" t="s">
        <v>36</v>
      </c>
      <c r="CW85" s="89"/>
      <c r="CX85" s="89"/>
      <c r="CY85" s="89"/>
      <c r="CZ85" s="89"/>
      <c r="DA85" s="89"/>
      <c r="DB85" s="89"/>
      <c r="DC85" s="89"/>
      <c r="DD85" s="89"/>
      <c r="DE85" s="89"/>
      <c r="DF85" s="89"/>
      <c r="DG85" s="89"/>
      <c r="DH85" s="89"/>
      <c r="DI85" s="89"/>
      <c r="DJ85" s="89"/>
      <c r="DK85" s="89"/>
      <c r="DL85" s="89"/>
      <c r="DM85" s="89"/>
      <c r="DN85" s="114"/>
      <c r="DQ85" s="34"/>
      <c r="ED85" s="92" t="s">
        <v>26</v>
      </c>
      <c r="EE85" s="93"/>
      <c r="EF85" s="93"/>
      <c r="EG85" s="93"/>
      <c r="EH85" s="93"/>
      <c r="EI85" s="93"/>
      <c r="EJ85" s="93"/>
      <c r="EK85" s="94"/>
      <c r="EL85" s="94"/>
      <c r="EM85" s="93"/>
      <c r="EN85" s="95"/>
      <c r="EY85" s="34"/>
      <c r="FI85" s="97" t="s">
        <v>37</v>
      </c>
      <c r="FJ85" s="98"/>
      <c r="FK85" s="98"/>
      <c r="FL85" s="98"/>
      <c r="FM85" s="98"/>
      <c r="FN85" s="98"/>
      <c r="FO85" s="98"/>
      <c r="FP85" s="98"/>
      <c r="FQ85" s="98"/>
      <c r="FR85" s="98"/>
      <c r="FS85" s="98"/>
      <c r="FT85" s="119"/>
      <c r="FW85" s="34"/>
      <c r="FZ85" s="44"/>
      <c r="GA85" s="28"/>
      <c r="GB85" s="30"/>
      <c r="GC85" s="44"/>
      <c r="GD85" s="25"/>
      <c r="GE85" s="26"/>
      <c r="GF85" s="27"/>
      <c r="GG85" s="97" t="s">
        <v>37</v>
      </c>
      <c r="GH85" s="98"/>
      <c r="GI85" s="98"/>
      <c r="GJ85" s="98"/>
      <c r="GK85" s="98"/>
      <c r="GL85" s="98"/>
      <c r="GM85" s="98"/>
      <c r="GN85" s="98"/>
      <c r="GO85" s="98"/>
      <c r="GP85" s="98"/>
      <c r="GQ85" s="98"/>
      <c r="GR85" s="119"/>
      <c r="GS85" s="44"/>
      <c r="GU85" s="34"/>
      <c r="HF85" s="115" t="s">
        <v>35</v>
      </c>
      <c r="HG85" s="101"/>
      <c r="HH85" s="101"/>
      <c r="HI85" s="101"/>
      <c r="HJ85" s="101"/>
      <c r="HK85" s="101"/>
      <c r="HL85" s="101"/>
      <c r="HM85" s="101"/>
      <c r="HN85" s="102"/>
    </row>
    <row r="86" spans="66:225" ht="18" customHeight="1" x14ac:dyDescent="0.2">
      <c r="BN86" s="32"/>
      <c r="BO86" s="32">
        <v>14</v>
      </c>
      <c r="BP86" s="50">
        <f>BQ51</f>
        <v>2090</v>
      </c>
      <c r="BQ86" s="32"/>
      <c r="BR86" s="109">
        <f t="shared" si="0"/>
        <v>0.16111111111111112</v>
      </c>
      <c r="BS86" s="32">
        <f t="shared" si="1"/>
        <v>290</v>
      </c>
      <c r="BT86" s="32"/>
      <c r="CE86" s="32"/>
      <c r="CF86" s="32">
        <v>9</v>
      </c>
      <c r="CG86" s="50">
        <v>2925</v>
      </c>
      <c r="CI86" s="109">
        <f t="shared" si="2"/>
        <v>0.125</v>
      </c>
      <c r="CJ86" s="116">
        <f t="shared" si="3"/>
        <v>325</v>
      </c>
      <c r="CK86" s="32"/>
      <c r="CT86" s="34"/>
      <c r="DQ86" s="34"/>
      <c r="EY86" s="34"/>
      <c r="FW86" s="34"/>
      <c r="GU86" s="34"/>
    </row>
    <row r="87" spans="66:225" ht="18" customHeight="1" x14ac:dyDescent="0.2">
      <c r="BN87" s="32"/>
      <c r="BO87" s="32">
        <v>15</v>
      </c>
      <c r="BP87" s="50">
        <f>BQ52</f>
        <v>2125</v>
      </c>
      <c r="BR87" s="109">
        <f t="shared" si="0"/>
        <v>1.6746411483253589E-2</v>
      </c>
      <c r="BS87" s="32">
        <f t="shared" si="1"/>
        <v>35</v>
      </c>
      <c r="BT87" s="32"/>
      <c r="CE87" s="32"/>
      <c r="CK87" s="32"/>
      <c r="CT87" s="34"/>
      <c r="CW87" s="50">
        <f>CY95</f>
        <v>2775</v>
      </c>
      <c r="CX87" s="51" t="s">
        <v>38</v>
      </c>
      <c r="CY87" s="50">
        <f>CY95</f>
        <v>2775</v>
      </c>
      <c r="CZ87" s="51" t="s">
        <v>39</v>
      </c>
      <c r="DA87" s="50">
        <f>CV46</f>
        <v>5550</v>
      </c>
      <c r="DB87" s="103" t="s">
        <v>22</v>
      </c>
      <c r="DQ87" s="34"/>
      <c r="EB87" s="57"/>
      <c r="EC87" s="58"/>
      <c r="ED87" s="58"/>
      <c r="EE87" s="58"/>
      <c r="EF87" s="58"/>
      <c r="EG87" s="58"/>
      <c r="EH87" s="58"/>
      <c r="EI87" s="58"/>
      <c r="EJ87" s="58"/>
      <c r="EK87" s="58"/>
      <c r="EL87" s="58"/>
      <c r="EM87" s="58"/>
      <c r="EN87" s="58"/>
      <c r="EO87" s="58"/>
      <c r="EP87" s="58"/>
      <c r="EQ87" s="58"/>
      <c r="ER87" s="58"/>
      <c r="ES87" s="58"/>
      <c r="ET87" s="58"/>
      <c r="EU87" s="58"/>
      <c r="EV87" s="58"/>
      <c r="EW87" s="61"/>
      <c r="EY87" s="34"/>
      <c r="FF87" s="63"/>
      <c r="FG87" s="64"/>
      <c r="FH87" s="64"/>
      <c r="FI87" s="64"/>
      <c r="FJ87" s="64"/>
      <c r="FK87" s="64"/>
      <c r="FL87" s="64"/>
      <c r="FM87" s="64"/>
      <c r="FN87" s="64"/>
      <c r="FO87" s="64"/>
      <c r="FP87" s="64"/>
      <c r="FQ87" s="64"/>
      <c r="FR87" s="64"/>
      <c r="FS87" s="64"/>
      <c r="FT87" s="64"/>
      <c r="FU87" s="117"/>
      <c r="FW87" s="34"/>
      <c r="FZ87" s="40"/>
      <c r="GA87" s="10"/>
      <c r="GB87" s="12"/>
      <c r="GC87" s="40"/>
      <c r="GD87" s="63"/>
      <c r="GE87" s="64"/>
      <c r="GF87" s="64"/>
      <c r="GG87" s="64"/>
      <c r="GH87" s="64"/>
      <c r="GI87" s="64"/>
      <c r="GJ87" s="64"/>
      <c r="GK87" s="64"/>
      <c r="GL87" s="64"/>
      <c r="GM87" s="64"/>
      <c r="GN87" s="64"/>
      <c r="GO87" s="64"/>
      <c r="GP87" s="64"/>
      <c r="GQ87" s="64"/>
      <c r="GR87" s="64"/>
      <c r="GS87" s="117"/>
      <c r="GU87" s="34"/>
      <c r="HI87" s="67"/>
      <c r="HJ87" s="68"/>
      <c r="HK87" s="68"/>
      <c r="HL87" s="68"/>
      <c r="HM87" s="68"/>
      <c r="HN87" s="68"/>
      <c r="HO87" s="68"/>
      <c r="HP87" s="68"/>
      <c r="HQ87" s="69"/>
    </row>
    <row r="88" spans="66:225" ht="18" customHeight="1" x14ac:dyDescent="0.2">
      <c r="BN88" s="116"/>
      <c r="BO88" s="116">
        <v>16</v>
      </c>
      <c r="BP88" s="120">
        <f>BQ53</f>
        <v>2450</v>
      </c>
      <c r="BQ88" s="116"/>
      <c r="BR88" s="121">
        <f t="shared" si="0"/>
        <v>0.15294117647058825</v>
      </c>
      <c r="BS88" s="116">
        <f t="shared" si="1"/>
        <v>325</v>
      </c>
      <c r="BT88" s="32"/>
      <c r="CE88" s="32"/>
      <c r="CT88" s="34"/>
      <c r="CW88" s="32"/>
      <c r="CX88" s="32"/>
      <c r="CY88" s="32"/>
      <c r="CZ88" s="32"/>
      <c r="DA88" s="107">
        <v>2</v>
      </c>
      <c r="DB88" s="32" t="s">
        <v>30</v>
      </c>
      <c r="DQ88" s="34"/>
      <c r="EB88" s="75"/>
      <c r="EC88" s="76"/>
      <c r="ED88" s="76"/>
      <c r="EE88" s="76"/>
      <c r="EF88" s="76"/>
      <c r="EG88" s="76"/>
      <c r="EH88" s="76"/>
      <c r="EI88" s="76"/>
      <c r="EJ88" s="76"/>
      <c r="EK88" s="76"/>
      <c r="EL88" s="76"/>
      <c r="EM88" s="76"/>
      <c r="EN88" s="122"/>
      <c r="EO88" s="76"/>
      <c r="EP88" s="76"/>
      <c r="EQ88" s="76"/>
      <c r="ER88" s="76"/>
      <c r="ES88" s="76"/>
      <c r="ET88" s="76"/>
      <c r="EU88" s="76"/>
      <c r="EV88" s="76"/>
      <c r="EW88" s="80"/>
      <c r="EY88" s="34"/>
      <c r="FF88" s="81"/>
      <c r="FG88" s="82"/>
      <c r="FH88" s="82"/>
      <c r="FI88" s="82"/>
      <c r="FJ88" s="82"/>
      <c r="FK88" s="82"/>
      <c r="FL88" s="82"/>
      <c r="FM88" s="82"/>
      <c r="FN88" s="82"/>
      <c r="FO88" s="82"/>
      <c r="FP88" s="82"/>
      <c r="FQ88" s="82"/>
      <c r="FR88" s="82"/>
      <c r="FS88" s="82"/>
      <c r="FT88" s="82"/>
      <c r="FU88" s="118"/>
      <c r="FW88" s="34"/>
      <c r="FZ88" s="43"/>
      <c r="GA88" s="19"/>
      <c r="GB88" s="21"/>
      <c r="GC88" s="43"/>
      <c r="GD88" s="81"/>
      <c r="GE88" s="82"/>
      <c r="GF88" s="82"/>
      <c r="GG88" s="82"/>
      <c r="GH88" s="82"/>
      <c r="GI88" s="82"/>
      <c r="GJ88" s="82"/>
      <c r="GK88" s="82"/>
      <c r="GL88" s="82"/>
      <c r="GM88" s="82"/>
      <c r="GN88" s="82"/>
      <c r="GO88" s="82"/>
      <c r="GP88" s="82"/>
      <c r="GQ88" s="82"/>
      <c r="GR88" s="82"/>
      <c r="GS88" s="118"/>
      <c r="GU88" s="34"/>
      <c r="HI88" s="113"/>
      <c r="HJ88" s="86"/>
      <c r="HK88" s="86"/>
      <c r="HL88" s="86"/>
      <c r="HM88" s="86"/>
      <c r="HN88" s="86"/>
      <c r="HO88" s="86"/>
      <c r="HP88" s="86"/>
      <c r="HQ88" s="87"/>
    </row>
    <row r="89" spans="66:225" ht="18" customHeight="1" x14ac:dyDescent="0.2">
      <c r="BN89" s="116"/>
      <c r="BO89" s="116">
        <v>17</v>
      </c>
      <c r="BP89" s="120">
        <f>BR51</f>
        <v>2915</v>
      </c>
      <c r="BQ89" s="116"/>
      <c r="BR89" s="121">
        <f t="shared" si="0"/>
        <v>0.18979591836734694</v>
      </c>
      <c r="BS89" s="116">
        <f t="shared" si="1"/>
        <v>465</v>
      </c>
      <c r="BT89" s="32"/>
      <c r="CK89" s="32"/>
      <c r="CT89" s="34"/>
      <c r="CW89" s="32"/>
      <c r="CX89" s="103"/>
      <c r="CY89" s="32"/>
      <c r="CZ89" s="32"/>
      <c r="DA89" s="107">
        <v>14</v>
      </c>
      <c r="DB89" s="32" t="s">
        <v>32</v>
      </c>
      <c r="DQ89" s="34"/>
      <c r="EB89" s="92" t="s">
        <v>40</v>
      </c>
      <c r="EC89" s="93"/>
      <c r="ED89" s="93"/>
      <c r="EE89" s="93"/>
      <c r="EF89" s="93"/>
      <c r="EG89" s="93"/>
      <c r="EH89" s="93"/>
      <c r="EI89" s="93"/>
      <c r="EJ89" s="93"/>
      <c r="EK89" s="93"/>
      <c r="EL89" s="93"/>
      <c r="EM89" s="93"/>
      <c r="EN89" s="93"/>
      <c r="EO89" s="93"/>
      <c r="EP89" s="93"/>
      <c r="EQ89" s="93"/>
      <c r="ER89" s="93"/>
      <c r="ES89" s="93"/>
      <c r="ET89" s="93"/>
      <c r="EU89" s="93"/>
      <c r="EV89" s="93"/>
      <c r="EW89" s="95"/>
      <c r="EY89" s="34"/>
      <c r="FF89" s="97" t="s">
        <v>41</v>
      </c>
      <c r="FG89" s="98"/>
      <c r="FH89" s="98"/>
      <c r="FI89" s="98"/>
      <c r="FJ89" s="98"/>
      <c r="FK89" s="98"/>
      <c r="FL89" s="98"/>
      <c r="FM89" s="98"/>
      <c r="FN89" s="98"/>
      <c r="FO89" s="98"/>
      <c r="FP89" s="98"/>
      <c r="FQ89" s="98"/>
      <c r="FR89" s="98"/>
      <c r="FS89" s="98"/>
      <c r="FT89" s="98"/>
      <c r="FU89" s="119"/>
      <c r="FW89" s="34"/>
      <c r="FZ89" s="44"/>
      <c r="GA89" s="28"/>
      <c r="GB89" s="30"/>
      <c r="GC89" s="44"/>
      <c r="GD89" s="97" t="s">
        <v>41</v>
      </c>
      <c r="GE89" s="98"/>
      <c r="GF89" s="98"/>
      <c r="GG89" s="98"/>
      <c r="GH89" s="98"/>
      <c r="GI89" s="98"/>
      <c r="GJ89" s="98"/>
      <c r="GK89" s="98"/>
      <c r="GL89" s="98"/>
      <c r="GM89" s="98"/>
      <c r="GN89" s="98"/>
      <c r="GO89" s="98"/>
      <c r="GP89" s="98"/>
      <c r="GQ89" s="98"/>
      <c r="GR89" s="98"/>
      <c r="GS89" s="119"/>
      <c r="GU89" s="34"/>
      <c r="HI89" s="115" t="s">
        <v>35</v>
      </c>
      <c r="HJ89" s="101"/>
      <c r="HK89" s="101"/>
      <c r="HL89" s="101"/>
      <c r="HM89" s="101"/>
      <c r="HN89" s="101"/>
      <c r="HO89" s="101"/>
      <c r="HP89" s="101"/>
      <c r="HQ89" s="102"/>
    </row>
    <row r="90" spans="66:225" ht="18" customHeight="1" x14ac:dyDescent="0.2">
      <c r="BN90" s="32"/>
      <c r="BO90" s="32">
        <v>18</v>
      </c>
      <c r="BP90" s="50">
        <f>BS53</f>
        <v>3100</v>
      </c>
      <c r="BQ90" s="32"/>
      <c r="BR90" s="109">
        <f t="shared" si="0"/>
        <v>6.3464837049742706E-2</v>
      </c>
      <c r="BS90" s="32">
        <f t="shared" si="1"/>
        <v>185</v>
      </c>
      <c r="CK90" s="32"/>
      <c r="CT90" s="34"/>
      <c r="CW90" s="32"/>
      <c r="CX90" s="32"/>
      <c r="CY90" s="32"/>
      <c r="CZ90" s="32"/>
      <c r="DA90" s="107">
        <v>14</v>
      </c>
      <c r="DB90" s="32" t="s">
        <v>33</v>
      </c>
      <c r="DQ90" s="34"/>
      <c r="EY90" s="34"/>
      <c r="FW90" s="34"/>
      <c r="GU90" s="34"/>
    </row>
    <row r="91" spans="66:225" ht="18" customHeight="1" x14ac:dyDescent="0.2">
      <c r="BO91" s="32">
        <v>19</v>
      </c>
      <c r="BP91" s="50">
        <f>BS54</f>
        <v>3240</v>
      </c>
      <c r="BQ91" s="32"/>
      <c r="BR91" s="109">
        <f t="shared" si="0"/>
        <v>4.5161290322580643E-2</v>
      </c>
      <c r="BS91" s="32">
        <f t="shared" si="1"/>
        <v>140</v>
      </c>
      <c r="CT91" s="34"/>
      <c r="DQ91" s="34"/>
      <c r="EA91" s="57"/>
      <c r="EB91" s="58"/>
      <c r="EC91" s="58"/>
      <c r="ED91" s="58"/>
      <c r="EE91" s="58"/>
      <c r="EF91" s="58"/>
      <c r="EG91" s="58"/>
      <c r="EH91" s="58"/>
      <c r="EI91" s="58"/>
      <c r="EJ91" s="58"/>
      <c r="EK91" s="58"/>
      <c r="EL91" s="58"/>
      <c r="EM91" s="58"/>
      <c r="EN91" s="58"/>
      <c r="EO91" s="58"/>
      <c r="EP91" s="58"/>
      <c r="EQ91" s="58"/>
      <c r="ER91" s="58"/>
      <c r="ES91" s="58"/>
      <c r="ET91" s="58"/>
      <c r="EU91" s="58"/>
      <c r="EV91" s="61"/>
      <c r="EY91" s="34"/>
      <c r="FE91" s="63"/>
      <c r="FF91" s="64"/>
      <c r="FG91" s="64"/>
      <c r="FH91" s="64"/>
      <c r="FI91" s="64"/>
      <c r="FJ91" s="64"/>
      <c r="FK91" s="64"/>
      <c r="FL91" s="64"/>
      <c r="FM91" s="64"/>
      <c r="FN91" s="64"/>
      <c r="FO91" s="64"/>
      <c r="FP91" s="64"/>
      <c r="FQ91" s="64"/>
      <c r="FR91" s="64"/>
      <c r="FS91" s="64"/>
      <c r="FT91" s="117"/>
      <c r="FW91" s="34"/>
      <c r="FZ91" s="40"/>
      <c r="GA91" s="10"/>
      <c r="GB91" s="12"/>
      <c r="GC91" s="63"/>
      <c r="GD91" s="64"/>
      <c r="GE91" s="64"/>
      <c r="GF91" s="64"/>
      <c r="GG91" s="64"/>
      <c r="GH91" s="64"/>
      <c r="GI91" s="64"/>
      <c r="GJ91" s="64"/>
      <c r="GK91" s="64"/>
      <c r="GL91" s="64"/>
      <c r="GM91" s="64"/>
      <c r="GN91" s="64"/>
      <c r="GO91" s="64"/>
      <c r="GP91" s="64"/>
      <c r="GQ91" s="64"/>
      <c r="GR91" s="117"/>
      <c r="GS91" s="40"/>
      <c r="GU91" s="34"/>
      <c r="HA91" s="67"/>
      <c r="HB91" s="68"/>
      <c r="HC91" s="68"/>
      <c r="HD91" s="68"/>
      <c r="HE91" s="68"/>
      <c r="HF91" s="68"/>
      <c r="HG91" s="68"/>
      <c r="HH91" s="68"/>
      <c r="HI91" s="68"/>
      <c r="HJ91" s="68"/>
      <c r="HK91" s="68"/>
      <c r="HL91" s="68"/>
      <c r="HM91" s="68"/>
      <c r="HN91" s="68"/>
      <c r="HO91" s="68"/>
      <c r="HP91" s="69"/>
    </row>
    <row r="92" spans="66:225" ht="18" customHeight="1" x14ac:dyDescent="0.2">
      <c r="BN92" s="123"/>
      <c r="BO92" s="116">
        <v>20</v>
      </c>
      <c r="BP92" s="120">
        <f>BT51</f>
        <v>3565</v>
      </c>
      <c r="BQ92" s="116"/>
      <c r="BR92" s="121">
        <f t="shared" si="0"/>
        <v>0.10030864197530864</v>
      </c>
      <c r="BS92" s="116">
        <f t="shared" si="1"/>
        <v>325</v>
      </c>
      <c r="CE92" s="40"/>
      <c r="CF92" s="10"/>
      <c r="CG92" s="12"/>
      <c r="CH92" s="40"/>
      <c r="CI92" s="7"/>
      <c r="CJ92" s="8"/>
      <c r="CK92" s="9"/>
      <c r="CL92" s="40"/>
      <c r="CM92" s="40"/>
      <c r="CN92" s="40"/>
      <c r="CT92" s="34"/>
      <c r="CW92" s="32" t="s">
        <v>29</v>
      </c>
      <c r="CX92" s="32"/>
      <c r="CY92" s="32"/>
      <c r="CZ92" s="32"/>
      <c r="DA92" s="32"/>
      <c r="DB92" s="32"/>
      <c r="DC92" s="32"/>
      <c r="DQ92" s="34"/>
      <c r="EA92" s="75"/>
      <c r="EB92" s="76"/>
      <c r="EC92" s="76"/>
      <c r="ED92" s="76"/>
      <c r="EE92" s="76"/>
      <c r="EF92" s="76"/>
      <c r="EG92" s="76"/>
      <c r="EH92" s="76"/>
      <c r="EI92" s="76"/>
      <c r="EJ92" s="76"/>
      <c r="EK92" s="76"/>
      <c r="EL92" s="76"/>
      <c r="EM92" s="122"/>
      <c r="EN92" s="76"/>
      <c r="EO92" s="76"/>
      <c r="EP92" s="76"/>
      <c r="EQ92" s="76"/>
      <c r="ER92" s="76"/>
      <c r="ES92" s="76"/>
      <c r="ET92" s="76"/>
      <c r="EU92" s="76"/>
      <c r="EV92" s="80"/>
      <c r="EY92" s="34"/>
      <c r="FE92" s="81"/>
      <c r="FF92" s="82"/>
      <c r="FG92" s="82"/>
      <c r="FH92" s="82"/>
      <c r="FI92" s="82"/>
      <c r="FJ92" s="82"/>
      <c r="FK92" s="82"/>
      <c r="FL92" s="82"/>
      <c r="FM92" s="82"/>
      <c r="FN92" s="82"/>
      <c r="FO92" s="82"/>
      <c r="FP92" s="82"/>
      <c r="FQ92" s="82"/>
      <c r="FR92" s="82"/>
      <c r="FS92" s="82"/>
      <c r="FT92" s="118"/>
      <c r="FW92" s="34"/>
      <c r="FZ92" s="43"/>
      <c r="GA92" s="19"/>
      <c r="GB92" s="21"/>
      <c r="GC92" s="81"/>
      <c r="GD92" s="82"/>
      <c r="GE92" s="82"/>
      <c r="GF92" s="82"/>
      <c r="GG92" s="82"/>
      <c r="GH92" s="82"/>
      <c r="GI92" s="82"/>
      <c r="GJ92" s="82"/>
      <c r="GK92" s="82"/>
      <c r="GL92" s="82"/>
      <c r="GM92" s="82"/>
      <c r="GN92" s="82"/>
      <c r="GO92" s="82"/>
      <c r="GP92" s="82"/>
      <c r="GQ92" s="82"/>
      <c r="GR92" s="118"/>
      <c r="GS92" s="43"/>
      <c r="GU92" s="34"/>
      <c r="HA92" s="113"/>
      <c r="HB92" s="86"/>
      <c r="HC92" s="86"/>
      <c r="HD92" s="86"/>
      <c r="HE92" s="86"/>
      <c r="HF92" s="86"/>
      <c r="HG92" s="86"/>
      <c r="HH92" s="86"/>
      <c r="HI92" s="86"/>
      <c r="HJ92" s="86"/>
      <c r="HK92" s="86"/>
      <c r="HL92" s="86"/>
      <c r="HM92" s="86"/>
      <c r="HN92" s="86"/>
      <c r="HO92" s="86"/>
      <c r="HP92" s="87"/>
    </row>
    <row r="93" spans="66:225" ht="18" customHeight="1" x14ac:dyDescent="0.2">
      <c r="BN93" s="123"/>
      <c r="BO93" s="116">
        <v>21</v>
      </c>
      <c r="BP93" s="120">
        <f>BU51</f>
        <v>3890</v>
      </c>
      <c r="BQ93" s="116"/>
      <c r="BR93" s="121">
        <f t="shared" si="0"/>
        <v>9.1164095371669002E-2</v>
      </c>
      <c r="BS93" s="116">
        <f t="shared" si="1"/>
        <v>325</v>
      </c>
      <c r="CE93" s="43"/>
      <c r="CF93" s="19"/>
      <c r="CG93" s="21"/>
      <c r="CH93" s="43"/>
      <c r="CI93" s="16"/>
      <c r="CJ93" s="17"/>
      <c r="CK93" s="18"/>
      <c r="CL93" s="43"/>
      <c r="CM93" s="43"/>
      <c r="CN93" s="43"/>
      <c r="CT93" s="34"/>
      <c r="CW93" s="32"/>
      <c r="CX93" s="32"/>
      <c r="CY93" s="32"/>
      <c r="CZ93" s="32"/>
      <c r="DA93" s="32"/>
      <c r="DB93" s="32"/>
      <c r="DC93" s="32"/>
      <c r="DQ93" s="34"/>
      <c r="EA93" s="92" t="s">
        <v>40</v>
      </c>
      <c r="EB93" s="93"/>
      <c r="EC93" s="93"/>
      <c r="ED93" s="93"/>
      <c r="EE93" s="93"/>
      <c r="EF93" s="93"/>
      <c r="EG93" s="93"/>
      <c r="EH93" s="93"/>
      <c r="EI93" s="93"/>
      <c r="EJ93" s="93"/>
      <c r="EK93" s="93"/>
      <c r="EL93" s="93"/>
      <c r="EM93" s="93"/>
      <c r="EN93" s="93"/>
      <c r="EO93" s="93"/>
      <c r="EP93" s="93"/>
      <c r="EQ93" s="93"/>
      <c r="ER93" s="93"/>
      <c r="ES93" s="93"/>
      <c r="ET93" s="93"/>
      <c r="EU93" s="93"/>
      <c r="EV93" s="95"/>
      <c r="EY93" s="34"/>
      <c r="FE93" s="97" t="s">
        <v>41</v>
      </c>
      <c r="FF93" s="98"/>
      <c r="FG93" s="98"/>
      <c r="FH93" s="98"/>
      <c r="FI93" s="98"/>
      <c r="FJ93" s="98"/>
      <c r="FK93" s="98"/>
      <c r="FL93" s="98"/>
      <c r="FM93" s="98"/>
      <c r="FN93" s="98"/>
      <c r="FO93" s="98"/>
      <c r="FP93" s="98"/>
      <c r="FQ93" s="98"/>
      <c r="FR93" s="98"/>
      <c r="FS93" s="98"/>
      <c r="FT93" s="119"/>
      <c r="FW93" s="34"/>
      <c r="FZ93" s="44"/>
      <c r="GA93" s="28"/>
      <c r="GB93" s="30"/>
      <c r="GC93" s="97" t="s">
        <v>41</v>
      </c>
      <c r="GD93" s="98"/>
      <c r="GE93" s="98"/>
      <c r="GF93" s="98"/>
      <c r="GG93" s="98"/>
      <c r="GH93" s="98"/>
      <c r="GI93" s="98"/>
      <c r="GJ93" s="98"/>
      <c r="GK93" s="98"/>
      <c r="GL93" s="98"/>
      <c r="GM93" s="98"/>
      <c r="GN93" s="98"/>
      <c r="GO93" s="98"/>
      <c r="GP93" s="98"/>
      <c r="GQ93" s="98"/>
      <c r="GR93" s="119"/>
      <c r="GS93" s="44"/>
      <c r="GU93" s="34"/>
      <c r="HA93" s="115" t="s">
        <v>42</v>
      </c>
      <c r="HB93" s="101"/>
      <c r="HC93" s="101"/>
      <c r="HD93" s="101"/>
      <c r="HE93" s="101"/>
      <c r="HF93" s="101"/>
      <c r="HG93" s="101"/>
      <c r="HH93" s="101"/>
      <c r="HI93" s="101"/>
      <c r="HJ93" s="101"/>
      <c r="HK93" s="101"/>
      <c r="HL93" s="101"/>
      <c r="HM93" s="101"/>
      <c r="HN93" s="101"/>
      <c r="HO93" s="101"/>
      <c r="HP93" s="102"/>
    </row>
    <row r="94" spans="66:225" ht="18" customHeight="1" x14ac:dyDescent="0.2">
      <c r="CE94" s="44"/>
      <c r="CF94" s="28"/>
      <c r="CG94" s="30"/>
      <c r="CH94" s="44"/>
      <c r="CI94" s="25"/>
      <c r="CJ94" s="26"/>
      <c r="CK94" s="27"/>
      <c r="CL94" s="44"/>
      <c r="CM94" s="44"/>
      <c r="CN94" s="44"/>
      <c r="CT94" s="34"/>
      <c r="CW94" s="32"/>
      <c r="CY94" s="124">
        <f>CG119</f>
        <v>2450</v>
      </c>
      <c r="CZ94" s="71"/>
      <c r="DA94" s="71"/>
      <c r="DB94" s="71"/>
      <c r="DC94" s="71"/>
      <c r="DD94" s="125" t="s">
        <v>25</v>
      </c>
      <c r="DE94" s="71"/>
      <c r="DF94" s="71"/>
      <c r="DG94" s="71"/>
      <c r="DH94" s="71"/>
      <c r="DI94" s="71"/>
      <c r="DQ94" s="34"/>
      <c r="EY94" s="34"/>
      <c r="FW94" s="34"/>
      <c r="GU94" s="34"/>
    </row>
    <row r="95" spans="66:225" ht="18" customHeight="1" x14ac:dyDescent="0.2">
      <c r="CT95" s="34"/>
      <c r="CW95" s="32"/>
      <c r="CX95" s="32">
        <v>16</v>
      </c>
      <c r="CY95" s="50">
        <f>DB51</f>
        <v>2775</v>
      </c>
      <c r="CZ95" s="32"/>
      <c r="DA95" s="108" t="s">
        <v>31</v>
      </c>
      <c r="DB95" s="108" t="s">
        <v>22</v>
      </c>
      <c r="DC95" s="32"/>
      <c r="DQ95" s="34"/>
      <c r="DT95" s="57"/>
      <c r="DU95" s="58"/>
      <c r="DV95" s="58"/>
      <c r="DW95" s="58"/>
      <c r="DX95" s="58"/>
      <c r="DY95" s="58"/>
      <c r="DZ95" s="58"/>
      <c r="EA95" s="58"/>
      <c r="EB95" s="58"/>
      <c r="EC95" s="58"/>
      <c r="ED95" s="58"/>
      <c r="EE95" s="58"/>
      <c r="EF95" s="58"/>
      <c r="EG95" s="58"/>
      <c r="EH95" s="58"/>
      <c r="EI95" s="58"/>
      <c r="EJ95" s="58"/>
      <c r="EK95" s="58"/>
      <c r="EL95" s="58"/>
      <c r="EM95" s="58"/>
      <c r="EN95" s="58"/>
      <c r="EO95" s="58"/>
      <c r="EP95" s="58"/>
      <c r="EQ95" s="58"/>
      <c r="ER95" s="58"/>
      <c r="ES95" s="58"/>
      <c r="ET95" s="58"/>
      <c r="EU95" s="58"/>
      <c r="EV95" s="61"/>
      <c r="EY95" s="34"/>
      <c r="FW95" s="34"/>
      <c r="GU95" s="34"/>
      <c r="HB95" s="67"/>
      <c r="HC95" s="68"/>
      <c r="HD95" s="68"/>
      <c r="HE95" s="68"/>
      <c r="HF95" s="68"/>
      <c r="HG95" s="68"/>
      <c r="HH95" s="68"/>
      <c r="HI95" s="68"/>
      <c r="HJ95" s="68"/>
      <c r="HK95" s="68"/>
      <c r="HL95" s="68"/>
      <c r="HM95" s="68"/>
      <c r="HN95" s="68"/>
      <c r="HO95" s="68"/>
      <c r="HP95" s="68"/>
      <c r="HQ95" s="69"/>
    </row>
    <row r="96" spans="66:225" ht="18" customHeight="1" x14ac:dyDescent="0.2">
      <c r="CE96" s="47">
        <v>325</v>
      </c>
      <c r="CF96" s="47">
        <v>465</v>
      </c>
      <c r="CG96" s="47"/>
      <c r="CH96" s="47">
        <v>325</v>
      </c>
      <c r="CI96" s="47">
        <v>685</v>
      </c>
      <c r="CJ96" s="47"/>
      <c r="CK96" s="47"/>
      <c r="CL96" s="47">
        <v>325</v>
      </c>
      <c r="CM96" s="47">
        <v>325</v>
      </c>
      <c r="CN96" s="47">
        <v>325</v>
      </c>
      <c r="CT96" s="34"/>
      <c r="CW96" s="32"/>
      <c r="CX96" s="32">
        <v>17</v>
      </c>
      <c r="CY96" s="50">
        <f>DC49</f>
        <v>3100</v>
      </c>
      <c r="CZ96" s="32"/>
      <c r="DA96" s="109">
        <f t="shared" ref="DA96:DA109" si="4">($CY96-$CY95)/$CY95</f>
        <v>0.11711711711711711</v>
      </c>
      <c r="DB96" s="32">
        <f t="shared" ref="DB96:DB109" si="5">$CY96-$CY95</f>
        <v>325</v>
      </c>
      <c r="DC96" s="32"/>
      <c r="DQ96" s="34"/>
      <c r="DT96" s="75"/>
      <c r="DU96" s="76"/>
      <c r="DV96" s="76"/>
      <c r="DW96" s="76"/>
      <c r="DX96" s="76"/>
      <c r="DY96" s="76"/>
      <c r="DZ96" s="76"/>
      <c r="EA96" s="76"/>
      <c r="EB96" s="76"/>
      <c r="EC96" s="76"/>
      <c r="ED96" s="76"/>
      <c r="EE96" s="76"/>
      <c r="EF96" s="122"/>
      <c r="EG96" s="76"/>
      <c r="EH96" s="76"/>
      <c r="EI96" s="76"/>
      <c r="EJ96" s="76"/>
      <c r="EK96" s="76"/>
      <c r="EL96" s="76"/>
      <c r="EM96" s="76"/>
      <c r="EN96" s="76"/>
      <c r="EO96" s="76"/>
      <c r="EP96" s="76"/>
      <c r="EQ96" s="76"/>
      <c r="ER96" s="76"/>
      <c r="ES96" s="76"/>
      <c r="ET96" s="76"/>
      <c r="EU96" s="76"/>
      <c r="EV96" s="80"/>
      <c r="EY96" s="34"/>
      <c r="FC96" s="50">
        <f>FE105</f>
        <v>2775</v>
      </c>
      <c r="FD96" s="51" t="s">
        <v>38</v>
      </c>
      <c r="FE96" s="50">
        <f>FE105</f>
        <v>2775</v>
      </c>
      <c r="FF96" s="51" t="s">
        <v>39</v>
      </c>
      <c r="FG96" s="50">
        <f>FB46</f>
        <v>5550</v>
      </c>
      <c r="FH96" s="103" t="s">
        <v>22</v>
      </c>
      <c r="FW96" s="34"/>
      <c r="GA96" s="50">
        <f>GC105</f>
        <v>2775</v>
      </c>
      <c r="GB96" s="51" t="s">
        <v>38</v>
      </c>
      <c r="GC96" s="50">
        <f>GC105</f>
        <v>2775</v>
      </c>
      <c r="GD96" s="51" t="s">
        <v>39</v>
      </c>
      <c r="GE96" s="50">
        <f>FZ46</f>
        <v>5550</v>
      </c>
      <c r="GF96" s="103" t="s">
        <v>22</v>
      </c>
      <c r="GU96" s="34"/>
      <c r="HB96" s="113"/>
      <c r="HC96" s="86"/>
      <c r="HD96" s="86"/>
      <c r="HE96" s="86"/>
      <c r="HF96" s="86"/>
      <c r="HG96" s="86"/>
      <c r="HH96" s="86"/>
      <c r="HI96" s="86"/>
      <c r="HJ96" s="86"/>
      <c r="HK96" s="86"/>
      <c r="HL96" s="86"/>
      <c r="HM96" s="86"/>
      <c r="HN96" s="86"/>
      <c r="HO96" s="86"/>
      <c r="HP96" s="86"/>
      <c r="HQ96" s="87"/>
    </row>
    <row r="97" spans="64:225" ht="18" customHeight="1" x14ac:dyDescent="0.2">
      <c r="CK97" s="32"/>
      <c r="CL97" s="3"/>
      <c r="CM97" s="3"/>
      <c r="CT97" s="34"/>
      <c r="CW97" s="32"/>
      <c r="CX97" s="32">
        <v>18</v>
      </c>
      <c r="CY97" s="50">
        <f>DD49</f>
        <v>3240</v>
      </c>
      <c r="CZ97" s="32"/>
      <c r="DA97" s="109">
        <f t="shared" si="4"/>
        <v>4.5161290322580643E-2</v>
      </c>
      <c r="DB97" s="32">
        <f t="shared" si="5"/>
        <v>140</v>
      </c>
      <c r="DC97" s="32"/>
      <c r="DQ97" s="34"/>
      <c r="DT97" s="92" t="s">
        <v>43</v>
      </c>
      <c r="DU97" s="93"/>
      <c r="DV97" s="93"/>
      <c r="DW97" s="93"/>
      <c r="DX97" s="93"/>
      <c r="DY97" s="93"/>
      <c r="DZ97" s="93"/>
      <c r="EA97" s="93"/>
      <c r="EB97" s="93"/>
      <c r="EC97" s="93"/>
      <c r="ED97" s="93"/>
      <c r="EE97" s="93"/>
      <c r="EF97" s="93"/>
      <c r="EG97" s="93"/>
      <c r="EH97" s="93"/>
      <c r="EI97" s="93"/>
      <c r="EJ97" s="93"/>
      <c r="EK97" s="93"/>
      <c r="EL97" s="93"/>
      <c r="EM97" s="93"/>
      <c r="EN97" s="93"/>
      <c r="EO97" s="93"/>
      <c r="EP97" s="93"/>
      <c r="EQ97" s="93"/>
      <c r="ER97" s="93"/>
      <c r="ES97" s="93"/>
      <c r="ET97" s="93"/>
      <c r="EU97" s="93"/>
      <c r="EV97" s="95"/>
      <c r="EY97" s="34"/>
      <c r="FC97" s="32"/>
      <c r="FD97" s="32"/>
      <c r="FE97" s="32"/>
      <c r="FF97" s="32"/>
      <c r="FG97" s="107">
        <v>2</v>
      </c>
      <c r="FH97" s="32" t="s">
        <v>30</v>
      </c>
      <c r="FW97" s="34"/>
      <c r="GA97" s="32"/>
      <c r="GB97" s="32"/>
      <c r="GC97" s="32"/>
      <c r="GD97" s="32"/>
      <c r="GE97" s="107">
        <v>2</v>
      </c>
      <c r="GF97" s="32" t="s">
        <v>30</v>
      </c>
      <c r="GU97" s="34"/>
      <c r="HB97" s="115" t="s">
        <v>42</v>
      </c>
      <c r="HC97" s="101"/>
      <c r="HD97" s="101"/>
      <c r="HE97" s="101"/>
      <c r="HF97" s="101"/>
      <c r="HG97" s="101"/>
      <c r="HH97" s="101"/>
      <c r="HI97" s="101"/>
      <c r="HJ97" s="101"/>
      <c r="HK97" s="101"/>
      <c r="HL97" s="101"/>
      <c r="HM97" s="101"/>
      <c r="HN97" s="101"/>
      <c r="HO97" s="101"/>
      <c r="HP97" s="101"/>
      <c r="HQ97" s="102"/>
    </row>
    <row r="98" spans="64:225" ht="18" customHeight="1" x14ac:dyDescent="0.2">
      <c r="CE98" s="50">
        <f>SUM(CG35:CP35)</f>
        <v>2775</v>
      </c>
      <c r="CG98" s="103" t="s">
        <v>22</v>
      </c>
      <c r="CH98" s="32"/>
      <c r="CI98" s="32"/>
      <c r="CJ98" s="32"/>
      <c r="CK98" s="32"/>
      <c r="CL98" s="3"/>
      <c r="CM98" s="3"/>
      <c r="CT98" s="34"/>
      <c r="CW98" s="32"/>
      <c r="CX98" s="32">
        <v>19</v>
      </c>
      <c r="CY98" s="50">
        <f>DE49</f>
        <v>3425</v>
      </c>
      <c r="CZ98" s="32"/>
      <c r="DA98" s="109">
        <f t="shared" si="4"/>
        <v>5.7098765432098762E-2</v>
      </c>
      <c r="DB98" s="32">
        <f t="shared" si="5"/>
        <v>185</v>
      </c>
      <c r="DC98" s="32"/>
      <c r="DQ98" s="34"/>
      <c r="EY98" s="34"/>
      <c r="FC98" s="32"/>
      <c r="FD98" s="103"/>
      <c r="FE98" s="32"/>
      <c r="FF98" s="32"/>
      <c r="FG98" s="107">
        <v>14</v>
      </c>
      <c r="FH98" s="32" t="s">
        <v>32</v>
      </c>
      <c r="FW98" s="34"/>
      <c r="GA98" s="32"/>
      <c r="GB98" s="103"/>
      <c r="GC98" s="32"/>
      <c r="GD98" s="32"/>
      <c r="GE98" s="107">
        <v>14</v>
      </c>
      <c r="GF98" s="32" t="s">
        <v>32</v>
      </c>
      <c r="GU98" s="34"/>
    </row>
    <row r="99" spans="64:225" ht="18" customHeight="1" x14ac:dyDescent="0.2">
      <c r="BL99" s="1">
        <f>SUM(BN99:BX99)</f>
        <v>3785</v>
      </c>
      <c r="BN99" s="1">
        <v>325</v>
      </c>
      <c r="BO99" s="1">
        <v>465</v>
      </c>
      <c r="BP99" s="1">
        <v>325</v>
      </c>
      <c r="BQ99" s="1">
        <v>685</v>
      </c>
      <c r="BR99" s="1">
        <v>325</v>
      </c>
      <c r="BS99" s="1">
        <v>325</v>
      </c>
      <c r="BT99" s="1">
        <v>325</v>
      </c>
      <c r="BU99" s="1">
        <v>685</v>
      </c>
      <c r="BV99" s="1">
        <v>325</v>
      </c>
      <c r="CE99" s="107">
        <v>1</v>
      </c>
      <c r="CG99" s="32" t="s">
        <v>30</v>
      </c>
      <c r="CH99" s="32"/>
      <c r="CI99" s="32"/>
      <c r="CJ99" s="32"/>
      <c r="CK99" s="32"/>
      <c r="CL99" s="3"/>
      <c r="CM99" s="3"/>
      <c r="CT99" s="34"/>
      <c r="CW99" s="32"/>
      <c r="CX99" s="32">
        <v>20</v>
      </c>
      <c r="CY99" s="50">
        <f>DD51</f>
        <v>3460</v>
      </c>
      <c r="CZ99" s="32"/>
      <c r="DA99" s="109">
        <f t="shared" si="4"/>
        <v>1.0218978102189781E-2</v>
      </c>
      <c r="DB99" s="32">
        <f t="shared" si="5"/>
        <v>35</v>
      </c>
      <c r="DC99" s="32"/>
      <c r="DQ99" s="34"/>
      <c r="EM99" s="62"/>
      <c r="EY99" s="34"/>
      <c r="FC99" s="32"/>
      <c r="FD99" s="32"/>
      <c r="FE99" s="32"/>
      <c r="FF99" s="32"/>
      <c r="FG99" s="107">
        <v>14</v>
      </c>
      <c r="FH99" s="32" t="s">
        <v>33</v>
      </c>
      <c r="FW99" s="34"/>
      <c r="GA99" s="32"/>
      <c r="GB99" s="32"/>
      <c r="GC99" s="32"/>
      <c r="GD99" s="32"/>
      <c r="GE99" s="107">
        <v>14</v>
      </c>
      <c r="GF99" s="32" t="s">
        <v>33</v>
      </c>
      <c r="GU99" s="34"/>
    </row>
    <row r="100" spans="64:225" ht="18" customHeight="1" x14ac:dyDescent="0.2">
      <c r="CE100" s="107">
        <v>7</v>
      </c>
      <c r="CG100" s="32" t="s">
        <v>32</v>
      </c>
      <c r="CH100" s="32"/>
      <c r="CI100" s="32"/>
      <c r="CJ100" s="32"/>
      <c r="CK100" s="32"/>
      <c r="CL100" s="3"/>
      <c r="CM100" s="3"/>
      <c r="CT100" s="34"/>
      <c r="CW100" s="32"/>
      <c r="CX100" s="32">
        <v>21</v>
      </c>
      <c r="CY100" s="124">
        <f>DD56</f>
        <v>3565</v>
      </c>
      <c r="CZ100" s="71"/>
      <c r="DA100" s="126">
        <f t="shared" si="4"/>
        <v>3.0346820809248554E-2</v>
      </c>
      <c r="DB100" s="72">
        <f t="shared" si="5"/>
        <v>105</v>
      </c>
      <c r="DC100" s="72"/>
      <c r="DD100" s="125" t="s">
        <v>34</v>
      </c>
      <c r="DE100" s="71"/>
      <c r="DF100" s="71"/>
      <c r="DG100" s="71"/>
      <c r="DH100" s="71"/>
      <c r="DI100" s="71"/>
      <c r="DQ100" s="34"/>
      <c r="DT100" s="50">
        <f>DV107</f>
        <v>2775</v>
      </c>
      <c r="DU100" s="51" t="s">
        <v>38</v>
      </c>
      <c r="DV100" s="50">
        <f>DV107</f>
        <v>2775</v>
      </c>
      <c r="DW100" s="51" t="s">
        <v>38</v>
      </c>
      <c r="DX100" s="50">
        <f>DV107</f>
        <v>2775</v>
      </c>
      <c r="DY100" s="51" t="s">
        <v>39</v>
      </c>
      <c r="DZ100" s="50">
        <f>DT100+DV100+DX100</f>
        <v>8325</v>
      </c>
      <c r="EA100" s="103" t="s">
        <v>22</v>
      </c>
      <c r="ED100" s="103"/>
      <c r="EG100" s="62"/>
      <c r="EJ100" s="62"/>
      <c r="EK100" s="62"/>
      <c r="EL100" s="62"/>
      <c r="EM100" s="62"/>
      <c r="EN100" s="62"/>
      <c r="EO100" s="62"/>
      <c r="EP100" s="96"/>
      <c r="EQ100" s="110"/>
      <c r="ER100" s="110"/>
      <c r="EY100" s="34"/>
      <c r="FW100" s="34"/>
      <c r="GU100" s="34"/>
      <c r="GY100" s="50">
        <f>HA109</f>
        <v>2775</v>
      </c>
      <c r="GZ100" s="51" t="s">
        <v>38</v>
      </c>
      <c r="HA100" s="50">
        <f>HA109</f>
        <v>2775</v>
      </c>
      <c r="HB100" s="51" t="s">
        <v>39</v>
      </c>
      <c r="HC100" s="50">
        <f>GX46</f>
        <v>5550</v>
      </c>
      <c r="HD100" s="103" t="s">
        <v>22</v>
      </c>
    </row>
    <row r="101" spans="64:225" ht="18" customHeight="1" x14ac:dyDescent="0.2">
      <c r="BN101" s="1">
        <f>SUM(BR99:BS99)</f>
        <v>650</v>
      </c>
      <c r="BO101" s="1">
        <f>SUM(BR99:BT99)</f>
        <v>975</v>
      </c>
      <c r="BP101" s="1">
        <f>SUM(BR99:BU99)</f>
        <v>1660</v>
      </c>
      <c r="BQ101" s="1">
        <f>SUM(BR99:BW99)</f>
        <v>1985</v>
      </c>
      <c r="BR101" s="1">
        <f>SUM(BO99:BU99)</f>
        <v>3135</v>
      </c>
      <c r="BS101" s="1">
        <f>SUM(BO99:BV99)</f>
        <v>3460</v>
      </c>
      <c r="BT101" s="1">
        <f>SUM(BN99:BV99)</f>
        <v>3785</v>
      </c>
      <c r="BU101" s="1">
        <f>SUM(BN99:BV99)</f>
        <v>3785</v>
      </c>
      <c r="CE101" s="107">
        <v>7</v>
      </c>
      <c r="CG101" s="32" t="s">
        <v>33</v>
      </c>
      <c r="CH101" s="32"/>
      <c r="CI101" s="32"/>
      <c r="CJ101" s="32"/>
      <c r="CK101" s="32"/>
      <c r="CL101" s="3"/>
      <c r="CM101" s="3"/>
      <c r="CT101" s="34"/>
      <c r="CW101" s="32"/>
      <c r="CX101" s="32">
        <v>22</v>
      </c>
      <c r="CY101" s="50">
        <f>DD55</f>
        <v>3785</v>
      </c>
      <c r="CZ101" s="32"/>
      <c r="DA101" s="109">
        <f t="shared" si="4"/>
        <v>6.1711079943899017E-2</v>
      </c>
      <c r="DB101" s="32">
        <f t="shared" si="5"/>
        <v>220</v>
      </c>
      <c r="DC101" s="32"/>
      <c r="DQ101" s="34"/>
      <c r="DU101" s="62"/>
      <c r="DZ101" s="107">
        <v>3</v>
      </c>
      <c r="EA101" s="32" t="s">
        <v>30</v>
      </c>
      <c r="EG101" s="62"/>
      <c r="EJ101" s="62"/>
      <c r="EP101" s="32"/>
      <c r="EQ101" s="3"/>
      <c r="ER101" s="110"/>
      <c r="EY101" s="34"/>
      <c r="FC101" s="32" t="s">
        <v>29</v>
      </c>
      <c r="FD101" s="32"/>
      <c r="FE101" s="32"/>
      <c r="FF101" s="32"/>
      <c r="FG101" s="32"/>
      <c r="FH101" s="32"/>
      <c r="FI101" s="32"/>
      <c r="FW101" s="34"/>
      <c r="GA101" s="32" t="s">
        <v>29</v>
      </c>
      <c r="GB101" s="32"/>
      <c r="GC101" s="32"/>
      <c r="GD101" s="32"/>
      <c r="GE101" s="32"/>
      <c r="GF101" s="32"/>
      <c r="GG101" s="32"/>
      <c r="GU101" s="34"/>
      <c r="GY101" s="32"/>
      <c r="GZ101" s="32"/>
      <c r="HA101" s="32"/>
      <c r="HB101" s="32"/>
      <c r="HC101" s="107">
        <v>2</v>
      </c>
      <c r="HD101" s="32" t="s">
        <v>30</v>
      </c>
    </row>
    <row r="102" spans="64:225" ht="18" customHeight="1" x14ac:dyDescent="0.2">
      <c r="BN102" s="1">
        <f>SUM(BP99:BQ99)</f>
        <v>1010</v>
      </c>
      <c r="BO102" s="1">
        <f>SUM(BQ99:BS99)</f>
        <v>1335</v>
      </c>
      <c r="BP102" s="1">
        <f>SUM(BN99:BQ99)</f>
        <v>1800</v>
      </c>
      <c r="BQ102" s="1">
        <f>SUM(BN99:BR99)</f>
        <v>2125</v>
      </c>
      <c r="BR102" s="1">
        <f>SUM(BN99:BT99)</f>
        <v>2775</v>
      </c>
      <c r="BS102" s="1">
        <f>SUM(BN99:BU99)</f>
        <v>3460</v>
      </c>
      <c r="BT102" s="1">
        <f>SUM(BN99:BV99)</f>
        <v>3785</v>
      </c>
      <c r="CT102" s="34"/>
      <c r="CW102" s="32"/>
      <c r="CX102" s="32">
        <v>23</v>
      </c>
      <c r="CY102" s="50">
        <f>DF48</f>
        <v>3890</v>
      </c>
      <c r="DA102" s="109">
        <f t="shared" si="4"/>
        <v>2.7741083223249668E-2</v>
      </c>
      <c r="DB102" s="32">
        <f t="shared" si="5"/>
        <v>105</v>
      </c>
      <c r="DC102" s="32"/>
      <c r="DQ102" s="34"/>
      <c r="DT102" s="32"/>
      <c r="DU102" s="103"/>
      <c r="DV102" s="32"/>
      <c r="DW102" s="32"/>
      <c r="DX102" s="32"/>
      <c r="DY102" s="32"/>
      <c r="DZ102" s="107">
        <v>21</v>
      </c>
      <c r="EA102" s="32" t="s">
        <v>32</v>
      </c>
      <c r="EJ102" s="96"/>
      <c r="EK102" s="62"/>
      <c r="EL102" s="62"/>
      <c r="EM102" s="62"/>
      <c r="EN102" s="62"/>
      <c r="EO102" s="62"/>
      <c r="EP102" s="62"/>
      <c r="EQ102" s="110"/>
      <c r="ER102" s="110"/>
      <c r="EY102" s="34"/>
      <c r="FC102" s="32"/>
      <c r="FD102" s="32"/>
      <c r="FE102" s="32"/>
      <c r="FF102" s="32"/>
      <c r="FG102" s="32"/>
      <c r="FH102" s="32"/>
      <c r="FI102" s="32"/>
      <c r="FW102" s="34"/>
      <c r="GA102" s="32"/>
      <c r="GB102" s="32"/>
      <c r="GC102" s="32"/>
      <c r="GD102" s="32"/>
      <c r="GE102" s="32"/>
      <c r="GF102" s="32"/>
      <c r="GG102" s="32"/>
      <c r="GU102" s="34"/>
      <c r="GY102" s="32"/>
      <c r="GZ102" s="103"/>
      <c r="HA102" s="32"/>
      <c r="HB102" s="32"/>
      <c r="HC102" s="107">
        <v>14</v>
      </c>
      <c r="HD102" s="32" t="s">
        <v>32</v>
      </c>
    </row>
    <row r="103" spans="64:225" ht="18" customHeight="1" x14ac:dyDescent="0.2">
      <c r="BN103" s="1">
        <f>SUM(BU99:BV99)</f>
        <v>1010</v>
      </c>
      <c r="BO103" s="1">
        <f>SUM(BT99:BV99)</f>
        <v>1335</v>
      </c>
      <c r="BP103" s="1">
        <f>SUM(BS99:BV99)</f>
        <v>1660</v>
      </c>
      <c r="BQ103" s="1">
        <f>SUM(BQ99:BU99)</f>
        <v>2345</v>
      </c>
      <c r="BR103" s="1">
        <f>SUM(BO99:BU99)</f>
        <v>3135</v>
      </c>
      <c r="BS103" s="1">
        <f>SUM(BO99:BV99)</f>
        <v>3460</v>
      </c>
      <c r="CE103" s="32" t="s">
        <v>29</v>
      </c>
      <c r="CF103" s="32"/>
      <c r="CG103" s="32"/>
      <c r="CH103" s="32"/>
      <c r="CI103" s="32"/>
      <c r="CJ103" s="32"/>
      <c r="CT103" s="34"/>
      <c r="CW103" s="32"/>
      <c r="CX103" s="32">
        <v>24</v>
      </c>
      <c r="CY103" s="50">
        <f>DD52</f>
        <v>4110</v>
      </c>
      <c r="CZ103" s="32"/>
      <c r="DA103" s="109">
        <f t="shared" si="4"/>
        <v>5.6555269922879174E-2</v>
      </c>
      <c r="DB103" s="32">
        <f t="shared" si="5"/>
        <v>220</v>
      </c>
      <c r="DC103" s="32"/>
      <c r="DQ103" s="34"/>
      <c r="DT103" s="32"/>
      <c r="DU103" s="32"/>
      <c r="DV103" s="32"/>
      <c r="DW103" s="32"/>
      <c r="DX103" s="32"/>
      <c r="DY103" s="32"/>
      <c r="DZ103" s="107">
        <v>21</v>
      </c>
      <c r="EA103" s="32" t="s">
        <v>33</v>
      </c>
      <c r="EY103" s="34"/>
      <c r="FC103" s="32"/>
      <c r="FD103" s="50">
        <f>+CF118</f>
        <v>14</v>
      </c>
      <c r="FE103" s="127">
        <f>+CG118</f>
        <v>2125</v>
      </c>
      <c r="FF103" s="127"/>
      <c r="FG103" s="128">
        <f>CI118</f>
        <v>7.0528967254408062E-2</v>
      </c>
      <c r="FH103" s="127">
        <f>+CJ118</f>
        <v>140</v>
      </c>
      <c r="FI103" s="82"/>
      <c r="FJ103" s="129" t="s">
        <v>27</v>
      </c>
      <c r="FK103" s="82"/>
      <c r="FL103" s="82"/>
      <c r="FM103" s="82"/>
      <c r="FN103" s="82"/>
      <c r="FO103" s="82"/>
      <c r="FW103" s="34"/>
      <c r="GA103" s="32"/>
      <c r="GB103" s="50">
        <f>+CF118</f>
        <v>14</v>
      </c>
      <c r="GC103" s="127">
        <f>+CG118</f>
        <v>2125</v>
      </c>
      <c r="GD103" s="83"/>
      <c r="GE103" s="128">
        <f>+CI118</f>
        <v>7.0528967254408062E-2</v>
      </c>
      <c r="GF103" s="127">
        <f>+CJ118</f>
        <v>140</v>
      </c>
      <c r="GG103" s="82"/>
      <c r="GH103" s="129" t="s">
        <v>27</v>
      </c>
      <c r="GI103" s="82"/>
      <c r="GJ103" s="82"/>
      <c r="GK103" s="82"/>
      <c r="GL103" s="82"/>
      <c r="GM103" s="82"/>
      <c r="GU103" s="34"/>
      <c r="GY103" s="32"/>
      <c r="GZ103" s="32"/>
      <c r="HA103" s="32"/>
      <c r="HB103" s="32"/>
      <c r="HC103" s="107">
        <v>14</v>
      </c>
      <c r="HD103" s="32" t="s">
        <v>33</v>
      </c>
    </row>
    <row r="104" spans="64:225" ht="18" customHeight="1" x14ac:dyDescent="0.2">
      <c r="BN104" s="1">
        <f>SUM(BU99:BV99)</f>
        <v>1010</v>
      </c>
      <c r="BO104" s="1">
        <f>SUM(BN99:BP99)</f>
        <v>1115</v>
      </c>
      <c r="BP104" s="1">
        <f>SUM(BO99:BR99)</f>
        <v>1800</v>
      </c>
      <c r="BQ104" s="1">
        <f>SUM(BQ99:BV99)</f>
        <v>2670</v>
      </c>
      <c r="BR104" s="1">
        <f>SUM(BP99:BV99)</f>
        <v>2995</v>
      </c>
      <c r="BS104" s="1">
        <f>SUM(BN99:BU99)</f>
        <v>3460</v>
      </c>
      <c r="CE104" s="32"/>
      <c r="CF104" s="32"/>
      <c r="CG104" s="32"/>
      <c r="CH104" s="32"/>
      <c r="CI104" s="32"/>
      <c r="CJ104" s="32"/>
      <c r="CK104" s="32"/>
      <c r="CT104" s="34"/>
      <c r="CV104" s="32"/>
      <c r="CX104" s="32">
        <v>25</v>
      </c>
      <c r="CY104" s="50">
        <f>DG49</f>
        <v>4435</v>
      </c>
      <c r="CZ104" s="32"/>
      <c r="DA104" s="109">
        <f t="shared" si="4"/>
        <v>7.9075425790754258E-2</v>
      </c>
      <c r="DB104" s="116">
        <f t="shared" si="5"/>
        <v>325</v>
      </c>
      <c r="DC104" s="32"/>
      <c r="DQ104" s="34"/>
      <c r="EH104" s="62"/>
      <c r="EI104" s="62"/>
      <c r="EJ104" s="62"/>
      <c r="EK104" s="62"/>
      <c r="EL104" s="62"/>
      <c r="EM104" s="62"/>
      <c r="EY104" s="34"/>
      <c r="FC104" s="32"/>
      <c r="FD104" s="50">
        <f>+CF119</f>
        <v>15</v>
      </c>
      <c r="FE104" s="50">
        <f>+CG119</f>
        <v>2450</v>
      </c>
      <c r="FF104" s="50"/>
      <c r="FG104" s="109">
        <f>CI119</f>
        <v>0.15294117647058825</v>
      </c>
      <c r="FH104" s="120">
        <f>+CJ119</f>
        <v>325</v>
      </c>
      <c r="FW104" s="34"/>
      <c r="GA104" s="32"/>
      <c r="GB104" s="50">
        <f>+CF119</f>
        <v>15</v>
      </c>
      <c r="GC104" s="50">
        <f>+CG119</f>
        <v>2450</v>
      </c>
      <c r="GD104" s="32"/>
      <c r="GE104" s="109">
        <f>+CI119</f>
        <v>0.15294117647058825</v>
      </c>
      <c r="GF104" s="120">
        <f>+CJ119</f>
        <v>325</v>
      </c>
      <c r="GU104" s="34"/>
    </row>
    <row r="105" spans="64:225" ht="18" customHeight="1" x14ac:dyDescent="0.2">
      <c r="BN105" s="1">
        <f>SUM(BN99:BO99)</f>
        <v>790</v>
      </c>
      <c r="BO105" s="1">
        <f>SUM(BT99:BV99)</f>
        <v>1335</v>
      </c>
      <c r="BP105" s="1">
        <f>SUM(BP99:BS99)</f>
        <v>1660</v>
      </c>
      <c r="BQ105" s="1">
        <f>SUM(BN99:BS99)</f>
        <v>2450</v>
      </c>
      <c r="CE105" s="32"/>
      <c r="CF105" s="32">
        <v>1</v>
      </c>
      <c r="CG105" s="50">
        <f>CG35</f>
        <v>325</v>
      </c>
      <c r="CH105" s="32"/>
      <c r="CI105" s="108" t="s">
        <v>31</v>
      </c>
      <c r="CJ105" s="108" t="s">
        <v>22</v>
      </c>
      <c r="CK105" s="32"/>
      <c r="CT105" s="34"/>
      <c r="CW105" s="32"/>
      <c r="CX105" s="32">
        <v>26</v>
      </c>
      <c r="CY105" s="50">
        <f>DG48</f>
        <v>4575</v>
      </c>
      <c r="CZ105" s="32"/>
      <c r="DA105" s="109">
        <f t="shared" si="4"/>
        <v>3.1567080045095827E-2</v>
      </c>
      <c r="DB105" s="32">
        <f t="shared" si="5"/>
        <v>140</v>
      </c>
      <c r="DQ105" s="34"/>
      <c r="DT105" s="32" t="s">
        <v>29</v>
      </c>
      <c r="DU105" s="32"/>
      <c r="DV105" s="32"/>
      <c r="DW105" s="32"/>
      <c r="DX105" s="32"/>
      <c r="DY105" s="32"/>
      <c r="DZ105" s="32"/>
      <c r="EM105" s="62"/>
      <c r="EY105" s="34"/>
      <c r="FC105" s="32"/>
      <c r="FD105" s="32">
        <v>16</v>
      </c>
      <c r="FE105" s="50">
        <f>FH51</f>
        <v>2775</v>
      </c>
      <c r="FF105" s="32"/>
      <c r="FG105" s="108" t="s">
        <v>31</v>
      </c>
      <c r="FH105" s="108" t="s">
        <v>22</v>
      </c>
      <c r="FI105" s="32"/>
      <c r="FW105" s="34"/>
      <c r="GA105" s="32"/>
      <c r="GB105" s="32">
        <v>16</v>
      </c>
      <c r="GC105" s="50">
        <f>GF51</f>
        <v>2775</v>
      </c>
      <c r="GD105" s="32"/>
      <c r="GE105" s="108" t="s">
        <v>31</v>
      </c>
      <c r="GF105" s="108" t="s">
        <v>22</v>
      </c>
      <c r="GG105" s="32"/>
      <c r="GU105" s="34"/>
      <c r="GY105" s="32" t="s">
        <v>29</v>
      </c>
      <c r="GZ105" s="32"/>
      <c r="HA105" s="32"/>
      <c r="HB105" s="32"/>
      <c r="HC105" s="32"/>
      <c r="HD105" s="32"/>
      <c r="HE105" s="32"/>
    </row>
    <row r="106" spans="64:225" ht="18" customHeight="1" x14ac:dyDescent="0.2">
      <c r="BN106" s="1">
        <f>SUM(BT99:BU99)</f>
        <v>1010</v>
      </c>
      <c r="BO106" s="1">
        <f>SUM(BO99:BQ99)</f>
        <v>1475</v>
      </c>
      <c r="BP106" s="1">
        <f>SUM(BQ99:BT99)</f>
        <v>1660</v>
      </c>
      <c r="BQ106" s="1">
        <f>SUM(BQ99:BV99)</f>
        <v>2670</v>
      </c>
      <c r="CE106" s="32"/>
      <c r="CF106" s="32">
        <v>2</v>
      </c>
      <c r="CG106" s="50">
        <f>CH35</f>
        <v>465</v>
      </c>
      <c r="CH106" s="32"/>
      <c r="CI106" s="109">
        <f t="shared" ref="CI106:CI120" si="6">($CG106-$CG105)/$CG105</f>
        <v>0.43076923076923079</v>
      </c>
      <c r="CJ106" s="32">
        <f t="shared" ref="CJ106:CJ120" si="7">$CG106-$CG105</f>
        <v>140</v>
      </c>
      <c r="CK106" s="32"/>
      <c r="CS106" s="105"/>
      <c r="CT106" s="34"/>
      <c r="CW106" s="32"/>
      <c r="CX106" s="32">
        <v>27</v>
      </c>
      <c r="CY106" s="50">
        <f>DH49</f>
        <v>4760</v>
      </c>
      <c r="CZ106" s="32"/>
      <c r="DA106" s="109">
        <f t="shared" si="4"/>
        <v>4.0437158469945354E-2</v>
      </c>
      <c r="DB106" s="32">
        <f t="shared" si="5"/>
        <v>185</v>
      </c>
      <c r="DC106" s="32"/>
      <c r="DQ106" s="34"/>
      <c r="DT106" s="32"/>
      <c r="DU106" s="32"/>
      <c r="DV106" s="32"/>
      <c r="DW106" s="32"/>
      <c r="DX106" s="32"/>
      <c r="DY106" s="32"/>
      <c r="DZ106" s="32"/>
      <c r="EI106" s="62"/>
      <c r="EJ106" s="62"/>
      <c r="EK106" s="62"/>
      <c r="EL106" s="62"/>
      <c r="EM106" s="62"/>
      <c r="EY106" s="34"/>
      <c r="FC106" s="32"/>
      <c r="FD106" s="32">
        <v>17</v>
      </c>
      <c r="FE106" s="50">
        <f>FI49</f>
        <v>3100</v>
      </c>
      <c r="FF106" s="32"/>
      <c r="FG106" s="109">
        <f t="shared" ref="FG106:FG119" si="8">($FE106-$FE105)/$FE105</f>
        <v>0.11711711711711711</v>
      </c>
      <c r="FH106" s="32">
        <f t="shared" ref="FH106:FH119" si="9">$FE106-$FE105</f>
        <v>325</v>
      </c>
      <c r="FI106" s="32"/>
      <c r="FW106" s="34"/>
      <c r="GA106" s="32"/>
      <c r="GB106" s="32">
        <v>17</v>
      </c>
      <c r="GC106" s="50">
        <f>GG49</f>
        <v>3100</v>
      </c>
      <c r="GD106" s="32"/>
      <c r="GE106" s="109">
        <f t="shared" ref="GE106:GE119" si="10">($GC106-$GC105)/$GC105</f>
        <v>0.11711711711711711</v>
      </c>
      <c r="GF106" s="32">
        <f t="shared" ref="GF106:GF119" si="11">$GC106-$GC105</f>
        <v>325</v>
      </c>
      <c r="GG106" s="32"/>
      <c r="GU106" s="34"/>
      <c r="GY106" s="32"/>
      <c r="GZ106" s="32"/>
      <c r="HA106" s="32"/>
      <c r="HB106" s="32"/>
      <c r="HC106" s="32"/>
      <c r="HD106" s="32"/>
      <c r="HE106" s="32"/>
    </row>
    <row r="107" spans="64:225" ht="18" customHeight="1" x14ac:dyDescent="0.2">
      <c r="BN107" s="1">
        <f>SUM(BV99:BW99)</f>
        <v>325</v>
      </c>
      <c r="BO107" s="1">
        <f>SUM(BO99:BR99)</f>
        <v>1800</v>
      </c>
      <c r="BP107" s="1">
        <f>SUM(BS99:BV99)</f>
        <v>1660</v>
      </c>
      <c r="BS107" s="1">
        <f>SUM(BN99:BS99)</f>
        <v>2450</v>
      </c>
      <c r="CE107" s="32"/>
      <c r="CF107" s="32">
        <v>3</v>
      </c>
      <c r="CG107" s="50">
        <f>CG37</f>
        <v>650</v>
      </c>
      <c r="CH107" s="32"/>
      <c r="CI107" s="109">
        <f t="shared" si="6"/>
        <v>0.39784946236559138</v>
      </c>
      <c r="CJ107" s="32">
        <f t="shared" si="7"/>
        <v>185</v>
      </c>
      <c r="CK107" s="32"/>
      <c r="CT107" s="34"/>
      <c r="CX107" s="32">
        <v>28</v>
      </c>
      <c r="CY107" s="50">
        <f>DH48</f>
        <v>4900</v>
      </c>
      <c r="CZ107" s="32"/>
      <c r="DA107" s="109">
        <f t="shared" si="4"/>
        <v>2.9411764705882353E-2</v>
      </c>
      <c r="DB107" s="32">
        <f t="shared" si="5"/>
        <v>140</v>
      </c>
      <c r="DC107" s="32"/>
      <c r="DQ107" s="34"/>
      <c r="DT107" s="32"/>
      <c r="DU107" s="32">
        <v>16</v>
      </c>
      <c r="DV107" s="50">
        <f>DZ51</f>
        <v>2775</v>
      </c>
      <c r="DW107" s="32"/>
      <c r="DX107" s="108" t="s">
        <v>31</v>
      </c>
      <c r="DY107" s="108" t="s">
        <v>22</v>
      </c>
      <c r="DZ107" s="32"/>
      <c r="EH107" s="62"/>
      <c r="EY107" s="34"/>
      <c r="FC107" s="32"/>
      <c r="FD107" s="32">
        <v>18</v>
      </c>
      <c r="FE107" s="50">
        <f>FJ49</f>
        <v>3240</v>
      </c>
      <c r="FF107" s="32"/>
      <c r="FG107" s="109">
        <f t="shared" si="8"/>
        <v>4.5161290322580643E-2</v>
      </c>
      <c r="FH107" s="32">
        <f t="shared" si="9"/>
        <v>140</v>
      </c>
      <c r="FI107" s="32"/>
      <c r="FW107" s="34"/>
      <c r="GA107" s="32"/>
      <c r="GB107" s="32">
        <v>18</v>
      </c>
      <c r="GC107" s="50">
        <f>GH49</f>
        <v>3240</v>
      </c>
      <c r="GD107" s="32"/>
      <c r="GE107" s="109">
        <f t="shared" si="10"/>
        <v>4.5161290322580643E-2</v>
      </c>
      <c r="GF107" s="32">
        <f t="shared" si="11"/>
        <v>140</v>
      </c>
      <c r="GG107" s="32"/>
      <c r="GU107" s="34"/>
      <c r="GY107" s="32"/>
      <c r="GZ107" s="50">
        <f>CF112</f>
        <v>8</v>
      </c>
      <c r="HA107" s="130">
        <f>CG112</f>
        <v>1115</v>
      </c>
      <c r="HB107" s="130"/>
      <c r="HC107" s="131">
        <f>CI112</f>
        <v>0.10396039603960396</v>
      </c>
      <c r="HD107" s="130">
        <f>CJ112</f>
        <v>105</v>
      </c>
      <c r="HE107" s="86"/>
      <c r="HF107" s="132" t="s">
        <v>44</v>
      </c>
      <c r="HG107" s="86"/>
      <c r="HH107" s="86"/>
      <c r="HI107" s="86"/>
      <c r="HJ107" s="86"/>
      <c r="HK107" s="86"/>
      <c r="HL107" s="86"/>
    </row>
    <row r="108" spans="64:225" ht="18" customHeight="1" x14ac:dyDescent="0.2">
      <c r="BP108" s="1">
        <f>SUM(BN99:BQ99)</f>
        <v>1800</v>
      </c>
      <c r="CE108" s="32"/>
      <c r="CF108" s="32">
        <v>4</v>
      </c>
      <c r="CG108" s="50">
        <f>CJ35</f>
        <v>685</v>
      </c>
      <c r="CH108" s="32"/>
      <c r="CI108" s="109">
        <f t="shared" si="6"/>
        <v>5.3846153846153849E-2</v>
      </c>
      <c r="CJ108" s="32">
        <f t="shared" si="7"/>
        <v>35</v>
      </c>
      <c r="CK108" s="32"/>
      <c r="CS108" s="105"/>
      <c r="CT108" s="34"/>
      <c r="CX108" s="32">
        <v>29</v>
      </c>
      <c r="CY108" s="124">
        <f>DI48</f>
        <v>5225</v>
      </c>
      <c r="CZ108" s="72"/>
      <c r="DA108" s="126">
        <f t="shared" si="4"/>
        <v>6.6326530612244902E-2</v>
      </c>
      <c r="DB108" s="116">
        <f t="shared" si="5"/>
        <v>325</v>
      </c>
      <c r="DC108" s="72"/>
      <c r="DD108" s="125" t="s">
        <v>36</v>
      </c>
      <c r="DE108" s="71"/>
      <c r="DF108" s="71"/>
      <c r="DG108" s="71"/>
      <c r="DH108" s="71"/>
      <c r="DI108" s="71"/>
      <c r="DQ108" s="34"/>
      <c r="DT108" s="32"/>
      <c r="DU108" s="32">
        <v>17</v>
      </c>
      <c r="DV108" s="133">
        <f>EA49</f>
        <v>3100</v>
      </c>
      <c r="DW108" s="77"/>
      <c r="DX108" s="134">
        <f t="shared" ref="DX108:DX133" si="12">($DV108-$DV107)/$DV107</f>
        <v>0.11711711711711711</v>
      </c>
      <c r="DY108" s="77">
        <f t="shared" ref="DY108:DY133" si="13">$DV108-$DV107</f>
        <v>325</v>
      </c>
      <c r="DZ108" s="77"/>
      <c r="EA108" s="135" t="s">
        <v>26</v>
      </c>
      <c r="EB108" s="76"/>
      <c r="EC108" s="76"/>
      <c r="ED108" s="76"/>
      <c r="EE108" s="76"/>
      <c r="EF108" s="76"/>
      <c r="EI108" s="62"/>
      <c r="EJ108" s="62"/>
      <c r="EK108" s="62"/>
      <c r="EL108" s="62"/>
      <c r="EY108" s="34"/>
      <c r="FC108" s="32"/>
      <c r="FD108" s="32">
        <v>19</v>
      </c>
      <c r="FE108" s="127">
        <f>FK49</f>
        <v>3425</v>
      </c>
      <c r="FF108" s="83"/>
      <c r="FG108" s="128">
        <f t="shared" si="8"/>
        <v>5.7098765432098762E-2</v>
      </c>
      <c r="FH108" s="83">
        <f t="shared" si="9"/>
        <v>185</v>
      </c>
      <c r="FI108" s="83"/>
      <c r="FJ108" s="129" t="s">
        <v>37</v>
      </c>
      <c r="FK108" s="82"/>
      <c r="FL108" s="82"/>
      <c r="FM108" s="82"/>
      <c r="FN108" s="82"/>
      <c r="FO108" s="82"/>
      <c r="FW108" s="34"/>
      <c r="GA108" s="32"/>
      <c r="GB108" s="32">
        <v>19</v>
      </c>
      <c r="GC108" s="127">
        <f>GI49</f>
        <v>3425</v>
      </c>
      <c r="GD108" s="83"/>
      <c r="GE108" s="128">
        <f t="shared" si="10"/>
        <v>5.7098765432098762E-2</v>
      </c>
      <c r="GF108" s="83">
        <f t="shared" si="11"/>
        <v>185</v>
      </c>
      <c r="GG108" s="83"/>
      <c r="GH108" s="129" t="s">
        <v>37</v>
      </c>
      <c r="GI108" s="82"/>
      <c r="GJ108" s="82"/>
      <c r="GK108" s="82"/>
      <c r="GL108" s="82"/>
      <c r="GM108" s="82"/>
      <c r="GU108" s="34"/>
      <c r="GY108" s="32"/>
      <c r="GZ108" s="50">
        <f>CF119</f>
        <v>15</v>
      </c>
      <c r="HA108" s="130">
        <f>CG119</f>
        <v>2450</v>
      </c>
      <c r="HB108" s="130"/>
      <c r="HC108" s="131">
        <f>CI119</f>
        <v>0.15294117647058825</v>
      </c>
      <c r="HD108" s="130">
        <f>CJ119</f>
        <v>325</v>
      </c>
      <c r="HE108" s="136"/>
      <c r="HF108" s="132" t="s">
        <v>35</v>
      </c>
      <c r="HG108" s="86"/>
      <c r="HH108" s="86"/>
      <c r="HI108" s="86"/>
      <c r="HJ108" s="86"/>
      <c r="HK108" s="86"/>
      <c r="HL108" s="86"/>
    </row>
    <row r="109" spans="64:225" ht="18" customHeight="1" x14ac:dyDescent="0.2">
      <c r="CE109" s="32"/>
      <c r="CF109" s="32">
        <v>5</v>
      </c>
      <c r="CG109" s="50">
        <f>CG39</f>
        <v>790</v>
      </c>
      <c r="CH109" s="32"/>
      <c r="CI109" s="109">
        <f t="shared" si="6"/>
        <v>0.15328467153284672</v>
      </c>
      <c r="CJ109" s="32">
        <f t="shared" si="7"/>
        <v>105</v>
      </c>
      <c r="CK109" s="32"/>
      <c r="CT109" s="34"/>
      <c r="CW109" s="32"/>
      <c r="CX109" s="32">
        <v>30</v>
      </c>
      <c r="CY109" s="50">
        <f>DJ48</f>
        <v>5550</v>
      </c>
      <c r="DA109" s="109">
        <f t="shared" si="4"/>
        <v>6.2200956937799042E-2</v>
      </c>
      <c r="DB109" s="116">
        <f t="shared" si="5"/>
        <v>325</v>
      </c>
      <c r="DC109" s="32"/>
      <c r="DQ109" s="34"/>
      <c r="DT109" s="32"/>
      <c r="DU109" s="32">
        <v>18</v>
      </c>
      <c r="DV109" s="50">
        <f>EB49</f>
        <v>3240</v>
      </c>
      <c r="DW109" s="32"/>
      <c r="DX109" s="109">
        <f t="shared" si="12"/>
        <v>4.5161290322580643E-2</v>
      </c>
      <c r="DY109" s="32">
        <f t="shared" si="13"/>
        <v>140</v>
      </c>
      <c r="DZ109" s="32"/>
      <c r="EH109" s="62"/>
      <c r="EL109" s="62"/>
      <c r="EY109" s="34"/>
      <c r="FC109" s="32"/>
      <c r="FD109" s="32">
        <v>20</v>
      </c>
      <c r="FE109" s="50">
        <f>FJ51</f>
        <v>3460</v>
      </c>
      <c r="FF109" s="32"/>
      <c r="FG109" s="109">
        <f t="shared" si="8"/>
        <v>1.0218978102189781E-2</v>
      </c>
      <c r="FH109" s="32">
        <f t="shared" si="9"/>
        <v>35</v>
      </c>
      <c r="FI109" s="32"/>
      <c r="FW109" s="34"/>
      <c r="GA109" s="32"/>
      <c r="GB109" s="32">
        <v>20</v>
      </c>
      <c r="GC109" s="50">
        <f>GH51</f>
        <v>3460</v>
      </c>
      <c r="GD109" s="32"/>
      <c r="GE109" s="109">
        <f t="shared" si="10"/>
        <v>1.0218978102189781E-2</v>
      </c>
      <c r="GF109" s="32">
        <f t="shared" si="11"/>
        <v>35</v>
      </c>
      <c r="GG109" s="32"/>
      <c r="GU109" s="34"/>
      <c r="GY109" s="32"/>
      <c r="GZ109" s="32">
        <v>16</v>
      </c>
      <c r="HA109" s="50">
        <f>GC105</f>
        <v>2775</v>
      </c>
      <c r="HB109" s="32"/>
      <c r="HC109" s="108" t="s">
        <v>31</v>
      </c>
      <c r="HD109" s="108" t="s">
        <v>22</v>
      </c>
      <c r="HE109" s="32"/>
    </row>
    <row r="110" spans="64:225" ht="18" customHeight="1" x14ac:dyDescent="0.2">
      <c r="CE110" s="32"/>
      <c r="CF110" s="32">
        <v>6</v>
      </c>
      <c r="CG110" s="50">
        <f>CH37</f>
        <v>975</v>
      </c>
      <c r="CI110" s="109">
        <f t="shared" si="6"/>
        <v>0.23417721518987342</v>
      </c>
      <c r="CJ110" s="32">
        <f t="shared" si="7"/>
        <v>185</v>
      </c>
      <c r="CK110" s="32"/>
      <c r="CT110" s="34"/>
      <c r="DQ110" s="34"/>
      <c r="DT110" s="32"/>
      <c r="DU110" s="32">
        <v>19</v>
      </c>
      <c r="DV110" s="50">
        <f>EB51</f>
        <v>3460</v>
      </c>
      <c r="DW110" s="32"/>
      <c r="DX110" s="109">
        <f t="shared" si="12"/>
        <v>6.7901234567901231E-2</v>
      </c>
      <c r="DY110" s="32">
        <f t="shared" si="13"/>
        <v>220</v>
      </c>
      <c r="DZ110" s="32"/>
      <c r="EI110" s="62"/>
      <c r="EJ110" s="62"/>
      <c r="EK110" s="62"/>
      <c r="EL110" s="62"/>
      <c r="EY110" s="34"/>
      <c r="FC110" s="32"/>
      <c r="FD110" s="32">
        <v>21</v>
      </c>
      <c r="FE110" s="50">
        <f>FJ56</f>
        <v>3565</v>
      </c>
      <c r="FG110" s="109">
        <f t="shared" si="8"/>
        <v>3.0346820809248554E-2</v>
      </c>
      <c r="FH110" s="32">
        <f t="shared" si="9"/>
        <v>105</v>
      </c>
      <c r="FW110" s="34"/>
      <c r="GA110" s="32"/>
      <c r="GB110" s="32">
        <v>21</v>
      </c>
      <c r="GC110" s="50">
        <f>GH56</f>
        <v>3565</v>
      </c>
      <c r="GE110" s="109">
        <f t="shared" si="10"/>
        <v>3.0346820809248554E-2</v>
      </c>
      <c r="GF110" s="32">
        <f t="shared" si="11"/>
        <v>105</v>
      </c>
      <c r="GU110" s="34"/>
      <c r="GY110" s="32"/>
      <c r="GZ110" s="32">
        <v>17</v>
      </c>
      <c r="HA110" s="50">
        <f>HE49</f>
        <v>3100</v>
      </c>
      <c r="HB110" s="32"/>
      <c r="HC110" s="109">
        <f t="shared" ref="HC110:HC123" si="14">($HA110-$HA109)/$HA109</f>
        <v>0.11711711711711711</v>
      </c>
      <c r="HD110" s="32">
        <f t="shared" ref="HD110:HD123" si="15">$HA110-$HA109</f>
        <v>325</v>
      </c>
      <c r="HE110" s="32"/>
    </row>
    <row r="111" spans="64:225" ht="18" customHeight="1" x14ac:dyDescent="0.2">
      <c r="BN111" s="40"/>
      <c r="BO111" s="10"/>
      <c r="BP111" s="12"/>
      <c r="BQ111" s="40"/>
      <c r="BR111" s="7"/>
      <c r="BS111" s="8"/>
      <c r="BT111" s="9"/>
      <c r="BU111" s="40"/>
      <c r="BV111" s="40"/>
      <c r="BW111" s="40"/>
      <c r="BX111" s="7"/>
      <c r="BY111" s="8"/>
      <c r="BZ111" s="9"/>
      <c r="CA111" s="40"/>
      <c r="CE111" s="32"/>
      <c r="CF111" s="32">
        <v>7</v>
      </c>
      <c r="CG111" s="50">
        <f>CG38</f>
        <v>1010</v>
      </c>
      <c r="CH111" s="32"/>
      <c r="CI111" s="109">
        <f t="shared" si="6"/>
        <v>3.5897435897435895E-2</v>
      </c>
      <c r="CJ111" s="32">
        <f t="shared" si="7"/>
        <v>35</v>
      </c>
      <c r="CK111" s="32"/>
      <c r="CT111" s="34"/>
      <c r="CX111" s="32">
        <f>CX109</f>
        <v>30</v>
      </c>
      <c r="CY111" s="32" t="s">
        <v>45</v>
      </c>
      <c r="DQ111" s="34"/>
      <c r="DT111" s="32"/>
      <c r="DU111" s="32">
        <v>20</v>
      </c>
      <c r="DV111" s="50">
        <f>EB56</f>
        <v>3565</v>
      </c>
      <c r="DW111" s="32"/>
      <c r="DX111" s="109">
        <f t="shared" si="12"/>
        <v>3.0346820809248554E-2</v>
      </c>
      <c r="DY111" s="32">
        <f t="shared" si="13"/>
        <v>105</v>
      </c>
      <c r="DZ111" s="32"/>
      <c r="EY111" s="34"/>
      <c r="FC111" s="32"/>
      <c r="FD111" s="32">
        <v>22</v>
      </c>
      <c r="FE111" s="50">
        <f>FJ55</f>
        <v>3785</v>
      </c>
      <c r="FF111" s="32"/>
      <c r="FG111" s="109">
        <f t="shared" si="8"/>
        <v>6.1711079943899017E-2</v>
      </c>
      <c r="FH111" s="32">
        <f t="shared" si="9"/>
        <v>220</v>
      </c>
      <c r="FI111" s="32"/>
      <c r="FW111" s="34"/>
      <c r="GA111" s="32"/>
      <c r="GB111" s="32">
        <v>22</v>
      </c>
      <c r="GC111" s="50">
        <f>GH55</f>
        <v>3785</v>
      </c>
      <c r="GD111" s="32"/>
      <c r="GE111" s="109">
        <f t="shared" si="10"/>
        <v>6.1711079943899017E-2</v>
      </c>
      <c r="GF111" s="32">
        <f t="shared" si="11"/>
        <v>220</v>
      </c>
      <c r="GG111" s="32"/>
      <c r="GU111" s="34"/>
      <c r="GY111" s="32"/>
      <c r="GZ111" s="32">
        <v>18</v>
      </c>
      <c r="HA111" s="50">
        <f>HF49</f>
        <v>3240</v>
      </c>
      <c r="HB111" s="32"/>
      <c r="HC111" s="109">
        <f t="shared" si="14"/>
        <v>4.5161290322580643E-2</v>
      </c>
      <c r="HD111" s="32">
        <f t="shared" si="15"/>
        <v>140</v>
      </c>
      <c r="HE111" s="32"/>
    </row>
    <row r="112" spans="64:225" ht="18" customHeight="1" x14ac:dyDescent="0.2">
      <c r="BN112" s="43"/>
      <c r="BO112" s="19"/>
      <c r="BP112" s="21"/>
      <c r="BQ112" s="43"/>
      <c r="BR112" s="16"/>
      <c r="BS112" s="17"/>
      <c r="BT112" s="18"/>
      <c r="BU112" s="43"/>
      <c r="BV112" s="43"/>
      <c r="BW112" s="43"/>
      <c r="BX112" s="16"/>
      <c r="BY112" s="17"/>
      <c r="BZ112" s="18"/>
      <c r="CA112" s="43"/>
      <c r="CE112" s="32"/>
      <c r="CF112" s="32">
        <v>8</v>
      </c>
      <c r="CG112" s="50">
        <f>CH40</f>
        <v>1115</v>
      </c>
      <c r="CI112" s="109">
        <f t="shared" si="6"/>
        <v>0.10396039603960396</v>
      </c>
      <c r="CJ112" s="32">
        <f t="shared" si="7"/>
        <v>105</v>
      </c>
      <c r="CK112" s="32"/>
      <c r="CT112" s="34"/>
      <c r="DU112" s="32">
        <v>21</v>
      </c>
      <c r="DV112" s="50">
        <f>EC49</f>
        <v>3750</v>
      </c>
      <c r="DX112" s="109">
        <f t="shared" si="12"/>
        <v>5.1893408134642355E-2</v>
      </c>
      <c r="DY112" s="32">
        <f t="shared" si="13"/>
        <v>185</v>
      </c>
      <c r="DZ112" s="32"/>
      <c r="EY112" s="34"/>
      <c r="FC112" s="32"/>
      <c r="FD112" s="32">
        <v>23</v>
      </c>
      <c r="FE112" s="50">
        <f>FL48</f>
        <v>3890</v>
      </c>
      <c r="FG112" s="109">
        <f t="shared" si="8"/>
        <v>2.7741083223249668E-2</v>
      </c>
      <c r="FH112" s="32">
        <f t="shared" si="9"/>
        <v>105</v>
      </c>
      <c r="FI112" s="32"/>
      <c r="FW112" s="34"/>
      <c r="GA112" s="32"/>
      <c r="GB112" s="32">
        <v>23</v>
      </c>
      <c r="GC112" s="50">
        <f>GJ48</f>
        <v>3890</v>
      </c>
      <c r="GE112" s="109">
        <f t="shared" si="10"/>
        <v>2.7741083223249668E-2</v>
      </c>
      <c r="GF112" s="32">
        <f t="shared" si="11"/>
        <v>105</v>
      </c>
      <c r="GG112" s="32"/>
      <c r="GU112" s="34"/>
      <c r="GY112" s="32"/>
      <c r="GZ112" s="32">
        <v>19</v>
      </c>
      <c r="HA112" s="50">
        <f>HG49</f>
        <v>3425</v>
      </c>
      <c r="HB112" s="32"/>
      <c r="HC112" s="109">
        <f t="shared" si="14"/>
        <v>5.7098765432098762E-2</v>
      </c>
      <c r="HD112" s="32">
        <f t="shared" si="15"/>
        <v>185</v>
      </c>
    </row>
    <row r="113" spans="66:220" ht="18" customHeight="1" x14ac:dyDescent="0.2">
      <c r="BN113" s="44"/>
      <c r="BO113" s="28"/>
      <c r="BP113" s="30"/>
      <c r="BQ113" s="44"/>
      <c r="BR113" s="25"/>
      <c r="BS113" s="26"/>
      <c r="BT113" s="27"/>
      <c r="BU113" s="44"/>
      <c r="BV113" s="44"/>
      <c r="BW113" s="44"/>
      <c r="BX113" s="25"/>
      <c r="BY113" s="26"/>
      <c r="BZ113" s="27"/>
      <c r="CA113" s="44"/>
      <c r="CE113" s="32"/>
      <c r="CF113" s="32">
        <v>9</v>
      </c>
      <c r="CG113" s="50">
        <f>CH38</f>
        <v>1335</v>
      </c>
      <c r="CH113" s="32"/>
      <c r="CI113" s="109">
        <f t="shared" si="6"/>
        <v>0.19730941704035873</v>
      </c>
      <c r="CJ113" s="32">
        <f t="shared" si="7"/>
        <v>220</v>
      </c>
      <c r="CK113" s="32"/>
      <c r="DT113" s="32"/>
      <c r="DU113" s="32">
        <v>22</v>
      </c>
      <c r="DV113" s="50">
        <f>EB55</f>
        <v>3785</v>
      </c>
      <c r="DW113" s="32"/>
      <c r="DX113" s="109">
        <f t="shared" si="12"/>
        <v>9.3333333333333341E-3</v>
      </c>
      <c r="DY113" s="32">
        <f t="shared" si="13"/>
        <v>35</v>
      </c>
      <c r="DZ113" s="32"/>
      <c r="EY113" s="34"/>
      <c r="FD113" s="32">
        <v>24</v>
      </c>
      <c r="FE113" s="50">
        <f>FJ52</f>
        <v>4110</v>
      </c>
      <c r="FF113" s="32"/>
      <c r="FG113" s="109">
        <f t="shared" si="8"/>
        <v>5.6555269922879174E-2</v>
      </c>
      <c r="FH113" s="32">
        <f t="shared" si="9"/>
        <v>220</v>
      </c>
      <c r="FI113" s="32"/>
      <c r="FW113" s="34"/>
      <c r="GB113" s="32">
        <v>24</v>
      </c>
      <c r="GC113" s="50">
        <f>GH52</f>
        <v>4110</v>
      </c>
      <c r="GD113" s="32"/>
      <c r="GE113" s="109">
        <f t="shared" si="10"/>
        <v>5.6555269922879174E-2</v>
      </c>
      <c r="GF113" s="32">
        <f t="shared" si="11"/>
        <v>220</v>
      </c>
      <c r="GG113" s="32"/>
      <c r="GU113" s="34"/>
      <c r="GY113" s="32"/>
      <c r="GZ113" s="32">
        <v>20</v>
      </c>
      <c r="HA113" s="50">
        <f>HF51</f>
        <v>3460</v>
      </c>
      <c r="HB113" s="32"/>
      <c r="HC113" s="109">
        <f t="shared" si="14"/>
        <v>1.0218978102189781E-2</v>
      </c>
      <c r="HD113" s="32">
        <f t="shared" si="15"/>
        <v>35</v>
      </c>
      <c r="HE113" s="32"/>
    </row>
    <row r="114" spans="66:220" ht="18" customHeight="1" x14ac:dyDescent="0.2">
      <c r="CE114" s="32"/>
      <c r="CF114" s="32">
        <v>10</v>
      </c>
      <c r="CG114" s="50">
        <f>CH39</f>
        <v>1475</v>
      </c>
      <c r="CH114" s="32"/>
      <c r="CI114" s="109">
        <f t="shared" si="6"/>
        <v>0.10486891385767791</v>
      </c>
      <c r="CJ114" s="32">
        <f t="shared" si="7"/>
        <v>140</v>
      </c>
      <c r="CK114" s="32"/>
      <c r="DT114" s="32"/>
      <c r="DU114" s="32">
        <v>23</v>
      </c>
      <c r="DV114" s="50">
        <f>ED48</f>
        <v>3890</v>
      </c>
      <c r="DX114" s="109">
        <f t="shared" si="12"/>
        <v>2.7741083223249668E-2</v>
      </c>
      <c r="DY114" s="32">
        <f t="shared" si="13"/>
        <v>105</v>
      </c>
      <c r="DZ114" s="32"/>
      <c r="EY114" s="34"/>
      <c r="FB114" s="32"/>
      <c r="FC114" s="32"/>
      <c r="FD114" s="32">
        <v>25</v>
      </c>
      <c r="FE114" s="127">
        <f>FM49</f>
        <v>4435</v>
      </c>
      <c r="FF114" s="83"/>
      <c r="FG114" s="128">
        <f t="shared" si="8"/>
        <v>7.9075425790754258E-2</v>
      </c>
      <c r="FH114" s="83">
        <f t="shared" si="9"/>
        <v>325</v>
      </c>
      <c r="FI114" s="83"/>
      <c r="FJ114" s="129" t="s">
        <v>41</v>
      </c>
      <c r="FK114" s="82"/>
      <c r="FL114" s="82"/>
      <c r="FM114" s="82"/>
      <c r="FN114" s="82"/>
      <c r="FO114" s="82"/>
      <c r="FW114" s="34"/>
      <c r="FZ114" s="32"/>
      <c r="GA114" s="32"/>
      <c r="GB114" s="32">
        <v>25</v>
      </c>
      <c r="GC114" s="127">
        <f>GK49</f>
        <v>4435</v>
      </c>
      <c r="GD114" s="83"/>
      <c r="GE114" s="128">
        <f t="shared" si="10"/>
        <v>7.9075425790754258E-2</v>
      </c>
      <c r="GF114" s="83">
        <f t="shared" si="11"/>
        <v>325</v>
      </c>
      <c r="GG114" s="83"/>
      <c r="GH114" s="129" t="s">
        <v>41</v>
      </c>
      <c r="GI114" s="82"/>
      <c r="GJ114" s="82"/>
      <c r="GK114" s="82"/>
      <c r="GL114" s="82"/>
      <c r="GM114" s="82"/>
      <c r="GU114" s="34"/>
      <c r="GX114" s="32"/>
      <c r="GY114" s="32"/>
      <c r="GZ114" s="32">
        <v>21</v>
      </c>
      <c r="HA114" s="50">
        <f>HF56</f>
        <v>18775</v>
      </c>
      <c r="HC114" s="109">
        <f t="shared" si="14"/>
        <v>4.4263005780346818</v>
      </c>
      <c r="HD114" s="32">
        <f t="shared" si="15"/>
        <v>15315</v>
      </c>
    </row>
    <row r="115" spans="66:220" ht="18" customHeight="1" x14ac:dyDescent="0.2">
      <c r="BN115" s="47">
        <v>325</v>
      </c>
      <c r="BO115" s="169">
        <v>465</v>
      </c>
      <c r="BP115" s="169"/>
      <c r="BQ115" s="47">
        <v>325</v>
      </c>
      <c r="BR115" s="169">
        <v>685</v>
      </c>
      <c r="BS115" s="169"/>
      <c r="BT115" s="169"/>
      <c r="BU115" s="47">
        <v>325</v>
      </c>
      <c r="BV115" s="47">
        <v>325</v>
      </c>
      <c r="BW115" s="47">
        <v>325</v>
      </c>
      <c r="BX115" s="169">
        <v>685</v>
      </c>
      <c r="BY115" s="169"/>
      <c r="BZ115" s="169"/>
      <c r="CA115" s="47">
        <v>325</v>
      </c>
      <c r="CF115" s="32">
        <v>11</v>
      </c>
      <c r="CG115" s="50">
        <f>CI42</f>
        <v>1660</v>
      </c>
      <c r="CH115" s="32"/>
      <c r="CI115" s="109">
        <f t="shared" si="6"/>
        <v>0.12542372881355932</v>
      </c>
      <c r="CJ115" s="32">
        <f t="shared" si="7"/>
        <v>185</v>
      </c>
      <c r="CK115" s="32"/>
      <c r="CW115" s="32"/>
      <c r="DT115" s="32"/>
      <c r="DU115" s="32">
        <v>24</v>
      </c>
      <c r="DV115" s="50">
        <f>EB52</f>
        <v>4110</v>
      </c>
      <c r="DW115" s="32"/>
      <c r="DX115" s="109">
        <f t="shared" si="12"/>
        <v>5.6555269922879174E-2</v>
      </c>
      <c r="DY115" s="32">
        <f t="shared" si="13"/>
        <v>220</v>
      </c>
      <c r="DZ115" s="32"/>
      <c r="EY115" s="34"/>
      <c r="FC115" s="32"/>
      <c r="FD115" s="32">
        <v>26</v>
      </c>
      <c r="FE115" s="50">
        <f>FM48</f>
        <v>4575</v>
      </c>
      <c r="FF115" s="32"/>
      <c r="FG115" s="109">
        <f t="shared" si="8"/>
        <v>3.1567080045095827E-2</v>
      </c>
      <c r="FH115" s="32">
        <f t="shared" si="9"/>
        <v>140</v>
      </c>
      <c r="FW115" s="34"/>
      <c r="GA115" s="32"/>
      <c r="GB115" s="32">
        <v>26</v>
      </c>
      <c r="GC115" s="50">
        <f>GK48</f>
        <v>4575</v>
      </c>
      <c r="GD115" s="32"/>
      <c r="GE115" s="109">
        <f t="shared" si="10"/>
        <v>3.1567080045095827E-2</v>
      </c>
      <c r="GF115" s="32">
        <f t="shared" si="11"/>
        <v>140</v>
      </c>
      <c r="GU115" s="34"/>
      <c r="GY115" s="32"/>
      <c r="GZ115" s="32">
        <v>22</v>
      </c>
      <c r="HA115" s="50">
        <f>HF55</f>
        <v>35285</v>
      </c>
      <c r="HB115" s="32"/>
      <c r="HC115" s="109">
        <f t="shared" si="14"/>
        <v>0.87936085219707061</v>
      </c>
      <c r="HD115" s="32">
        <f t="shared" si="15"/>
        <v>16510</v>
      </c>
      <c r="HE115" s="32"/>
    </row>
    <row r="116" spans="66:220" ht="18" customHeight="1" x14ac:dyDescent="0.2">
      <c r="BT116" s="32"/>
      <c r="BU116" s="3"/>
      <c r="BV116" s="3"/>
      <c r="CE116" s="32"/>
      <c r="CF116" s="32">
        <v>12</v>
      </c>
      <c r="CG116" s="50">
        <f>CI40</f>
        <v>1800</v>
      </c>
      <c r="CH116" s="32"/>
      <c r="CI116" s="109">
        <f t="shared" si="6"/>
        <v>8.4337349397590355E-2</v>
      </c>
      <c r="CJ116" s="32">
        <f t="shared" si="7"/>
        <v>140</v>
      </c>
      <c r="DU116" s="32">
        <v>25</v>
      </c>
      <c r="DV116" s="50">
        <f>EE49</f>
        <v>4435</v>
      </c>
      <c r="DW116" s="32"/>
      <c r="DX116" s="109">
        <f t="shared" si="12"/>
        <v>7.9075425790754258E-2</v>
      </c>
      <c r="DY116" s="116">
        <f t="shared" si="13"/>
        <v>325</v>
      </c>
      <c r="DZ116" s="32"/>
      <c r="EY116" s="34"/>
      <c r="FD116" s="32">
        <v>27</v>
      </c>
      <c r="FE116" s="50">
        <f>FN49</f>
        <v>4760</v>
      </c>
      <c r="FF116" s="32"/>
      <c r="FG116" s="109">
        <f t="shared" si="8"/>
        <v>4.0437158469945354E-2</v>
      </c>
      <c r="FH116" s="32">
        <f t="shared" si="9"/>
        <v>185</v>
      </c>
      <c r="FI116" s="32"/>
      <c r="FW116" s="34"/>
      <c r="GB116" s="32">
        <v>27</v>
      </c>
      <c r="GC116" s="50">
        <f>GL49</f>
        <v>4760</v>
      </c>
      <c r="GD116" s="32"/>
      <c r="GE116" s="109">
        <f t="shared" si="10"/>
        <v>4.0437158469945354E-2</v>
      </c>
      <c r="GF116" s="32">
        <f t="shared" si="11"/>
        <v>185</v>
      </c>
      <c r="GG116" s="32"/>
      <c r="GU116" s="34"/>
      <c r="GY116" s="32"/>
      <c r="GZ116" s="32">
        <v>23</v>
      </c>
      <c r="HA116" s="50">
        <f>HH48</f>
        <v>3890</v>
      </c>
      <c r="HC116" s="109">
        <f t="shared" si="14"/>
        <v>-0.88975485333711213</v>
      </c>
      <c r="HD116" s="32">
        <f t="shared" si="15"/>
        <v>-31395</v>
      </c>
      <c r="HE116" s="32"/>
    </row>
    <row r="117" spans="66:220" ht="18" customHeight="1" x14ac:dyDescent="0.2">
      <c r="BN117" s="50">
        <f>SUM(BN99:BW99)</f>
        <v>3785</v>
      </c>
      <c r="BO117" s="51" t="s">
        <v>22</v>
      </c>
      <c r="BP117" s="32"/>
      <c r="BQ117" s="32"/>
      <c r="BR117" s="32"/>
      <c r="BS117" s="32"/>
      <c r="BT117" s="32"/>
      <c r="BU117" s="3"/>
      <c r="BV117" s="3"/>
      <c r="CE117" s="32"/>
      <c r="CF117" s="32">
        <v>13</v>
      </c>
      <c r="CG117" s="50">
        <f>CJ39</f>
        <v>1985</v>
      </c>
      <c r="CH117" s="32"/>
      <c r="CI117" s="109">
        <f t="shared" si="6"/>
        <v>0.10277777777777777</v>
      </c>
      <c r="CJ117" s="32">
        <f t="shared" si="7"/>
        <v>185</v>
      </c>
      <c r="CK117" s="32"/>
      <c r="DT117" s="32"/>
      <c r="DU117" s="32">
        <v>26</v>
      </c>
      <c r="DV117" s="50">
        <f>EE48</f>
        <v>4575</v>
      </c>
      <c r="DW117" s="32"/>
      <c r="DX117" s="109">
        <f t="shared" si="12"/>
        <v>3.1567080045095827E-2</v>
      </c>
      <c r="DY117" s="32">
        <f t="shared" si="13"/>
        <v>140</v>
      </c>
      <c r="FD117" s="32">
        <v>28</v>
      </c>
      <c r="FE117" s="50">
        <f>FN48</f>
        <v>4900</v>
      </c>
      <c r="FF117" s="32"/>
      <c r="FG117" s="109">
        <f t="shared" si="8"/>
        <v>2.9411764705882353E-2</v>
      </c>
      <c r="FH117" s="32">
        <f t="shared" si="9"/>
        <v>140</v>
      </c>
      <c r="FI117" s="32"/>
      <c r="FW117" s="34"/>
      <c r="GB117" s="32">
        <v>28</v>
      </c>
      <c r="GC117" s="50">
        <f>GL48</f>
        <v>4900</v>
      </c>
      <c r="GD117" s="32"/>
      <c r="GE117" s="109">
        <f t="shared" si="10"/>
        <v>2.9411764705882353E-2</v>
      </c>
      <c r="GF117" s="32">
        <f t="shared" si="11"/>
        <v>140</v>
      </c>
      <c r="GG117" s="32"/>
      <c r="GU117" s="34"/>
      <c r="GZ117" s="32">
        <v>24</v>
      </c>
      <c r="HA117" s="130">
        <f>HF52</f>
        <v>4110</v>
      </c>
      <c r="HB117" s="136"/>
      <c r="HC117" s="131">
        <f t="shared" si="14"/>
        <v>5.6555269922879174E-2</v>
      </c>
      <c r="HD117" s="136">
        <f t="shared" si="15"/>
        <v>220</v>
      </c>
      <c r="HE117" s="136"/>
      <c r="HF117" s="132" t="s">
        <v>42</v>
      </c>
      <c r="HG117" s="86"/>
      <c r="HH117" s="86"/>
      <c r="HI117" s="86"/>
      <c r="HJ117" s="86"/>
      <c r="HK117" s="86"/>
      <c r="HL117" s="86"/>
    </row>
    <row r="118" spans="66:220" ht="18" customHeight="1" x14ac:dyDescent="0.2">
      <c r="BN118" s="32"/>
      <c r="BO118" s="32"/>
      <c r="BP118" s="32"/>
      <c r="BQ118" s="32"/>
      <c r="BR118" s="32"/>
      <c r="BS118" s="32"/>
      <c r="BT118" s="32"/>
      <c r="BU118" s="3"/>
      <c r="BV118" s="3"/>
      <c r="CF118" s="32">
        <v>14</v>
      </c>
      <c r="CG118" s="50">
        <f>CJ37</f>
        <v>2125</v>
      </c>
      <c r="CH118" s="32"/>
      <c r="CI118" s="109">
        <f t="shared" si="6"/>
        <v>7.0528967254408062E-2</v>
      </c>
      <c r="CJ118" s="32">
        <f t="shared" si="7"/>
        <v>140</v>
      </c>
      <c r="CK118" s="32"/>
      <c r="DT118" s="32"/>
      <c r="DU118" s="32">
        <v>27</v>
      </c>
      <c r="DV118" s="50">
        <f>EF49</f>
        <v>4760</v>
      </c>
      <c r="DW118" s="32"/>
      <c r="DX118" s="109">
        <f t="shared" si="12"/>
        <v>4.0437158469945354E-2</v>
      </c>
      <c r="DY118" s="32">
        <f t="shared" si="13"/>
        <v>185</v>
      </c>
      <c r="DZ118" s="32"/>
      <c r="FC118" s="32"/>
      <c r="FD118" s="32">
        <v>29</v>
      </c>
      <c r="FE118" s="50">
        <f>FO48</f>
        <v>5225</v>
      </c>
      <c r="FF118" s="32"/>
      <c r="FG118" s="109">
        <f t="shared" si="8"/>
        <v>6.6326530612244902E-2</v>
      </c>
      <c r="FH118" s="116">
        <f t="shared" si="9"/>
        <v>325</v>
      </c>
      <c r="FI118" s="32"/>
      <c r="FW118" s="34"/>
      <c r="GA118" s="32"/>
      <c r="GB118" s="32">
        <v>29</v>
      </c>
      <c r="GC118" s="50">
        <f>GM48</f>
        <v>5225</v>
      </c>
      <c r="GD118" s="32"/>
      <c r="GE118" s="109">
        <f t="shared" si="10"/>
        <v>6.6326530612244902E-2</v>
      </c>
      <c r="GF118" s="116">
        <f t="shared" si="11"/>
        <v>325</v>
      </c>
      <c r="GG118" s="32"/>
      <c r="GU118" s="34"/>
      <c r="GY118" s="32"/>
      <c r="GZ118" s="32">
        <v>25</v>
      </c>
      <c r="HA118" s="50">
        <f>HI49</f>
        <v>4435</v>
      </c>
      <c r="HB118" s="32"/>
      <c r="HC118" s="109">
        <f t="shared" si="14"/>
        <v>7.9075425790754258E-2</v>
      </c>
      <c r="HD118" s="32">
        <f t="shared" si="15"/>
        <v>325</v>
      </c>
    </row>
    <row r="119" spans="66:220" ht="18" customHeight="1" x14ac:dyDescent="0.2">
      <c r="BN119" s="32" t="s">
        <v>46</v>
      </c>
      <c r="BO119" s="32"/>
      <c r="BP119" s="32"/>
      <c r="BQ119" s="32"/>
      <c r="BR119" s="32"/>
      <c r="BS119" s="32"/>
      <c r="BT119" s="32"/>
      <c r="BU119" s="3"/>
      <c r="BV119" s="3"/>
      <c r="CF119" s="32">
        <v>15</v>
      </c>
      <c r="CG119" s="50">
        <f>CK37</f>
        <v>2450</v>
      </c>
      <c r="CI119" s="109">
        <f t="shared" si="6"/>
        <v>0.15294117647058825</v>
      </c>
      <c r="CJ119" s="116">
        <f t="shared" si="7"/>
        <v>325</v>
      </c>
      <c r="CK119" s="32"/>
      <c r="DU119" s="32">
        <v>28</v>
      </c>
      <c r="DV119" s="50">
        <f>EF48</f>
        <v>4900</v>
      </c>
      <c r="DW119" s="32"/>
      <c r="DX119" s="109">
        <f t="shared" si="12"/>
        <v>2.9411764705882353E-2</v>
      </c>
      <c r="DY119" s="32">
        <f t="shared" si="13"/>
        <v>140</v>
      </c>
      <c r="DZ119" s="32"/>
      <c r="FD119" s="32">
        <v>30</v>
      </c>
      <c r="FE119" s="50">
        <f>FP48</f>
        <v>5550</v>
      </c>
      <c r="FG119" s="109">
        <f t="shared" si="8"/>
        <v>6.2200956937799042E-2</v>
      </c>
      <c r="FH119" s="116">
        <f t="shared" si="9"/>
        <v>325</v>
      </c>
      <c r="FI119" s="32"/>
      <c r="FW119" s="34"/>
      <c r="GB119" s="32">
        <v>30</v>
      </c>
      <c r="GC119" s="50">
        <f>GN48</f>
        <v>5550</v>
      </c>
      <c r="GE119" s="109">
        <f t="shared" si="10"/>
        <v>6.2200956937799042E-2</v>
      </c>
      <c r="GF119" s="116">
        <f t="shared" si="11"/>
        <v>325</v>
      </c>
      <c r="GG119" s="32"/>
      <c r="GU119" s="34"/>
      <c r="GY119" s="32"/>
      <c r="GZ119" s="32">
        <v>26</v>
      </c>
      <c r="HA119" s="50">
        <f>HI48</f>
        <v>4575</v>
      </c>
      <c r="HB119" s="32"/>
      <c r="HC119" s="109">
        <f t="shared" si="14"/>
        <v>3.1567080045095827E-2</v>
      </c>
      <c r="HD119" s="32">
        <f t="shared" si="15"/>
        <v>140</v>
      </c>
    </row>
    <row r="120" spans="66:220" ht="18" customHeight="1" x14ac:dyDescent="0.2">
      <c r="BN120" s="32"/>
      <c r="BO120" s="32"/>
      <c r="BP120" s="32"/>
      <c r="BQ120" s="32"/>
      <c r="BR120" s="32"/>
      <c r="BS120" s="32"/>
      <c r="BT120" s="32"/>
      <c r="BU120" s="3"/>
      <c r="BV120" s="3"/>
      <c r="CE120" s="32"/>
      <c r="CF120" s="32">
        <v>16</v>
      </c>
      <c r="CG120" s="50">
        <f>CL37</f>
        <v>2775</v>
      </c>
      <c r="CH120" s="32"/>
      <c r="CI120" s="109">
        <f t="shared" si="6"/>
        <v>0.1326530612244898</v>
      </c>
      <c r="CJ120" s="116">
        <f t="shared" si="7"/>
        <v>325</v>
      </c>
      <c r="CK120" s="32"/>
      <c r="DU120" s="32">
        <v>29</v>
      </c>
      <c r="DV120" s="50">
        <f>EG48</f>
        <v>5225</v>
      </c>
      <c r="DW120" s="32"/>
      <c r="DX120" s="109">
        <f t="shared" si="12"/>
        <v>6.6326530612244902E-2</v>
      </c>
      <c r="DY120" s="116">
        <f t="shared" si="13"/>
        <v>325</v>
      </c>
      <c r="DZ120" s="32"/>
      <c r="FW120" s="34"/>
      <c r="GU120" s="34"/>
      <c r="GZ120" s="32">
        <v>27</v>
      </c>
      <c r="HA120" s="50">
        <f>HJ49</f>
        <v>4760</v>
      </c>
      <c r="HB120" s="32"/>
      <c r="HC120" s="109">
        <f t="shared" si="14"/>
        <v>4.0437158469945354E-2</v>
      </c>
      <c r="HD120" s="32">
        <f t="shared" si="15"/>
        <v>185</v>
      </c>
      <c r="HE120" s="32"/>
    </row>
    <row r="121" spans="66:220" ht="18" customHeight="1" x14ac:dyDescent="0.2">
      <c r="BN121" s="32" t="s">
        <v>29</v>
      </c>
      <c r="BO121" s="32"/>
      <c r="BP121" s="32"/>
      <c r="BQ121" s="32"/>
      <c r="BR121" s="32"/>
      <c r="BS121" s="32"/>
      <c r="BT121" s="32"/>
      <c r="CK121" s="32"/>
      <c r="CN121" s="32"/>
      <c r="DT121" s="32"/>
      <c r="DU121" s="32">
        <v>30</v>
      </c>
      <c r="DV121" s="50">
        <f>EH48</f>
        <v>5550</v>
      </c>
      <c r="DX121" s="109">
        <f t="shared" si="12"/>
        <v>6.2200956937799042E-2</v>
      </c>
      <c r="DY121" s="116">
        <f t="shared" si="13"/>
        <v>325</v>
      </c>
      <c r="DZ121" s="32"/>
      <c r="FD121" s="32">
        <f>FD119</f>
        <v>30</v>
      </c>
      <c r="FE121" s="32" t="s">
        <v>45</v>
      </c>
      <c r="FW121" s="34"/>
      <c r="GB121" s="32">
        <f>GB119</f>
        <v>30</v>
      </c>
      <c r="GC121" s="32" t="s">
        <v>45</v>
      </c>
      <c r="GU121" s="34"/>
      <c r="GZ121" s="32">
        <v>28</v>
      </c>
      <c r="HA121" s="50">
        <f>HJ48</f>
        <v>4900</v>
      </c>
      <c r="HB121" s="32"/>
      <c r="HC121" s="109">
        <f t="shared" si="14"/>
        <v>2.9411764705882353E-2</v>
      </c>
      <c r="HD121" s="32">
        <f t="shared" si="15"/>
        <v>140</v>
      </c>
      <c r="HE121" s="32"/>
    </row>
    <row r="122" spans="66:220" ht="18" customHeight="1" x14ac:dyDescent="0.2">
      <c r="BN122" s="32"/>
      <c r="BO122" s="32"/>
      <c r="BP122" s="32"/>
      <c r="BQ122" s="32"/>
      <c r="BR122" s="32"/>
      <c r="BS122" s="32"/>
      <c r="BT122" s="32"/>
      <c r="BY122" s="105"/>
      <c r="BZ122" s="105"/>
      <c r="CA122" s="105"/>
      <c r="CF122" s="32">
        <f>CF120</f>
        <v>16</v>
      </c>
      <c r="CG122" s="32" t="s">
        <v>47</v>
      </c>
      <c r="DT122" s="32"/>
      <c r="DU122" s="32">
        <v>31</v>
      </c>
      <c r="DV122" s="50">
        <f>EI48</f>
        <v>5875</v>
      </c>
      <c r="DX122" s="109">
        <f t="shared" si="12"/>
        <v>5.8558558558558557E-2</v>
      </c>
      <c r="DY122" s="116">
        <f t="shared" si="13"/>
        <v>325</v>
      </c>
      <c r="FW122" s="34"/>
      <c r="GU122" s="34"/>
      <c r="GY122" s="32"/>
      <c r="GZ122" s="32">
        <v>29</v>
      </c>
      <c r="HA122" s="50">
        <f>HK48</f>
        <v>5225</v>
      </c>
      <c r="HB122" s="32"/>
      <c r="HC122" s="109">
        <f t="shared" si="14"/>
        <v>6.6326530612244902E-2</v>
      </c>
      <c r="HD122" s="32">
        <f t="shared" si="15"/>
        <v>325</v>
      </c>
      <c r="HE122" s="32"/>
    </row>
    <row r="123" spans="66:220" ht="18" customHeight="1" x14ac:dyDescent="0.2">
      <c r="BN123" s="32"/>
      <c r="BO123" s="32">
        <v>1</v>
      </c>
      <c r="BP123" s="50">
        <f>BN99</f>
        <v>325</v>
      </c>
      <c r="BQ123" s="32"/>
      <c r="BR123" s="108" t="s">
        <v>31</v>
      </c>
      <c r="BS123" s="108" t="s">
        <v>22</v>
      </c>
      <c r="BT123" s="32"/>
      <c r="DU123" s="32">
        <v>32</v>
      </c>
      <c r="DV123" s="50">
        <f>EK52</f>
        <v>6200</v>
      </c>
      <c r="DX123" s="109">
        <f t="shared" si="12"/>
        <v>5.5319148936170209E-2</v>
      </c>
      <c r="DY123" s="32">
        <f t="shared" si="13"/>
        <v>325</v>
      </c>
      <c r="FW123" s="34"/>
      <c r="GU123" s="34"/>
      <c r="GZ123" s="32">
        <v>30</v>
      </c>
      <c r="HA123" s="50">
        <f>HL48</f>
        <v>5550</v>
      </c>
      <c r="HC123" s="109">
        <f t="shared" si="14"/>
        <v>6.2200956937799042E-2</v>
      </c>
      <c r="HD123" s="32">
        <f t="shared" si="15"/>
        <v>325</v>
      </c>
      <c r="HE123" s="32"/>
    </row>
    <row r="124" spans="66:220" ht="18" customHeight="1" x14ac:dyDescent="0.2">
      <c r="BN124" s="32"/>
      <c r="BO124" s="32">
        <v>2</v>
      </c>
      <c r="BP124" s="50">
        <f>BO99</f>
        <v>465</v>
      </c>
      <c r="BQ124" s="32"/>
      <c r="BR124" s="109">
        <f t="shared" ref="BR124:BR143" si="16">($BP124-$BP123)/$BP123</f>
        <v>0.43076923076923079</v>
      </c>
      <c r="BS124" s="32">
        <f t="shared" ref="BS124:BS143" si="17">$BP124-$BP123</f>
        <v>140</v>
      </c>
      <c r="BT124" s="32"/>
      <c r="BY124" s="105"/>
      <c r="BZ124" s="105"/>
      <c r="CA124" s="105"/>
      <c r="DT124" s="32"/>
      <c r="DU124" s="32">
        <v>33</v>
      </c>
      <c r="DV124" s="133">
        <f>EJ48</f>
        <v>6340</v>
      </c>
      <c r="DW124" s="76"/>
      <c r="DX124" s="134">
        <f t="shared" si="12"/>
        <v>2.2580645161290321E-2</v>
      </c>
      <c r="DY124" s="77">
        <f t="shared" si="13"/>
        <v>140</v>
      </c>
      <c r="DZ124" s="76"/>
      <c r="EA124" s="135" t="s">
        <v>40</v>
      </c>
      <c r="EB124" s="76"/>
      <c r="EC124" s="76"/>
      <c r="ED124" s="76"/>
      <c r="EE124" s="76"/>
      <c r="EF124" s="76"/>
      <c r="FW124" s="34"/>
      <c r="GU124" s="34"/>
    </row>
    <row r="125" spans="66:220" ht="18" customHeight="1" x14ac:dyDescent="0.2">
      <c r="BN125" s="32"/>
      <c r="BO125" s="32">
        <v>3</v>
      </c>
      <c r="BP125" s="50">
        <f>BN101</f>
        <v>650</v>
      </c>
      <c r="BQ125" s="32"/>
      <c r="BR125" s="109">
        <f t="shared" si="16"/>
        <v>0.39784946236559138</v>
      </c>
      <c r="BS125" s="32">
        <f t="shared" si="17"/>
        <v>185</v>
      </c>
      <c r="BT125" s="32"/>
      <c r="DT125" s="32"/>
      <c r="DU125" s="32">
        <v>34</v>
      </c>
      <c r="DV125" s="50">
        <f>EI49</f>
        <v>6525</v>
      </c>
      <c r="DX125" s="109">
        <f t="shared" si="12"/>
        <v>2.9179810725552049E-2</v>
      </c>
      <c r="DY125" s="32">
        <f t="shared" si="13"/>
        <v>185</v>
      </c>
      <c r="FW125" s="34"/>
      <c r="GU125" s="34"/>
      <c r="GZ125" s="32">
        <f>GZ123</f>
        <v>30</v>
      </c>
      <c r="HA125" s="32" t="s">
        <v>45</v>
      </c>
    </row>
    <row r="126" spans="66:220" ht="18" customHeight="1" x14ac:dyDescent="0.2">
      <c r="BN126" s="32"/>
      <c r="BO126" s="32">
        <v>4</v>
      </c>
      <c r="BP126" s="50">
        <f>BQ99</f>
        <v>685</v>
      </c>
      <c r="BQ126" s="32"/>
      <c r="BR126" s="109">
        <f t="shared" si="16"/>
        <v>5.3846153846153849E-2</v>
      </c>
      <c r="BS126" s="32">
        <f t="shared" si="17"/>
        <v>35</v>
      </c>
      <c r="BT126" s="32"/>
      <c r="DU126" s="32">
        <v>35</v>
      </c>
      <c r="DV126" s="50">
        <f>EK48</f>
        <v>6665</v>
      </c>
      <c r="DX126" s="109">
        <f t="shared" si="12"/>
        <v>2.1455938697318006E-2</v>
      </c>
      <c r="DY126" s="32">
        <f t="shared" si="13"/>
        <v>140</v>
      </c>
      <c r="FW126" s="34"/>
      <c r="GU126" s="34"/>
    </row>
    <row r="127" spans="66:220" ht="18" customHeight="1" x14ac:dyDescent="0.2">
      <c r="BN127" s="32"/>
      <c r="BO127" s="32">
        <v>5</v>
      </c>
      <c r="BP127" s="50">
        <f>BN105</f>
        <v>790</v>
      </c>
      <c r="BR127" s="109">
        <f t="shared" si="16"/>
        <v>0.15328467153284672</v>
      </c>
      <c r="BS127" s="32">
        <f t="shared" si="17"/>
        <v>105</v>
      </c>
      <c r="BT127" s="32"/>
      <c r="DU127" s="32">
        <v>36</v>
      </c>
      <c r="DV127" s="50">
        <f>EI50</f>
        <v>6885</v>
      </c>
      <c r="DX127" s="109">
        <f t="shared" si="12"/>
        <v>3.3008252063015754E-2</v>
      </c>
      <c r="DY127" s="32">
        <f t="shared" si="13"/>
        <v>220</v>
      </c>
      <c r="GU127" s="34"/>
    </row>
    <row r="128" spans="66:220" ht="18" customHeight="1" x14ac:dyDescent="0.2">
      <c r="BN128" s="32"/>
      <c r="BO128" s="32">
        <v>6</v>
      </c>
      <c r="BP128" s="50">
        <f>BO101</f>
        <v>975</v>
      </c>
      <c r="BR128" s="109">
        <f t="shared" si="16"/>
        <v>0.23417721518987342</v>
      </c>
      <c r="BS128" s="32">
        <f t="shared" si="17"/>
        <v>185</v>
      </c>
      <c r="BT128" s="32"/>
      <c r="DU128" s="32">
        <v>37</v>
      </c>
      <c r="DV128" s="120">
        <f>EK49</f>
        <v>7210</v>
      </c>
      <c r="DW128" s="123"/>
      <c r="DX128" s="121">
        <f t="shared" si="12"/>
        <v>4.7204066811909952E-2</v>
      </c>
      <c r="DY128" s="116">
        <f t="shared" si="13"/>
        <v>325</v>
      </c>
      <c r="GU128" s="34"/>
    </row>
    <row r="129" spans="66:136" ht="18" customHeight="1" x14ac:dyDescent="0.2">
      <c r="BN129" s="32"/>
      <c r="BO129" s="32">
        <v>7</v>
      </c>
      <c r="BP129" s="50">
        <f>BN102</f>
        <v>1010</v>
      </c>
      <c r="BQ129" s="32"/>
      <c r="BR129" s="109">
        <f t="shared" si="16"/>
        <v>3.5897435897435895E-2</v>
      </c>
      <c r="BS129" s="32">
        <f t="shared" si="17"/>
        <v>35</v>
      </c>
      <c r="BT129" s="32"/>
      <c r="DU129" s="32">
        <v>38</v>
      </c>
      <c r="DV129" s="50">
        <f>EL48</f>
        <v>7350</v>
      </c>
      <c r="DX129" s="109">
        <f t="shared" si="12"/>
        <v>1.9417475728155338E-2</v>
      </c>
      <c r="DY129" s="32">
        <f t="shared" si="13"/>
        <v>140</v>
      </c>
    </row>
    <row r="130" spans="66:136" ht="18" customHeight="1" x14ac:dyDescent="0.2">
      <c r="BN130" s="32"/>
      <c r="BO130" s="32">
        <v>8</v>
      </c>
      <c r="BP130" s="50">
        <f>BO104</f>
        <v>1115</v>
      </c>
      <c r="BR130" s="109">
        <f t="shared" si="16"/>
        <v>0.10396039603960396</v>
      </c>
      <c r="BS130" s="32">
        <f t="shared" si="17"/>
        <v>105</v>
      </c>
      <c r="BT130" s="32"/>
      <c r="DU130" s="32">
        <v>39</v>
      </c>
      <c r="DV130" s="50">
        <f>EJ49</f>
        <v>7535</v>
      </c>
      <c r="DX130" s="109">
        <f t="shared" si="12"/>
        <v>2.5170068027210883E-2</v>
      </c>
      <c r="DY130" s="32">
        <f t="shared" si="13"/>
        <v>185</v>
      </c>
    </row>
    <row r="131" spans="66:136" ht="18" customHeight="1" x14ac:dyDescent="0.2">
      <c r="BN131" s="32"/>
      <c r="BO131" s="32">
        <v>9</v>
      </c>
      <c r="BP131" s="50">
        <f>BO103</f>
        <v>1335</v>
      </c>
      <c r="BR131" s="109">
        <f t="shared" si="16"/>
        <v>0.19730941704035873</v>
      </c>
      <c r="BS131" s="32">
        <f t="shared" si="17"/>
        <v>220</v>
      </c>
      <c r="BT131" s="32"/>
      <c r="DU131" s="32">
        <v>40</v>
      </c>
      <c r="DV131" s="50">
        <f>EH50</f>
        <v>7675</v>
      </c>
      <c r="DX131" s="109">
        <f t="shared" si="12"/>
        <v>1.8579960185799601E-2</v>
      </c>
      <c r="DY131" s="32">
        <f t="shared" si="13"/>
        <v>140</v>
      </c>
    </row>
    <row r="132" spans="66:136" ht="18" customHeight="1" x14ac:dyDescent="0.2">
      <c r="BN132" s="32"/>
      <c r="BO132" s="32">
        <v>10</v>
      </c>
      <c r="BP132" s="50">
        <f>BO106</f>
        <v>1475</v>
      </c>
      <c r="BQ132" s="32"/>
      <c r="BR132" s="109">
        <f t="shared" si="16"/>
        <v>0.10486891385767791</v>
      </c>
      <c r="BS132" s="32">
        <f t="shared" si="17"/>
        <v>140</v>
      </c>
      <c r="BT132" s="32"/>
      <c r="DU132" s="32">
        <v>41</v>
      </c>
      <c r="DV132" s="120">
        <f>EM48</f>
        <v>8000</v>
      </c>
      <c r="DW132" s="123"/>
      <c r="DX132" s="121">
        <f t="shared" si="12"/>
        <v>4.2345276872964167E-2</v>
      </c>
      <c r="DY132" s="116">
        <f t="shared" si="13"/>
        <v>325</v>
      </c>
    </row>
    <row r="133" spans="66:136" ht="18" customHeight="1" x14ac:dyDescent="0.2">
      <c r="BN133" s="32"/>
      <c r="BO133" s="32">
        <v>11</v>
      </c>
      <c r="BP133" s="50">
        <f>BP101</f>
        <v>1660</v>
      </c>
      <c r="BQ133" s="32"/>
      <c r="BR133" s="109">
        <f t="shared" si="16"/>
        <v>0.12542372881355932</v>
      </c>
      <c r="BS133" s="32">
        <f t="shared" si="17"/>
        <v>185</v>
      </c>
      <c r="BT133" s="32"/>
      <c r="DU133" s="32">
        <v>42</v>
      </c>
      <c r="DV133" s="133">
        <f>EN48</f>
        <v>8325</v>
      </c>
      <c r="DW133" s="76"/>
      <c r="DX133" s="134">
        <f t="shared" si="12"/>
        <v>4.0625000000000001E-2</v>
      </c>
      <c r="DY133" s="77">
        <f t="shared" si="13"/>
        <v>325</v>
      </c>
      <c r="DZ133" s="76"/>
      <c r="EA133" s="135" t="s">
        <v>48</v>
      </c>
      <c r="EB133" s="76"/>
      <c r="EC133" s="76"/>
      <c r="ED133" s="76"/>
      <c r="EE133" s="76"/>
      <c r="EF133" s="76"/>
    </row>
    <row r="134" spans="66:136" ht="18" customHeight="1" x14ac:dyDescent="0.2">
      <c r="BN134" s="32"/>
      <c r="BO134" s="32">
        <v>12</v>
      </c>
      <c r="BP134" s="50">
        <f>BP104</f>
        <v>1800</v>
      </c>
      <c r="BQ134" s="32"/>
      <c r="BR134" s="109">
        <f t="shared" si="16"/>
        <v>8.4337349397590355E-2</v>
      </c>
      <c r="BS134" s="32">
        <f t="shared" si="17"/>
        <v>140</v>
      </c>
    </row>
    <row r="135" spans="66:136" ht="18" customHeight="1" x14ac:dyDescent="0.2">
      <c r="BN135" s="32"/>
      <c r="BO135" s="32">
        <v>13</v>
      </c>
      <c r="BP135" s="50">
        <f>BQ101</f>
        <v>1985</v>
      </c>
      <c r="BQ135" s="32"/>
      <c r="BR135" s="109">
        <f t="shared" si="16"/>
        <v>0.10277777777777777</v>
      </c>
      <c r="BS135" s="32">
        <f t="shared" si="17"/>
        <v>185</v>
      </c>
      <c r="BT135" s="32"/>
      <c r="DU135" s="32">
        <f>DU133</f>
        <v>42</v>
      </c>
      <c r="DV135" s="32" t="s">
        <v>49</v>
      </c>
    </row>
    <row r="136" spans="66:136" ht="18" customHeight="1" x14ac:dyDescent="0.2">
      <c r="BN136" s="32"/>
      <c r="BO136" s="32">
        <v>14</v>
      </c>
      <c r="BP136" s="50">
        <f>BQ102</f>
        <v>2125</v>
      </c>
      <c r="BR136" s="109">
        <f t="shared" si="16"/>
        <v>7.0528967254408062E-2</v>
      </c>
      <c r="BS136" s="32">
        <f t="shared" si="17"/>
        <v>140</v>
      </c>
      <c r="BT136" s="32"/>
    </row>
    <row r="137" spans="66:136" ht="18" customHeight="1" x14ac:dyDescent="0.2">
      <c r="BN137" s="32"/>
      <c r="BO137" s="32">
        <v>15</v>
      </c>
      <c r="BP137" s="50">
        <f>BQ103</f>
        <v>2345</v>
      </c>
      <c r="BQ137" s="32"/>
      <c r="BR137" s="109">
        <f t="shared" si="16"/>
        <v>0.10352941176470588</v>
      </c>
      <c r="BS137" s="32">
        <f t="shared" si="17"/>
        <v>220</v>
      </c>
      <c r="BT137" s="32"/>
    </row>
    <row r="138" spans="66:136" ht="18" customHeight="1" x14ac:dyDescent="0.2">
      <c r="BN138" s="32"/>
      <c r="BO138" s="32">
        <v>16</v>
      </c>
      <c r="BP138" s="50">
        <f>BQ105</f>
        <v>2450</v>
      </c>
      <c r="BR138" s="109">
        <f t="shared" si="16"/>
        <v>4.4776119402985072E-2</v>
      </c>
      <c r="BS138" s="32">
        <f t="shared" si="17"/>
        <v>105</v>
      </c>
      <c r="BT138" s="32"/>
    </row>
    <row r="139" spans="66:136" ht="18" customHeight="1" x14ac:dyDescent="0.2">
      <c r="BN139" s="116"/>
      <c r="BO139" s="116">
        <v>17</v>
      </c>
      <c r="BP139" s="120">
        <f>BR102</f>
        <v>2775</v>
      </c>
      <c r="BQ139" s="123"/>
      <c r="BR139" s="121">
        <f t="shared" si="16"/>
        <v>0.1326530612244898</v>
      </c>
      <c r="BS139" s="116">
        <f t="shared" si="17"/>
        <v>325</v>
      </c>
      <c r="BT139" s="32"/>
    </row>
    <row r="140" spans="66:136" ht="18" customHeight="1" x14ac:dyDescent="0.2">
      <c r="BN140" s="32"/>
      <c r="BO140" s="32">
        <v>18</v>
      </c>
      <c r="BP140" s="50">
        <f>BR104</f>
        <v>2995</v>
      </c>
      <c r="BR140" s="109">
        <f t="shared" si="16"/>
        <v>7.9279279279279274E-2</v>
      </c>
      <c r="BS140" s="32">
        <f t="shared" si="17"/>
        <v>220</v>
      </c>
    </row>
    <row r="141" spans="66:136" ht="18" customHeight="1" x14ac:dyDescent="0.2">
      <c r="BO141" s="32">
        <v>19</v>
      </c>
      <c r="BP141" s="50">
        <f>BR101</f>
        <v>3135</v>
      </c>
      <c r="BQ141" s="32"/>
      <c r="BR141" s="109">
        <f t="shared" si="16"/>
        <v>4.6744574290484141E-2</v>
      </c>
      <c r="BS141" s="32">
        <f t="shared" si="17"/>
        <v>140</v>
      </c>
    </row>
    <row r="142" spans="66:136" ht="18" customHeight="1" x14ac:dyDescent="0.2">
      <c r="BN142" s="123"/>
      <c r="BO142" s="116">
        <v>20</v>
      </c>
      <c r="BP142" s="120">
        <f>BS103</f>
        <v>3460</v>
      </c>
      <c r="BQ142" s="116"/>
      <c r="BR142" s="121">
        <f t="shared" si="16"/>
        <v>0.10366826156299841</v>
      </c>
      <c r="BS142" s="116">
        <f t="shared" si="17"/>
        <v>325</v>
      </c>
    </row>
    <row r="143" spans="66:136" ht="18" customHeight="1" x14ac:dyDescent="0.2">
      <c r="BN143" s="123"/>
      <c r="BO143" s="116">
        <v>21</v>
      </c>
      <c r="BP143" s="120">
        <f>BT101</f>
        <v>3785</v>
      </c>
      <c r="BQ143" s="116"/>
      <c r="BR143" s="121">
        <f t="shared" si="16"/>
        <v>9.3930635838150284E-2</v>
      </c>
      <c r="BS143" s="116">
        <f t="shared" si="17"/>
        <v>325</v>
      </c>
    </row>
    <row r="144" spans="66:136" ht="18" customHeight="1" x14ac:dyDescent="0.2">
      <c r="BS144" s="32"/>
    </row>
    <row r="146" ht="18" customHeight="1" x14ac:dyDescent="0.15"/>
    <row r="148" ht="18" customHeight="1" x14ac:dyDescent="0.15"/>
    <row r="184" spans="72:72" ht="18" customHeight="1" x14ac:dyDescent="0.2">
      <c r="BT184" s="32"/>
    </row>
    <row r="185" spans="72:72" ht="18" customHeight="1" x14ac:dyDescent="0.2">
      <c r="BT185" s="32"/>
    </row>
    <row r="186" spans="72:72" ht="18" customHeight="1" x14ac:dyDescent="0.2">
      <c r="BT186" s="32"/>
    </row>
    <row r="187" spans="72:72" ht="18" customHeight="1" x14ac:dyDescent="0.15"/>
    <row r="188" spans="72:72" ht="18" customHeight="1" x14ac:dyDescent="0.15"/>
    <row r="189" spans="72:72" ht="18" customHeight="1" x14ac:dyDescent="0.15"/>
    <row r="190" spans="72:72" ht="18" customHeight="1" x14ac:dyDescent="0.15"/>
  </sheetData>
  <mergeCells count="29">
    <mergeCell ref="HL65:HN65"/>
    <mergeCell ref="BO115:BP115"/>
    <mergeCell ref="BR115:BT115"/>
    <mergeCell ref="BX115:BZ115"/>
    <mergeCell ref="GK65:GL65"/>
    <mergeCell ref="GN65:GP65"/>
    <mergeCell ref="GY65:GZ65"/>
    <mergeCell ref="HB65:HD65"/>
    <mergeCell ref="HI65:HJ65"/>
    <mergeCell ref="FF65:FH65"/>
    <mergeCell ref="FM65:FN65"/>
    <mergeCell ref="FP65:FR65"/>
    <mergeCell ref="GA65:GB65"/>
    <mergeCell ref="GD65:GF65"/>
    <mergeCell ref="EE65:EF65"/>
    <mergeCell ref="EH65:EJ65"/>
    <mergeCell ref="EO65:EP65"/>
    <mergeCell ref="ER65:ET65"/>
    <mergeCell ref="FC65:FD65"/>
    <mergeCell ref="CZ65:DB65"/>
    <mergeCell ref="DG65:DH65"/>
    <mergeCell ref="DJ65:DL65"/>
    <mergeCell ref="DU65:DV65"/>
    <mergeCell ref="DX65:DZ65"/>
    <mergeCell ref="CE56:CS57"/>
    <mergeCell ref="BO65:BP65"/>
    <mergeCell ref="BR65:BT65"/>
    <mergeCell ref="BX65:BY65"/>
    <mergeCell ref="CW65:CX65"/>
  </mergeCells>
  <pageMargins left="0.25" right="0.25" top="0.61111111111111105" bottom="0.61111111111111105" header="0.3" footer="0.3"/>
  <pageSetup paperSize="9" scale="60" orientation="landscape" useFirstPageNumber="1" horizontalDpi="300" verticalDpi="300"/>
  <headerFooter differentFirst="1">
    <oddHeader>&amp;C&amp;A</oddHeader>
    <oddFooter>&amp;CPage &amp;P</oddFooter>
  </headerFooter>
  <rowBreaks count="2" manualBreakCount="2">
    <brk id="87" max="16383" man="1"/>
    <brk id="9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9:JI162"/>
  <sheetViews>
    <sheetView view="pageBreakPreview" topLeftCell="A34" zoomScale="60" zoomScaleNormal="60" workbookViewId="0">
      <selection activeCell="L65" sqref="L65"/>
    </sheetView>
  </sheetViews>
  <sheetFormatPr baseColWidth="10" defaultColWidth="3.1640625" defaultRowHeight="13" x14ac:dyDescent="0.15"/>
  <cols>
    <col min="1" max="1" width="9.6640625" style="1" customWidth="1"/>
    <col min="2" max="2" width="9.6640625" style="2" customWidth="1"/>
    <col min="3" max="7" width="9.6640625" style="1" customWidth="1"/>
    <col min="8" max="8" width="12" style="1" customWidth="1"/>
    <col min="9" max="20" width="9.6640625" style="1" customWidth="1"/>
    <col min="21" max="21" width="21.6640625" style="1" customWidth="1"/>
    <col min="22" max="50" width="9.6640625" style="1" customWidth="1"/>
  </cols>
  <sheetData>
    <row r="9" ht="18" customHeight="1" x14ac:dyDescent="0.15"/>
    <row r="10" ht="18" customHeight="1" x14ac:dyDescent="0.15"/>
    <row r="11" ht="18" customHeight="1" x14ac:dyDescent="0.15"/>
    <row r="12" ht="18" customHeight="1" x14ac:dyDescent="0.15"/>
    <row r="13" ht="18" customHeight="1" x14ac:dyDescent="0.15"/>
    <row r="14" ht="18" customHeight="1" x14ac:dyDescent="0.15"/>
    <row r="15" ht="18" customHeight="1" x14ac:dyDescent="0.15"/>
    <row r="16" ht="18" customHeight="1" x14ac:dyDescent="0.15"/>
    <row r="18" ht="18" customHeight="1" x14ac:dyDescent="0.15"/>
    <row r="19" ht="18" customHeight="1" x14ac:dyDescent="0.15"/>
    <row r="20" ht="18" customHeight="1" x14ac:dyDescent="0.15"/>
    <row r="21" ht="18" customHeight="1" x14ac:dyDescent="0.15"/>
    <row r="22" ht="18" customHeight="1" x14ac:dyDescent="0.15"/>
    <row r="23" ht="18" customHeight="1" x14ac:dyDescent="0.15"/>
    <row r="24" ht="18" customHeight="1" x14ac:dyDescent="0.15"/>
    <row r="25" ht="18" customHeight="1" x14ac:dyDescent="0.15"/>
    <row r="27" ht="18" customHeight="1" x14ac:dyDescent="0.15"/>
    <row r="29" ht="18" customHeight="1" x14ac:dyDescent="0.15"/>
    <row r="30" ht="18" customHeight="1" x14ac:dyDescent="0.15"/>
    <row r="31" ht="18" customHeight="1" x14ac:dyDescent="0.15"/>
    <row r="32" ht="18" customHeight="1" x14ac:dyDescent="0.15"/>
    <row r="33" spans="1:20" ht="18" customHeight="1" x14ac:dyDescent="0.15"/>
    <row r="34" spans="1:20" ht="18" customHeight="1" x14ac:dyDescent="0.15"/>
    <row r="35" spans="1:20" ht="18" customHeight="1" x14ac:dyDescent="0.15">
      <c r="D35" s="1">
        <f>SUM(F49:P49)</f>
        <v>0</v>
      </c>
      <c r="F35" s="1">
        <v>325</v>
      </c>
      <c r="G35" s="1">
        <v>465</v>
      </c>
      <c r="H35" s="1">
        <v>325</v>
      </c>
      <c r="I35" s="1">
        <v>685</v>
      </c>
      <c r="J35" s="1">
        <v>325</v>
      </c>
      <c r="K35" s="1">
        <v>325</v>
      </c>
      <c r="L35" s="1">
        <v>325</v>
      </c>
    </row>
    <row r="36" spans="1:20" ht="18" customHeight="1" x14ac:dyDescent="0.15"/>
    <row r="37" spans="1:20" ht="18" customHeight="1" x14ac:dyDescent="0.15">
      <c r="F37" s="1">
        <f>SUM(J35:K35)</f>
        <v>650</v>
      </c>
      <c r="G37" s="1">
        <f>SUM(J35:L35)</f>
        <v>975</v>
      </c>
      <c r="H37" s="1">
        <f>SUM(F35:I35)</f>
        <v>1800</v>
      </c>
      <c r="I37" s="1">
        <f>SUM(F35:J35)</f>
        <v>2125</v>
      </c>
      <c r="J37" s="1">
        <f>SUM(F35:K35)</f>
        <v>2450</v>
      </c>
      <c r="K37" s="1">
        <f>SUM(F35:L35)</f>
        <v>2775</v>
      </c>
    </row>
    <row r="38" spans="1:20" x14ac:dyDescent="0.15">
      <c r="F38" s="1">
        <f>SUM(H35:I35)</f>
        <v>1010</v>
      </c>
      <c r="G38" s="1">
        <f>SUM(I35:K35)</f>
        <v>1335</v>
      </c>
      <c r="H38" s="1">
        <f>SUM(G35:J35)</f>
        <v>1800</v>
      </c>
      <c r="I38" s="1">
        <f>SUM(G35:K35)</f>
        <v>2125</v>
      </c>
      <c r="J38" s="1">
        <f>SUM(F35:K35)</f>
        <v>2450</v>
      </c>
      <c r="K38" s="1">
        <f>SUM(F49:M49)</f>
        <v>0</v>
      </c>
    </row>
    <row r="39" spans="1:20" ht="18" customHeight="1" x14ac:dyDescent="0.15">
      <c r="F39" s="1">
        <f>SUM(F35:G35)</f>
        <v>790</v>
      </c>
      <c r="G39" s="1">
        <f>SUM(G35:I35)</f>
        <v>1475</v>
      </c>
      <c r="H39" s="1">
        <f>SUM(I35:L35)</f>
        <v>1660</v>
      </c>
      <c r="I39" s="1">
        <f>SUM(H35:L35)</f>
        <v>1985</v>
      </c>
      <c r="J39" s="1">
        <f>SUM(F35:K35)</f>
        <v>2450</v>
      </c>
    </row>
    <row r="40" spans="1:20" x14ac:dyDescent="0.15">
      <c r="F40" s="1">
        <f>SUM(K35:L35)</f>
        <v>650</v>
      </c>
      <c r="G40" s="1">
        <f>SUM(F35:H35)</f>
        <v>1115</v>
      </c>
      <c r="H40" s="1">
        <f>SUM(F35:I35)</f>
        <v>1800</v>
      </c>
      <c r="I40" s="1">
        <f>SUM(H35:L35)</f>
        <v>1985</v>
      </c>
      <c r="J40" s="1">
        <f>SUM(F35:L35)</f>
        <v>2775</v>
      </c>
    </row>
    <row r="41" spans="1:20" ht="18" customHeight="1" x14ac:dyDescent="0.15">
      <c r="F41" s="1">
        <f>SUM(F35:G35)</f>
        <v>790</v>
      </c>
      <c r="G41" s="1">
        <f>SUM(J35:L35)</f>
        <v>975</v>
      </c>
      <c r="H41" s="1">
        <f>SUM(G35:J35)</f>
        <v>1800</v>
      </c>
      <c r="I41" s="1">
        <f>SUM(G35:L35)</f>
        <v>2450</v>
      </c>
    </row>
    <row r="42" spans="1:20" ht="18" customHeight="1" x14ac:dyDescent="0.15">
      <c r="F42" s="1">
        <f>SUM(L35)</f>
        <v>325</v>
      </c>
      <c r="H42" s="1">
        <f>SUM(H35:K35)</f>
        <v>1660</v>
      </c>
      <c r="I42" s="1">
        <f>SUM(G35:L35)</f>
        <v>2450</v>
      </c>
    </row>
    <row r="43" spans="1:20" ht="18" customHeight="1" x14ac:dyDescent="0.15"/>
    <row r="44" spans="1:20" ht="18" customHeight="1" x14ac:dyDescent="0.15"/>
    <row r="45" spans="1:20" ht="18" customHeight="1" x14ac:dyDescent="0.15"/>
    <row r="46" spans="1:20" ht="18" customHeight="1" x14ac:dyDescent="0.15"/>
    <row r="47" spans="1:20" ht="18" customHeight="1" x14ac:dyDescent="0.15">
      <c r="A47" s="2"/>
      <c r="C47" s="2"/>
      <c r="D47" s="2"/>
      <c r="E47" s="2"/>
    </row>
    <row r="48" spans="1:20" ht="18" customHeight="1" x14ac:dyDescent="0.15"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3"/>
      <c r="T48" s="162"/>
    </row>
    <row r="49" spans="2:269" ht="18" customHeight="1" x14ac:dyDescent="0.15">
      <c r="S49" s="34"/>
    </row>
    <row r="50" spans="2:269" s="32" customFormat="1" ht="18" customHeight="1" x14ac:dyDescent="0.2">
      <c r="B50" s="137"/>
      <c r="D50" s="36" t="s">
        <v>11</v>
      </c>
      <c r="E50" s="37"/>
      <c r="F50" s="37"/>
      <c r="G50" s="37"/>
      <c r="H50" s="37"/>
      <c r="I50" s="37"/>
      <c r="J50" s="37"/>
      <c r="K50" s="37"/>
      <c r="L50" s="37"/>
      <c r="M50" s="37"/>
      <c r="S50" s="138"/>
      <c r="AY50" s="139"/>
      <c r="AZ50" s="139"/>
      <c r="BA50" s="139"/>
      <c r="BB50" s="139"/>
      <c r="BC50" s="139"/>
      <c r="BD50" s="139"/>
      <c r="BE50" s="139"/>
      <c r="BF50" s="139"/>
      <c r="BG50" s="139"/>
      <c r="BH50" s="139"/>
      <c r="BI50" s="139"/>
      <c r="BJ50" s="139"/>
      <c r="BK50" s="139"/>
      <c r="BL50" s="139"/>
      <c r="BM50" s="139"/>
      <c r="BN50" s="139"/>
      <c r="BO50" s="139"/>
      <c r="BP50" s="139"/>
      <c r="BQ50" s="139"/>
      <c r="BR50" s="139"/>
      <c r="BS50" s="139"/>
      <c r="BT50" s="139"/>
      <c r="BU50" s="139"/>
      <c r="BV50" s="139"/>
      <c r="BW50" s="139"/>
      <c r="BX50" s="139"/>
      <c r="BY50" s="139"/>
      <c r="BZ50" s="139"/>
      <c r="CA50" s="139"/>
      <c r="CB50" s="139"/>
      <c r="CC50" s="139"/>
      <c r="CD50" s="139"/>
      <c r="CE50" s="139"/>
      <c r="CF50" s="139"/>
      <c r="CG50" s="139"/>
      <c r="CH50" s="139"/>
      <c r="CI50" s="139"/>
      <c r="CJ50" s="139"/>
      <c r="CK50" s="139"/>
      <c r="CL50" s="139"/>
      <c r="CM50" s="139"/>
      <c r="CN50" s="139"/>
      <c r="CO50" s="139"/>
      <c r="CP50" s="139"/>
      <c r="CQ50" s="139"/>
      <c r="CR50" s="139"/>
      <c r="CS50" s="139"/>
      <c r="CT50" s="139"/>
      <c r="CU50" s="139"/>
      <c r="CV50" s="139"/>
      <c r="CW50" s="139"/>
      <c r="CX50" s="139"/>
      <c r="CY50" s="139"/>
      <c r="CZ50" s="139"/>
      <c r="DA50" s="139"/>
      <c r="DB50" s="139"/>
      <c r="DC50" s="139"/>
      <c r="DD50" s="139"/>
      <c r="DE50" s="139"/>
      <c r="DF50" s="139"/>
      <c r="DG50" s="139"/>
      <c r="DH50" s="139"/>
      <c r="DI50" s="139"/>
      <c r="DJ50" s="139"/>
      <c r="DK50" s="139"/>
      <c r="DL50" s="139"/>
      <c r="DM50" s="139"/>
      <c r="DN50" s="139"/>
      <c r="DO50" s="139"/>
      <c r="DP50" s="139"/>
      <c r="DQ50" s="139"/>
      <c r="DR50" s="139"/>
      <c r="DS50" s="139"/>
      <c r="DT50" s="139"/>
      <c r="DU50" s="139"/>
      <c r="DV50" s="139"/>
      <c r="DW50" s="139"/>
      <c r="DX50" s="139"/>
      <c r="DY50" s="139"/>
      <c r="DZ50" s="139"/>
      <c r="EA50" s="139"/>
      <c r="EB50" s="139"/>
      <c r="EC50" s="139"/>
      <c r="ED50" s="139"/>
      <c r="EE50" s="139"/>
      <c r="EF50" s="139"/>
      <c r="EG50" s="139"/>
      <c r="EH50" s="139"/>
      <c r="EI50" s="139"/>
      <c r="EJ50" s="139"/>
      <c r="EK50" s="139"/>
      <c r="EL50" s="139"/>
      <c r="EM50" s="139"/>
      <c r="EN50" s="139"/>
      <c r="EO50" s="139"/>
      <c r="EP50" s="139"/>
      <c r="EQ50" s="139"/>
      <c r="ER50" s="139"/>
      <c r="ES50" s="139"/>
      <c r="ET50" s="139"/>
      <c r="EU50" s="139"/>
      <c r="EV50" s="139"/>
      <c r="EW50" s="139"/>
      <c r="EX50" s="139"/>
      <c r="EY50" s="139"/>
      <c r="EZ50" s="139"/>
      <c r="FA50" s="139"/>
      <c r="FB50" s="139"/>
      <c r="FC50" s="139"/>
      <c r="FD50" s="139"/>
      <c r="FE50" s="139"/>
      <c r="FF50" s="139"/>
      <c r="FG50" s="139"/>
      <c r="FH50" s="139"/>
      <c r="FI50" s="139"/>
      <c r="FJ50" s="139"/>
      <c r="FK50" s="139"/>
      <c r="FL50" s="139"/>
      <c r="FM50" s="139"/>
      <c r="FN50" s="139"/>
      <c r="FO50" s="139"/>
      <c r="FP50" s="139"/>
      <c r="FQ50" s="139"/>
      <c r="FR50" s="139"/>
      <c r="FS50" s="139"/>
      <c r="FT50" s="139"/>
      <c r="FU50" s="139"/>
      <c r="FV50" s="139"/>
      <c r="FW50" s="139"/>
      <c r="FX50" s="139"/>
      <c r="FY50" s="139"/>
      <c r="FZ50" s="139"/>
      <c r="GA50" s="139"/>
      <c r="GB50" s="139"/>
      <c r="GC50" s="139"/>
      <c r="GD50" s="139"/>
      <c r="GE50" s="139"/>
      <c r="GF50" s="139"/>
      <c r="GG50" s="139"/>
      <c r="GH50" s="139"/>
      <c r="GI50" s="139"/>
      <c r="GJ50" s="139"/>
      <c r="GK50" s="139"/>
      <c r="GL50" s="139"/>
      <c r="GM50" s="139"/>
      <c r="GN50" s="139"/>
      <c r="GO50" s="139"/>
      <c r="GP50" s="139"/>
      <c r="GQ50" s="139"/>
      <c r="GR50" s="139"/>
      <c r="GS50" s="139"/>
      <c r="GT50" s="139"/>
      <c r="GU50" s="139"/>
      <c r="GV50" s="139"/>
      <c r="GW50" s="139"/>
      <c r="GX50" s="139"/>
      <c r="GY50" s="139"/>
      <c r="GZ50" s="139"/>
      <c r="HA50" s="139"/>
      <c r="HB50" s="139"/>
      <c r="HC50" s="139"/>
      <c r="HD50" s="139"/>
      <c r="HE50" s="139"/>
      <c r="HF50" s="139"/>
      <c r="HG50" s="139"/>
      <c r="HH50" s="139"/>
      <c r="HI50" s="139"/>
      <c r="HJ50" s="139"/>
      <c r="HK50" s="139"/>
      <c r="HL50" s="139"/>
      <c r="HM50" s="139"/>
      <c r="HN50" s="139"/>
      <c r="HO50" s="139"/>
      <c r="HP50" s="139"/>
      <c r="HQ50" s="139"/>
      <c r="HR50" s="139"/>
      <c r="HS50" s="139"/>
      <c r="HT50" s="139"/>
      <c r="HU50" s="139"/>
      <c r="HV50" s="139"/>
      <c r="HW50" s="139"/>
      <c r="HX50" s="139"/>
      <c r="HY50" s="139"/>
      <c r="HZ50" s="139"/>
      <c r="IA50" s="139"/>
      <c r="IB50" s="139"/>
      <c r="IC50" s="139"/>
      <c r="ID50" s="139"/>
      <c r="IE50" s="139"/>
      <c r="IF50" s="139"/>
      <c r="IG50" s="139"/>
      <c r="IH50" s="139"/>
      <c r="II50" s="139"/>
      <c r="IJ50" s="139"/>
      <c r="IK50" s="139"/>
      <c r="IL50" s="139"/>
      <c r="IM50" s="139"/>
      <c r="IN50" s="139"/>
      <c r="IO50" s="139"/>
      <c r="IP50" s="139"/>
      <c r="IQ50" s="139"/>
      <c r="IR50" s="139"/>
      <c r="IS50" s="139"/>
      <c r="IT50" s="139"/>
      <c r="IU50" s="139"/>
      <c r="IV50" s="139"/>
      <c r="IW50" s="139"/>
      <c r="IX50" s="139"/>
      <c r="IY50" s="139"/>
      <c r="IZ50" s="139"/>
      <c r="JA50" s="139"/>
      <c r="JB50" s="139"/>
      <c r="JC50" s="139"/>
      <c r="JD50" s="139"/>
      <c r="JE50" s="139"/>
      <c r="JF50" s="139"/>
      <c r="JG50" s="139"/>
      <c r="JH50" s="139"/>
      <c r="JI50" s="139"/>
    </row>
    <row r="51" spans="2:269" s="32" customFormat="1" ht="18" customHeight="1" x14ac:dyDescent="0.2">
      <c r="B51" s="137"/>
      <c r="D51" s="37" t="s">
        <v>12</v>
      </c>
      <c r="E51" s="37"/>
      <c r="F51" s="37"/>
      <c r="G51" s="37"/>
      <c r="H51" s="37"/>
      <c r="I51" s="37"/>
      <c r="J51" s="37"/>
      <c r="K51" s="37"/>
      <c r="L51" s="37"/>
      <c r="M51" s="37"/>
      <c r="S51" s="138"/>
      <c r="AY51" s="139"/>
      <c r="AZ51" s="139"/>
      <c r="BA51" s="139"/>
      <c r="BB51" s="139"/>
      <c r="BC51" s="139"/>
      <c r="BD51" s="139"/>
      <c r="BE51" s="139"/>
      <c r="BF51" s="139"/>
      <c r="BG51" s="139"/>
      <c r="BH51" s="139"/>
      <c r="BI51" s="139"/>
      <c r="BJ51" s="139"/>
      <c r="BK51" s="139"/>
      <c r="BL51" s="139"/>
      <c r="BM51" s="139"/>
      <c r="BN51" s="139"/>
      <c r="BO51" s="139"/>
      <c r="BP51" s="139"/>
      <c r="BQ51" s="139"/>
      <c r="BR51" s="139"/>
      <c r="BS51" s="139"/>
      <c r="BT51" s="139"/>
      <c r="BU51" s="139"/>
      <c r="BV51" s="139"/>
      <c r="BW51" s="139"/>
      <c r="BX51" s="139"/>
      <c r="BY51" s="139"/>
      <c r="BZ51" s="139"/>
      <c r="CA51" s="139"/>
      <c r="CB51" s="139"/>
      <c r="CC51" s="139"/>
      <c r="CD51" s="139"/>
      <c r="CE51" s="139"/>
      <c r="CF51" s="139"/>
      <c r="CG51" s="139"/>
      <c r="CH51" s="139"/>
      <c r="CI51" s="139"/>
      <c r="CJ51" s="139"/>
      <c r="CK51" s="139"/>
      <c r="CL51" s="139"/>
      <c r="CM51" s="139"/>
      <c r="CN51" s="139"/>
      <c r="CO51" s="139"/>
      <c r="CP51" s="139"/>
      <c r="CQ51" s="139"/>
      <c r="CR51" s="139"/>
      <c r="CS51" s="139"/>
      <c r="CT51" s="139"/>
      <c r="CU51" s="139"/>
      <c r="CV51" s="139"/>
      <c r="CW51" s="139"/>
      <c r="CX51" s="139"/>
      <c r="CY51" s="139"/>
      <c r="CZ51" s="139"/>
      <c r="DA51" s="139"/>
      <c r="DB51" s="139"/>
      <c r="DC51" s="139"/>
      <c r="DD51" s="139"/>
      <c r="DE51" s="139"/>
      <c r="DF51" s="139"/>
      <c r="DG51" s="139"/>
      <c r="DH51" s="139"/>
      <c r="DI51" s="139"/>
      <c r="DJ51" s="139"/>
      <c r="DK51" s="139"/>
      <c r="DL51" s="139"/>
      <c r="DM51" s="139"/>
      <c r="DN51" s="139"/>
      <c r="DO51" s="139"/>
      <c r="DP51" s="139"/>
      <c r="DQ51" s="139"/>
      <c r="DR51" s="139"/>
      <c r="DS51" s="139"/>
      <c r="DT51" s="139"/>
      <c r="DU51" s="139"/>
      <c r="DV51" s="139"/>
      <c r="DW51" s="139"/>
      <c r="DX51" s="139"/>
      <c r="DY51" s="139"/>
      <c r="DZ51" s="139"/>
      <c r="EA51" s="139"/>
      <c r="EB51" s="139"/>
      <c r="EC51" s="139"/>
      <c r="ED51" s="139"/>
      <c r="EE51" s="139"/>
      <c r="EF51" s="139"/>
      <c r="EG51" s="139"/>
      <c r="EH51" s="139"/>
      <c r="EI51" s="139"/>
      <c r="EJ51" s="139"/>
      <c r="EK51" s="139"/>
      <c r="EL51" s="139"/>
      <c r="EM51" s="139"/>
      <c r="EN51" s="139"/>
      <c r="EO51" s="139"/>
      <c r="EP51" s="139"/>
      <c r="EQ51" s="139"/>
      <c r="ER51" s="139"/>
      <c r="ES51" s="139"/>
      <c r="ET51" s="139"/>
      <c r="EU51" s="139"/>
      <c r="EV51" s="139"/>
      <c r="EW51" s="139"/>
      <c r="EX51" s="139"/>
      <c r="EY51" s="139"/>
      <c r="EZ51" s="139"/>
      <c r="FA51" s="139"/>
      <c r="FB51" s="139"/>
      <c r="FC51" s="139"/>
      <c r="FD51" s="139"/>
      <c r="FE51" s="139"/>
      <c r="FF51" s="139"/>
      <c r="FG51" s="139"/>
      <c r="FH51" s="139"/>
      <c r="FI51" s="139"/>
      <c r="FJ51" s="139"/>
      <c r="FK51" s="139"/>
      <c r="FL51" s="139"/>
      <c r="FM51" s="139"/>
      <c r="FN51" s="139"/>
      <c r="FO51" s="139"/>
      <c r="FP51" s="139"/>
      <c r="FQ51" s="139"/>
      <c r="FR51" s="139"/>
      <c r="FS51" s="139"/>
      <c r="FT51" s="139"/>
      <c r="FU51" s="139"/>
      <c r="FV51" s="139"/>
      <c r="FW51" s="139"/>
      <c r="FX51" s="139"/>
      <c r="FY51" s="139"/>
      <c r="FZ51" s="139"/>
      <c r="GA51" s="139"/>
      <c r="GB51" s="139"/>
      <c r="GC51" s="139"/>
      <c r="GD51" s="139"/>
      <c r="GE51" s="139"/>
      <c r="GF51" s="139"/>
      <c r="GG51" s="139"/>
      <c r="GH51" s="139"/>
      <c r="GI51" s="139"/>
      <c r="GJ51" s="139"/>
      <c r="GK51" s="139"/>
      <c r="GL51" s="139"/>
      <c r="GM51" s="139"/>
      <c r="GN51" s="139"/>
      <c r="GO51" s="139"/>
      <c r="GP51" s="139"/>
      <c r="GQ51" s="139"/>
      <c r="GR51" s="139"/>
      <c r="GS51" s="139"/>
      <c r="GT51" s="139"/>
      <c r="GU51" s="139"/>
      <c r="GV51" s="139"/>
      <c r="GW51" s="139"/>
      <c r="GX51" s="139"/>
      <c r="GY51" s="139"/>
      <c r="GZ51" s="139"/>
      <c r="HA51" s="139"/>
      <c r="HB51" s="139"/>
      <c r="HC51" s="139"/>
      <c r="HD51" s="139"/>
      <c r="HE51" s="139"/>
      <c r="HF51" s="139"/>
      <c r="HG51" s="139"/>
      <c r="HH51" s="139"/>
      <c r="HI51" s="139"/>
      <c r="HJ51" s="139"/>
      <c r="HK51" s="139"/>
      <c r="HL51" s="139"/>
      <c r="HM51" s="139"/>
      <c r="HN51" s="139"/>
      <c r="HO51" s="139"/>
      <c r="HP51" s="139"/>
      <c r="HQ51" s="139"/>
      <c r="HR51" s="139"/>
      <c r="HS51" s="139"/>
      <c r="HT51" s="139"/>
      <c r="HU51" s="139"/>
      <c r="HV51" s="139"/>
      <c r="HW51" s="139"/>
      <c r="HX51" s="139"/>
      <c r="HY51" s="139"/>
      <c r="HZ51" s="139"/>
      <c r="IA51" s="139"/>
      <c r="IB51" s="139"/>
      <c r="IC51" s="139"/>
      <c r="ID51" s="139"/>
      <c r="IE51" s="139"/>
      <c r="IF51" s="139"/>
      <c r="IG51" s="139"/>
      <c r="IH51" s="139"/>
      <c r="II51" s="139"/>
      <c r="IJ51" s="139"/>
      <c r="IK51" s="139"/>
      <c r="IL51" s="139"/>
      <c r="IM51" s="139"/>
      <c r="IN51" s="139"/>
      <c r="IO51" s="139"/>
      <c r="IP51" s="139"/>
      <c r="IQ51" s="139"/>
      <c r="IR51" s="139"/>
      <c r="IS51" s="139"/>
      <c r="IT51" s="139"/>
      <c r="IU51" s="139"/>
      <c r="IV51" s="139"/>
      <c r="IW51" s="139"/>
      <c r="IX51" s="139"/>
      <c r="IY51" s="139"/>
      <c r="IZ51" s="139"/>
      <c r="JA51" s="139"/>
      <c r="JB51" s="139"/>
      <c r="JC51" s="139"/>
      <c r="JD51" s="139"/>
      <c r="JE51" s="139"/>
      <c r="JF51" s="139"/>
      <c r="JG51" s="139"/>
      <c r="JH51" s="139"/>
      <c r="JI51" s="139"/>
    </row>
    <row r="52" spans="2:269" s="32" customFormat="1" ht="18" customHeight="1" x14ac:dyDescent="0.2">
      <c r="B52" s="137"/>
      <c r="D52" s="37" t="s">
        <v>13</v>
      </c>
      <c r="E52" s="37"/>
      <c r="F52" s="37"/>
      <c r="G52" s="37"/>
      <c r="H52" s="37"/>
      <c r="I52" s="37"/>
      <c r="J52" s="37"/>
      <c r="K52" s="37"/>
      <c r="L52" s="37"/>
      <c r="M52" s="37"/>
      <c r="S52" s="138"/>
      <c r="AY52" s="139"/>
      <c r="AZ52" s="139"/>
      <c r="BA52" s="139"/>
      <c r="BB52" s="139"/>
      <c r="BC52" s="139"/>
      <c r="BD52" s="139"/>
      <c r="BE52" s="139"/>
      <c r="BF52" s="139"/>
      <c r="BG52" s="139"/>
      <c r="BH52" s="139"/>
      <c r="BI52" s="139"/>
      <c r="BJ52" s="139"/>
      <c r="BK52" s="139"/>
      <c r="BL52" s="139"/>
      <c r="BM52" s="139"/>
      <c r="BN52" s="139"/>
      <c r="BO52" s="139"/>
      <c r="BP52" s="139"/>
      <c r="BQ52" s="139"/>
      <c r="BR52" s="139"/>
      <c r="BS52" s="139"/>
      <c r="BT52" s="139"/>
      <c r="BU52" s="139"/>
      <c r="BV52" s="139"/>
      <c r="BW52" s="139"/>
      <c r="BX52" s="139"/>
      <c r="BY52" s="139"/>
      <c r="BZ52" s="139"/>
      <c r="CA52" s="139"/>
      <c r="CB52" s="139"/>
      <c r="CC52" s="139"/>
      <c r="CD52" s="139"/>
      <c r="CE52" s="139"/>
      <c r="CF52" s="139"/>
      <c r="CG52" s="139"/>
      <c r="CH52" s="139"/>
      <c r="CI52" s="139"/>
      <c r="CJ52" s="139"/>
      <c r="CK52" s="139"/>
      <c r="CL52" s="139"/>
      <c r="CM52" s="139"/>
      <c r="CN52" s="139"/>
      <c r="CO52" s="139"/>
      <c r="CP52" s="139"/>
      <c r="CQ52" s="139"/>
      <c r="CR52" s="139"/>
      <c r="CS52" s="139"/>
      <c r="CT52" s="139"/>
      <c r="CU52" s="139"/>
      <c r="CV52" s="139"/>
      <c r="CW52" s="139"/>
      <c r="CX52" s="139"/>
      <c r="CY52" s="139"/>
      <c r="CZ52" s="139"/>
      <c r="DA52" s="139"/>
      <c r="DB52" s="139"/>
      <c r="DC52" s="139"/>
      <c r="DD52" s="139"/>
      <c r="DE52" s="139"/>
      <c r="DF52" s="139"/>
      <c r="DG52" s="139"/>
      <c r="DH52" s="139"/>
      <c r="DI52" s="139"/>
      <c r="DJ52" s="139"/>
      <c r="DK52" s="139"/>
      <c r="DL52" s="139"/>
      <c r="DM52" s="139"/>
      <c r="DN52" s="139"/>
      <c r="DO52" s="139"/>
      <c r="DP52" s="139"/>
      <c r="DQ52" s="139"/>
      <c r="DR52" s="139"/>
      <c r="DS52" s="139"/>
      <c r="DT52" s="139"/>
      <c r="DU52" s="139"/>
      <c r="DV52" s="139"/>
      <c r="DW52" s="139"/>
      <c r="DX52" s="139"/>
      <c r="DY52" s="139"/>
      <c r="DZ52" s="139"/>
      <c r="EA52" s="139"/>
      <c r="EB52" s="139"/>
      <c r="EC52" s="139"/>
      <c r="ED52" s="139"/>
      <c r="EE52" s="139"/>
      <c r="EF52" s="139"/>
      <c r="EG52" s="139"/>
      <c r="EH52" s="139"/>
      <c r="EI52" s="139"/>
      <c r="EJ52" s="139"/>
      <c r="EK52" s="139"/>
      <c r="EL52" s="139"/>
      <c r="EM52" s="139"/>
      <c r="EN52" s="139"/>
      <c r="EO52" s="139"/>
      <c r="EP52" s="139"/>
      <c r="EQ52" s="139"/>
      <c r="ER52" s="139"/>
      <c r="ES52" s="139"/>
      <c r="ET52" s="139"/>
      <c r="EU52" s="139"/>
      <c r="EV52" s="139"/>
      <c r="EW52" s="139"/>
      <c r="EX52" s="139"/>
      <c r="EY52" s="139"/>
      <c r="EZ52" s="139"/>
      <c r="FA52" s="139"/>
      <c r="FB52" s="139"/>
      <c r="FC52" s="139"/>
      <c r="FD52" s="139"/>
      <c r="FE52" s="139"/>
      <c r="FF52" s="139"/>
      <c r="FG52" s="139"/>
      <c r="FH52" s="139"/>
      <c r="FI52" s="139"/>
      <c r="FJ52" s="139"/>
      <c r="FK52" s="139"/>
      <c r="FL52" s="139"/>
      <c r="FM52" s="139"/>
      <c r="FN52" s="139"/>
      <c r="FO52" s="139"/>
      <c r="FP52" s="139"/>
      <c r="FQ52" s="139"/>
      <c r="FR52" s="139"/>
      <c r="FS52" s="139"/>
      <c r="FT52" s="139"/>
      <c r="FU52" s="139"/>
      <c r="FV52" s="139"/>
      <c r="FW52" s="139"/>
      <c r="FX52" s="139"/>
      <c r="FY52" s="139"/>
      <c r="FZ52" s="139"/>
      <c r="GA52" s="139"/>
      <c r="GB52" s="139"/>
      <c r="GC52" s="139"/>
      <c r="GD52" s="139"/>
      <c r="GE52" s="139"/>
      <c r="GF52" s="139"/>
      <c r="GG52" s="139"/>
      <c r="GH52" s="139"/>
      <c r="GI52" s="139"/>
      <c r="GJ52" s="139"/>
      <c r="GK52" s="139"/>
      <c r="GL52" s="139"/>
      <c r="GM52" s="139"/>
      <c r="GN52" s="139"/>
      <c r="GO52" s="139"/>
      <c r="GP52" s="139"/>
      <c r="GQ52" s="139"/>
      <c r="GR52" s="139"/>
      <c r="GS52" s="139"/>
      <c r="GT52" s="139"/>
      <c r="GU52" s="139"/>
      <c r="GV52" s="139"/>
      <c r="GW52" s="139"/>
      <c r="GX52" s="139"/>
      <c r="GY52" s="139"/>
      <c r="GZ52" s="139"/>
      <c r="HA52" s="139"/>
      <c r="HB52" s="139"/>
      <c r="HC52" s="139"/>
      <c r="HD52" s="139"/>
      <c r="HE52" s="139"/>
      <c r="HF52" s="139"/>
      <c r="HG52" s="139"/>
      <c r="HH52" s="139"/>
      <c r="HI52" s="139"/>
      <c r="HJ52" s="139"/>
      <c r="HK52" s="139"/>
      <c r="HL52" s="139"/>
      <c r="HM52" s="139"/>
      <c r="HN52" s="139"/>
      <c r="HO52" s="139"/>
      <c r="HP52" s="139"/>
      <c r="HQ52" s="139"/>
      <c r="HR52" s="139"/>
      <c r="HS52" s="139"/>
      <c r="HT52" s="139"/>
      <c r="HU52" s="139"/>
      <c r="HV52" s="139"/>
      <c r="HW52" s="139"/>
      <c r="HX52" s="139"/>
      <c r="HY52" s="139"/>
      <c r="HZ52" s="139"/>
      <c r="IA52" s="139"/>
      <c r="IB52" s="139"/>
      <c r="IC52" s="139"/>
      <c r="ID52" s="139"/>
      <c r="IE52" s="139"/>
      <c r="IF52" s="139"/>
      <c r="IG52" s="139"/>
      <c r="IH52" s="139"/>
      <c r="II52" s="139"/>
      <c r="IJ52" s="139"/>
      <c r="IK52" s="139"/>
      <c r="IL52" s="139"/>
      <c r="IM52" s="139"/>
      <c r="IN52" s="139"/>
      <c r="IO52" s="139"/>
      <c r="IP52" s="139"/>
      <c r="IQ52" s="139"/>
      <c r="IR52" s="139"/>
      <c r="IS52" s="139"/>
      <c r="IT52" s="139"/>
      <c r="IU52" s="139"/>
      <c r="IV52" s="139"/>
      <c r="IW52" s="139"/>
      <c r="IX52" s="139"/>
      <c r="IY52" s="139"/>
      <c r="IZ52" s="139"/>
      <c r="JA52" s="139"/>
      <c r="JB52" s="139"/>
      <c r="JC52" s="139"/>
      <c r="JD52" s="139"/>
      <c r="JE52" s="139"/>
      <c r="JF52" s="139"/>
      <c r="JG52" s="139"/>
      <c r="JH52" s="139"/>
      <c r="JI52" s="139"/>
    </row>
    <row r="53" spans="2:269" s="32" customFormat="1" ht="18" customHeight="1" x14ac:dyDescent="0.2">
      <c r="B53" s="137"/>
      <c r="D53" s="38" t="s">
        <v>85</v>
      </c>
      <c r="E53" s="37"/>
      <c r="F53" s="37"/>
      <c r="G53" s="37"/>
      <c r="H53" s="37"/>
      <c r="I53" s="37"/>
      <c r="J53" s="37"/>
      <c r="K53" s="37"/>
      <c r="L53" s="37"/>
      <c r="M53" s="37"/>
      <c r="S53" s="138"/>
      <c r="AY53" s="139"/>
      <c r="AZ53" s="139"/>
      <c r="BA53" s="139"/>
      <c r="BB53" s="139"/>
      <c r="BC53" s="139"/>
      <c r="BD53" s="139"/>
      <c r="BE53" s="139"/>
      <c r="BF53" s="139"/>
      <c r="BG53" s="139"/>
      <c r="BH53" s="139"/>
      <c r="BI53" s="139"/>
      <c r="BJ53" s="139"/>
      <c r="BK53" s="139"/>
      <c r="BL53" s="139"/>
      <c r="BM53" s="139"/>
      <c r="BN53" s="139"/>
      <c r="BO53" s="139"/>
      <c r="BP53" s="139"/>
      <c r="BQ53" s="139"/>
      <c r="BR53" s="139"/>
      <c r="BS53" s="139"/>
      <c r="BT53" s="139"/>
      <c r="BU53" s="139"/>
      <c r="BV53" s="139"/>
      <c r="BW53" s="139"/>
      <c r="BX53" s="139"/>
      <c r="BY53" s="139"/>
      <c r="BZ53" s="139"/>
      <c r="CA53" s="139"/>
      <c r="CB53" s="139"/>
      <c r="CC53" s="139"/>
      <c r="CD53" s="139"/>
      <c r="CE53" s="139"/>
      <c r="CF53" s="139"/>
      <c r="CG53" s="139"/>
      <c r="CH53" s="139"/>
      <c r="CI53" s="139"/>
      <c r="CJ53" s="139"/>
      <c r="CK53" s="139"/>
      <c r="CL53" s="139"/>
      <c r="CM53" s="139"/>
      <c r="CN53" s="139"/>
      <c r="CO53" s="139"/>
      <c r="CP53" s="139"/>
      <c r="CQ53" s="139"/>
      <c r="CR53" s="139"/>
      <c r="CS53" s="139"/>
      <c r="CT53" s="139"/>
      <c r="CU53" s="139"/>
      <c r="CV53" s="139"/>
      <c r="CW53" s="139"/>
      <c r="CX53" s="139"/>
      <c r="CY53" s="139"/>
      <c r="CZ53" s="139"/>
      <c r="DA53" s="139"/>
      <c r="DB53" s="139"/>
      <c r="DC53" s="139"/>
      <c r="DD53" s="139"/>
      <c r="DE53" s="139"/>
      <c r="DF53" s="139"/>
      <c r="DG53" s="139"/>
      <c r="DH53" s="139"/>
      <c r="DI53" s="139"/>
      <c r="DJ53" s="139"/>
      <c r="DK53" s="139"/>
      <c r="DL53" s="139"/>
      <c r="DM53" s="139"/>
      <c r="DN53" s="139"/>
      <c r="DO53" s="139"/>
      <c r="DP53" s="139"/>
      <c r="DQ53" s="139"/>
      <c r="DR53" s="139"/>
      <c r="DS53" s="139"/>
      <c r="DT53" s="139"/>
      <c r="DU53" s="139"/>
      <c r="DV53" s="139"/>
      <c r="DW53" s="139"/>
      <c r="DX53" s="139"/>
      <c r="DY53" s="139"/>
      <c r="DZ53" s="139"/>
      <c r="EA53" s="139"/>
      <c r="EB53" s="139"/>
      <c r="EC53" s="139"/>
      <c r="ED53" s="139"/>
      <c r="EE53" s="139"/>
      <c r="EF53" s="139"/>
      <c r="EG53" s="139"/>
      <c r="EH53" s="139"/>
      <c r="EI53" s="139"/>
      <c r="EJ53" s="139"/>
      <c r="EK53" s="139"/>
      <c r="EL53" s="139"/>
      <c r="EM53" s="139"/>
      <c r="EN53" s="139"/>
      <c r="EO53" s="139"/>
      <c r="EP53" s="139"/>
      <c r="EQ53" s="139"/>
      <c r="ER53" s="139"/>
      <c r="ES53" s="139"/>
      <c r="ET53" s="139"/>
      <c r="EU53" s="139"/>
      <c r="EV53" s="139"/>
      <c r="EW53" s="139"/>
      <c r="EX53" s="139"/>
      <c r="EY53" s="139"/>
      <c r="EZ53" s="139"/>
      <c r="FA53" s="139"/>
      <c r="FB53" s="139"/>
      <c r="FC53" s="139"/>
      <c r="FD53" s="139"/>
      <c r="FE53" s="139"/>
      <c r="FF53" s="139"/>
      <c r="FG53" s="139"/>
      <c r="FH53" s="139"/>
      <c r="FI53" s="139"/>
      <c r="FJ53" s="139"/>
      <c r="FK53" s="139"/>
      <c r="FL53" s="139"/>
      <c r="FM53" s="139"/>
      <c r="FN53" s="139"/>
      <c r="FO53" s="139"/>
      <c r="FP53" s="139"/>
      <c r="FQ53" s="139"/>
      <c r="FR53" s="139"/>
      <c r="FS53" s="139"/>
      <c r="FT53" s="139"/>
      <c r="FU53" s="139"/>
      <c r="FV53" s="139"/>
      <c r="FW53" s="139"/>
      <c r="FX53" s="139"/>
      <c r="FY53" s="139"/>
      <c r="FZ53" s="139"/>
      <c r="GA53" s="139"/>
      <c r="GB53" s="139"/>
      <c r="GC53" s="139"/>
      <c r="GD53" s="139"/>
      <c r="GE53" s="139"/>
      <c r="GF53" s="139"/>
      <c r="GG53" s="139"/>
      <c r="GH53" s="139"/>
      <c r="GI53" s="139"/>
      <c r="GJ53" s="139"/>
      <c r="GK53" s="139"/>
      <c r="GL53" s="139"/>
      <c r="GM53" s="139"/>
      <c r="GN53" s="139"/>
      <c r="GO53" s="139"/>
      <c r="GP53" s="139"/>
      <c r="GQ53" s="139"/>
      <c r="GR53" s="139"/>
      <c r="GS53" s="139"/>
      <c r="GT53" s="139"/>
      <c r="GU53" s="139"/>
      <c r="GV53" s="139"/>
      <c r="GW53" s="139"/>
      <c r="GX53" s="139"/>
      <c r="GY53" s="139"/>
      <c r="GZ53" s="139"/>
      <c r="HA53" s="139"/>
      <c r="HB53" s="139"/>
      <c r="HC53" s="139"/>
      <c r="HD53" s="139"/>
      <c r="HE53" s="139"/>
      <c r="HF53" s="139"/>
      <c r="HG53" s="139"/>
      <c r="HH53" s="139"/>
      <c r="HI53" s="139"/>
      <c r="HJ53" s="139"/>
      <c r="HK53" s="139"/>
      <c r="HL53" s="139"/>
      <c r="HM53" s="139"/>
      <c r="HN53" s="139"/>
      <c r="HO53" s="139"/>
      <c r="HP53" s="139"/>
      <c r="HQ53" s="139"/>
      <c r="HR53" s="139"/>
      <c r="HS53" s="139"/>
      <c r="HT53" s="139"/>
      <c r="HU53" s="139"/>
      <c r="HV53" s="139"/>
      <c r="HW53" s="139"/>
      <c r="HX53" s="139"/>
      <c r="HY53" s="139"/>
      <c r="HZ53" s="139"/>
      <c r="IA53" s="139"/>
      <c r="IB53" s="139"/>
      <c r="IC53" s="139"/>
      <c r="ID53" s="139"/>
      <c r="IE53" s="139"/>
      <c r="IF53" s="139"/>
      <c r="IG53" s="139"/>
      <c r="IH53" s="139"/>
      <c r="II53" s="139"/>
      <c r="IJ53" s="139"/>
      <c r="IK53" s="139"/>
      <c r="IL53" s="139"/>
      <c r="IM53" s="139"/>
      <c r="IN53" s="139"/>
      <c r="IO53" s="139"/>
      <c r="IP53" s="139"/>
      <c r="IQ53" s="139"/>
      <c r="IR53" s="139"/>
      <c r="IS53" s="139"/>
      <c r="IT53" s="139"/>
      <c r="IU53" s="139"/>
      <c r="IV53" s="139"/>
      <c r="IW53" s="139"/>
      <c r="IX53" s="139"/>
      <c r="IY53" s="139"/>
      <c r="IZ53" s="139"/>
      <c r="JA53" s="139"/>
      <c r="JB53" s="139"/>
      <c r="JC53" s="139"/>
      <c r="JD53" s="139"/>
      <c r="JE53" s="139"/>
      <c r="JF53" s="139"/>
      <c r="JG53" s="139"/>
      <c r="JH53" s="139"/>
      <c r="JI53" s="139"/>
    </row>
    <row r="54" spans="2:269" s="32" customFormat="1" ht="18" customHeight="1" x14ac:dyDescent="0.2">
      <c r="B54" s="137"/>
      <c r="D54" s="37" t="s">
        <v>16</v>
      </c>
      <c r="E54" s="37"/>
      <c r="F54" s="37"/>
      <c r="G54" s="37"/>
      <c r="H54" s="37"/>
      <c r="I54" s="37"/>
      <c r="J54" s="37"/>
      <c r="K54" s="37"/>
      <c r="L54" s="37"/>
      <c r="M54" s="37"/>
      <c r="S54" s="138"/>
      <c r="AY54" s="139"/>
      <c r="AZ54" s="139"/>
      <c r="BA54" s="139"/>
      <c r="BB54" s="139"/>
      <c r="BC54" s="139"/>
      <c r="BD54" s="139"/>
      <c r="BE54" s="139"/>
      <c r="BF54" s="139"/>
      <c r="BG54" s="139"/>
      <c r="BH54" s="139"/>
      <c r="BI54" s="139"/>
      <c r="BJ54" s="139"/>
      <c r="BK54" s="139"/>
      <c r="BL54" s="139"/>
      <c r="BM54" s="139"/>
      <c r="BN54" s="139"/>
      <c r="BO54" s="139"/>
      <c r="BP54" s="139"/>
      <c r="BQ54" s="139"/>
      <c r="BR54" s="139"/>
      <c r="BS54" s="139"/>
      <c r="BT54" s="139"/>
      <c r="BU54" s="139"/>
      <c r="BV54" s="139"/>
      <c r="BW54" s="139"/>
      <c r="BX54" s="139"/>
      <c r="BY54" s="139"/>
      <c r="BZ54" s="139"/>
      <c r="CA54" s="139"/>
      <c r="CB54" s="139"/>
      <c r="CC54" s="139"/>
      <c r="CD54" s="139"/>
      <c r="CE54" s="139"/>
      <c r="CF54" s="139"/>
      <c r="CG54" s="139"/>
      <c r="CH54" s="139"/>
      <c r="CI54" s="139"/>
      <c r="CJ54" s="139"/>
      <c r="CK54" s="139"/>
      <c r="CL54" s="139"/>
      <c r="CM54" s="139"/>
      <c r="CN54" s="139"/>
      <c r="CO54" s="139"/>
      <c r="CP54" s="139"/>
      <c r="CQ54" s="139"/>
      <c r="CR54" s="139"/>
      <c r="CS54" s="139"/>
      <c r="CT54" s="139"/>
      <c r="CU54" s="139"/>
      <c r="CV54" s="139"/>
      <c r="CW54" s="139"/>
      <c r="CX54" s="139"/>
      <c r="CY54" s="139"/>
      <c r="CZ54" s="139"/>
      <c r="DA54" s="139"/>
      <c r="DB54" s="139"/>
      <c r="DC54" s="139"/>
      <c r="DD54" s="139"/>
      <c r="DE54" s="139"/>
      <c r="DF54" s="139"/>
      <c r="DG54" s="139"/>
      <c r="DH54" s="139"/>
      <c r="DI54" s="139"/>
      <c r="DJ54" s="139"/>
      <c r="DK54" s="139"/>
      <c r="DL54" s="139"/>
      <c r="DM54" s="139"/>
      <c r="DN54" s="139"/>
      <c r="DO54" s="139"/>
      <c r="DP54" s="139"/>
      <c r="DQ54" s="139"/>
      <c r="DR54" s="139"/>
      <c r="DS54" s="139"/>
      <c r="DT54" s="139"/>
      <c r="DU54" s="139"/>
      <c r="DV54" s="139"/>
      <c r="DW54" s="139"/>
      <c r="DX54" s="139"/>
      <c r="DY54" s="139"/>
      <c r="DZ54" s="139"/>
      <c r="EA54" s="139"/>
      <c r="EB54" s="139"/>
      <c r="EC54" s="139"/>
      <c r="ED54" s="139"/>
      <c r="EE54" s="139"/>
      <c r="EF54" s="139"/>
      <c r="EG54" s="139"/>
      <c r="EH54" s="139"/>
      <c r="EI54" s="139"/>
      <c r="EJ54" s="139"/>
      <c r="EK54" s="139"/>
      <c r="EL54" s="139"/>
      <c r="EM54" s="139"/>
      <c r="EN54" s="139"/>
      <c r="EO54" s="139"/>
      <c r="EP54" s="139"/>
      <c r="EQ54" s="139"/>
      <c r="ER54" s="139"/>
      <c r="ES54" s="139"/>
      <c r="ET54" s="139"/>
      <c r="EU54" s="139"/>
      <c r="EV54" s="139"/>
      <c r="EW54" s="139"/>
      <c r="EX54" s="139"/>
      <c r="EY54" s="139"/>
      <c r="EZ54" s="139"/>
      <c r="FA54" s="139"/>
      <c r="FB54" s="139"/>
      <c r="FC54" s="139"/>
      <c r="FD54" s="139"/>
      <c r="FE54" s="139"/>
      <c r="FF54" s="139"/>
      <c r="FG54" s="139"/>
      <c r="FH54" s="139"/>
      <c r="FI54" s="139"/>
      <c r="FJ54" s="139"/>
      <c r="FK54" s="139"/>
      <c r="FL54" s="139"/>
      <c r="FM54" s="139"/>
      <c r="FN54" s="139"/>
      <c r="FO54" s="139"/>
      <c r="FP54" s="139"/>
      <c r="FQ54" s="139"/>
      <c r="FR54" s="139"/>
      <c r="FS54" s="139"/>
      <c r="FT54" s="139"/>
      <c r="FU54" s="139"/>
      <c r="FV54" s="139"/>
      <c r="FW54" s="139"/>
      <c r="FX54" s="139"/>
      <c r="FY54" s="139"/>
      <c r="FZ54" s="139"/>
      <c r="GA54" s="139"/>
      <c r="GB54" s="139"/>
      <c r="GC54" s="139"/>
      <c r="GD54" s="139"/>
      <c r="GE54" s="139"/>
      <c r="GF54" s="139"/>
      <c r="GG54" s="139"/>
      <c r="GH54" s="139"/>
      <c r="GI54" s="139"/>
      <c r="GJ54" s="139"/>
      <c r="GK54" s="139"/>
      <c r="GL54" s="139"/>
      <c r="GM54" s="139"/>
      <c r="GN54" s="139"/>
      <c r="GO54" s="139"/>
      <c r="GP54" s="139"/>
      <c r="GQ54" s="139"/>
      <c r="GR54" s="139"/>
      <c r="GS54" s="139"/>
      <c r="GT54" s="139"/>
      <c r="GU54" s="139"/>
      <c r="GV54" s="139"/>
      <c r="GW54" s="139"/>
      <c r="GX54" s="139"/>
      <c r="GY54" s="139"/>
      <c r="GZ54" s="139"/>
      <c r="HA54" s="139"/>
      <c r="HB54" s="139"/>
      <c r="HC54" s="139"/>
      <c r="HD54" s="139"/>
      <c r="HE54" s="139"/>
      <c r="HF54" s="139"/>
      <c r="HG54" s="139"/>
      <c r="HH54" s="139"/>
      <c r="HI54" s="139"/>
      <c r="HJ54" s="139"/>
      <c r="HK54" s="139"/>
      <c r="HL54" s="139"/>
      <c r="HM54" s="139"/>
      <c r="HN54" s="139"/>
      <c r="HO54" s="139"/>
      <c r="HP54" s="139"/>
      <c r="HQ54" s="139"/>
      <c r="HR54" s="139"/>
      <c r="HS54" s="139"/>
      <c r="HT54" s="139"/>
      <c r="HU54" s="139"/>
      <c r="HV54" s="139"/>
      <c r="HW54" s="139"/>
      <c r="HX54" s="139"/>
      <c r="HY54" s="139"/>
      <c r="HZ54" s="139"/>
      <c r="IA54" s="139"/>
      <c r="IB54" s="139"/>
      <c r="IC54" s="139"/>
      <c r="ID54" s="139"/>
      <c r="IE54" s="139"/>
      <c r="IF54" s="139"/>
      <c r="IG54" s="139"/>
      <c r="IH54" s="139"/>
      <c r="II54" s="139"/>
      <c r="IJ54" s="139"/>
      <c r="IK54" s="139"/>
      <c r="IL54" s="139"/>
      <c r="IM54" s="139"/>
      <c r="IN54" s="139"/>
      <c r="IO54" s="139"/>
      <c r="IP54" s="139"/>
      <c r="IQ54" s="139"/>
      <c r="IR54" s="139"/>
      <c r="IS54" s="139"/>
      <c r="IT54" s="139"/>
      <c r="IU54" s="139"/>
      <c r="IV54" s="139"/>
      <c r="IW54" s="139"/>
      <c r="IX54" s="139"/>
      <c r="IY54" s="139"/>
      <c r="IZ54" s="139"/>
      <c r="JA54" s="139"/>
      <c r="JB54" s="139"/>
      <c r="JC54" s="139"/>
      <c r="JD54" s="139"/>
      <c r="JE54" s="139"/>
      <c r="JF54" s="139"/>
      <c r="JG54" s="139"/>
      <c r="JH54" s="139"/>
      <c r="JI54" s="139"/>
    </row>
    <row r="55" spans="2:269" s="32" customFormat="1" ht="18" customHeight="1" x14ac:dyDescent="0.2">
      <c r="B55" s="137"/>
      <c r="D55" s="37"/>
      <c r="E55" s="37"/>
      <c r="F55" s="37"/>
      <c r="G55" s="37"/>
      <c r="H55" s="37"/>
      <c r="I55" s="37"/>
      <c r="J55" s="37"/>
      <c r="K55" s="37"/>
      <c r="L55" s="37"/>
      <c r="M55" s="37"/>
      <c r="S55" s="138"/>
      <c r="AY55" s="139"/>
      <c r="AZ55" s="139"/>
      <c r="BA55" s="139"/>
      <c r="BB55" s="139"/>
      <c r="BC55" s="139"/>
      <c r="BD55" s="139"/>
      <c r="BE55" s="139"/>
      <c r="BF55" s="139"/>
      <c r="BG55" s="139"/>
      <c r="BH55" s="139"/>
      <c r="BI55" s="139"/>
      <c r="BJ55" s="139"/>
      <c r="BK55" s="139"/>
      <c r="BL55" s="139"/>
      <c r="BM55" s="139"/>
      <c r="BN55" s="139"/>
      <c r="BO55" s="139"/>
      <c r="BP55" s="139"/>
      <c r="BQ55" s="139"/>
      <c r="BR55" s="139"/>
      <c r="BS55" s="139"/>
      <c r="BT55" s="139"/>
      <c r="BU55" s="139"/>
      <c r="BV55" s="139"/>
      <c r="BW55" s="139"/>
      <c r="BX55" s="139"/>
      <c r="BY55" s="139"/>
      <c r="BZ55" s="139"/>
      <c r="CA55" s="139"/>
      <c r="CB55" s="139"/>
      <c r="CC55" s="139"/>
      <c r="CD55" s="139"/>
      <c r="CE55" s="139"/>
      <c r="CF55" s="139"/>
      <c r="CG55" s="139"/>
      <c r="CH55" s="139"/>
      <c r="CI55" s="139"/>
      <c r="CJ55" s="139"/>
      <c r="CK55" s="139"/>
      <c r="CL55" s="139"/>
      <c r="CM55" s="139"/>
      <c r="CN55" s="139"/>
      <c r="CO55" s="139"/>
      <c r="CP55" s="139"/>
      <c r="CQ55" s="139"/>
      <c r="CR55" s="139"/>
      <c r="CS55" s="139"/>
      <c r="CT55" s="139"/>
      <c r="CU55" s="139"/>
      <c r="CV55" s="139"/>
      <c r="CW55" s="139"/>
      <c r="CX55" s="139"/>
      <c r="CY55" s="139"/>
      <c r="CZ55" s="139"/>
      <c r="DA55" s="139"/>
      <c r="DB55" s="139"/>
      <c r="DC55" s="139"/>
      <c r="DD55" s="139"/>
      <c r="DE55" s="139"/>
      <c r="DF55" s="139"/>
      <c r="DG55" s="139"/>
      <c r="DH55" s="139"/>
      <c r="DI55" s="139"/>
      <c r="DJ55" s="139"/>
      <c r="DK55" s="139"/>
      <c r="DL55" s="139"/>
      <c r="DM55" s="139"/>
      <c r="DN55" s="139"/>
      <c r="DO55" s="139"/>
      <c r="DP55" s="139"/>
      <c r="DQ55" s="139"/>
      <c r="DR55" s="139"/>
      <c r="DS55" s="139"/>
      <c r="DT55" s="139"/>
      <c r="DU55" s="139"/>
      <c r="DV55" s="139"/>
      <c r="DW55" s="139"/>
      <c r="DX55" s="139"/>
      <c r="DY55" s="139"/>
      <c r="DZ55" s="139"/>
      <c r="EA55" s="139"/>
      <c r="EB55" s="139"/>
      <c r="EC55" s="139"/>
      <c r="ED55" s="139"/>
      <c r="EE55" s="139"/>
      <c r="EF55" s="139"/>
      <c r="EG55" s="139"/>
      <c r="EH55" s="139"/>
      <c r="EI55" s="139"/>
      <c r="EJ55" s="139"/>
      <c r="EK55" s="139"/>
      <c r="EL55" s="139"/>
      <c r="EM55" s="139"/>
      <c r="EN55" s="139"/>
      <c r="EO55" s="139"/>
      <c r="EP55" s="139"/>
      <c r="EQ55" s="139"/>
      <c r="ER55" s="139"/>
      <c r="ES55" s="139"/>
      <c r="ET55" s="139"/>
      <c r="EU55" s="139"/>
      <c r="EV55" s="139"/>
      <c r="EW55" s="139"/>
      <c r="EX55" s="139"/>
      <c r="EY55" s="139"/>
      <c r="EZ55" s="139"/>
      <c r="FA55" s="139"/>
      <c r="FB55" s="139"/>
      <c r="FC55" s="139"/>
      <c r="FD55" s="139"/>
      <c r="FE55" s="139"/>
      <c r="FF55" s="139"/>
      <c r="FG55" s="139"/>
      <c r="FH55" s="139"/>
      <c r="FI55" s="139"/>
      <c r="FJ55" s="139"/>
      <c r="FK55" s="139"/>
      <c r="FL55" s="139"/>
      <c r="FM55" s="139"/>
      <c r="FN55" s="139"/>
      <c r="FO55" s="139"/>
      <c r="FP55" s="139"/>
      <c r="FQ55" s="139"/>
      <c r="FR55" s="139"/>
      <c r="FS55" s="139"/>
      <c r="FT55" s="139"/>
      <c r="FU55" s="139"/>
      <c r="FV55" s="139"/>
      <c r="FW55" s="139"/>
      <c r="FX55" s="139"/>
      <c r="FY55" s="139"/>
      <c r="FZ55" s="139"/>
      <c r="GA55" s="139"/>
      <c r="GB55" s="139"/>
      <c r="GC55" s="139"/>
      <c r="GD55" s="139"/>
      <c r="GE55" s="139"/>
      <c r="GF55" s="139"/>
      <c r="GG55" s="139"/>
      <c r="GH55" s="139"/>
      <c r="GI55" s="139"/>
      <c r="GJ55" s="139"/>
      <c r="GK55" s="139"/>
      <c r="GL55" s="139"/>
      <c r="GM55" s="139"/>
      <c r="GN55" s="139"/>
      <c r="GO55" s="139"/>
      <c r="GP55" s="139"/>
      <c r="GQ55" s="139"/>
      <c r="GR55" s="139"/>
      <c r="GS55" s="139"/>
      <c r="GT55" s="139"/>
      <c r="GU55" s="139"/>
      <c r="GV55" s="139"/>
      <c r="GW55" s="139"/>
      <c r="GX55" s="139"/>
      <c r="GY55" s="139"/>
      <c r="GZ55" s="139"/>
      <c r="HA55" s="139"/>
      <c r="HB55" s="139"/>
      <c r="HC55" s="139"/>
      <c r="HD55" s="139"/>
      <c r="HE55" s="139"/>
      <c r="HF55" s="139"/>
      <c r="HG55" s="139"/>
      <c r="HH55" s="139"/>
      <c r="HI55" s="139"/>
      <c r="HJ55" s="139"/>
      <c r="HK55" s="139"/>
      <c r="HL55" s="139"/>
      <c r="HM55" s="139"/>
      <c r="HN55" s="139"/>
      <c r="HO55" s="139"/>
      <c r="HP55" s="139"/>
      <c r="HQ55" s="139"/>
      <c r="HR55" s="139"/>
      <c r="HS55" s="139"/>
      <c r="HT55" s="139"/>
      <c r="HU55" s="139"/>
      <c r="HV55" s="139"/>
      <c r="HW55" s="139"/>
      <c r="HX55" s="139"/>
      <c r="HY55" s="139"/>
      <c r="HZ55" s="139"/>
      <c r="IA55" s="139"/>
      <c r="IB55" s="139"/>
      <c r="IC55" s="139"/>
      <c r="ID55" s="139"/>
      <c r="IE55" s="139"/>
      <c r="IF55" s="139"/>
      <c r="IG55" s="139"/>
      <c r="IH55" s="139"/>
      <c r="II55" s="139"/>
      <c r="IJ55" s="139"/>
      <c r="IK55" s="139"/>
      <c r="IL55" s="139"/>
      <c r="IM55" s="139"/>
      <c r="IN55" s="139"/>
      <c r="IO55" s="139"/>
      <c r="IP55" s="139"/>
      <c r="IQ55" s="139"/>
      <c r="IR55" s="139"/>
      <c r="IS55" s="139"/>
      <c r="IT55" s="139"/>
      <c r="IU55" s="139"/>
      <c r="IV55" s="139"/>
      <c r="IW55" s="139"/>
      <c r="IX55" s="139"/>
      <c r="IY55" s="139"/>
      <c r="IZ55" s="139"/>
      <c r="JA55" s="139"/>
      <c r="JB55" s="139"/>
      <c r="JC55" s="139"/>
      <c r="JD55" s="139"/>
      <c r="JE55" s="139"/>
      <c r="JF55" s="139"/>
      <c r="JG55" s="139"/>
      <c r="JH55" s="139"/>
      <c r="JI55" s="139"/>
    </row>
    <row r="56" spans="2:269" s="32" customFormat="1" ht="18" customHeight="1" x14ac:dyDescent="0.2">
      <c r="B56" s="137"/>
      <c r="D56" s="172" t="s">
        <v>18</v>
      </c>
      <c r="E56" s="172"/>
      <c r="F56" s="172"/>
      <c r="G56" s="172"/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40"/>
      <c r="W56" s="140"/>
      <c r="X56" s="140"/>
      <c r="Y56" s="140"/>
      <c r="AY56" s="139"/>
      <c r="AZ56" s="139"/>
      <c r="BA56" s="139"/>
      <c r="BB56" s="139"/>
      <c r="BC56" s="139"/>
      <c r="BD56" s="139"/>
      <c r="BE56" s="139"/>
      <c r="BF56" s="139"/>
      <c r="BG56" s="139"/>
      <c r="BH56" s="139"/>
      <c r="BI56" s="139"/>
      <c r="BJ56" s="139"/>
      <c r="BK56" s="139"/>
      <c r="BL56" s="139"/>
      <c r="BM56" s="139"/>
      <c r="BN56" s="139"/>
      <c r="BO56" s="139"/>
      <c r="BP56" s="139"/>
      <c r="BQ56" s="139"/>
      <c r="BR56" s="139"/>
      <c r="BS56" s="139"/>
      <c r="BT56" s="139"/>
      <c r="BU56" s="139"/>
      <c r="BV56" s="139"/>
      <c r="BW56" s="139"/>
      <c r="BX56" s="139"/>
      <c r="BY56" s="139"/>
      <c r="BZ56" s="139"/>
      <c r="CA56" s="139"/>
      <c r="CB56" s="139"/>
      <c r="CC56" s="139"/>
      <c r="CD56" s="139"/>
      <c r="CE56" s="139"/>
      <c r="CF56" s="139"/>
      <c r="CG56" s="139"/>
      <c r="CH56" s="139"/>
      <c r="CI56" s="139"/>
      <c r="CJ56" s="139"/>
      <c r="CK56" s="139"/>
      <c r="CL56" s="139"/>
      <c r="CM56" s="139"/>
      <c r="CN56" s="139"/>
      <c r="CO56" s="139"/>
      <c r="CP56" s="139"/>
      <c r="CQ56" s="139"/>
      <c r="CR56" s="139"/>
      <c r="CS56" s="139"/>
      <c r="CT56" s="139"/>
      <c r="CU56" s="139"/>
      <c r="CV56" s="139"/>
      <c r="CW56" s="139"/>
      <c r="CX56" s="139"/>
      <c r="CY56" s="139"/>
      <c r="CZ56" s="139"/>
      <c r="DA56" s="139"/>
      <c r="DB56" s="139"/>
      <c r="DC56" s="139"/>
      <c r="DD56" s="139"/>
      <c r="DE56" s="139"/>
      <c r="DF56" s="139"/>
      <c r="DG56" s="139"/>
      <c r="DH56" s="139"/>
      <c r="DI56" s="139"/>
      <c r="DJ56" s="139"/>
      <c r="DK56" s="139"/>
      <c r="DL56" s="139"/>
      <c r="DM56" s="139"/>
      <c r="DN56" s="139"/>
      <c r="DO56" s="139"/>
      <c r="DP56" s="139"/>
      <c r="DQ56" s="139"/>
      <c r="DR56" s="139"/>
      <c r="DS56" s="139"/>
      <c r="DT56" s="139"/>
      <c r="DU56" s="139"/>
      <c r="DV56" s="139"/>
      <c r="DW56" s="139"/>
      <c r="DX56" s="139"/>
      <c r="DY56" s="139"/>
      <c r="DZ56" s="139"/>
      <c r="EA56" s="139"/>
      <c r="EB56" s="139"/>
      <c r="EC56" s="139"/>
      <c r="ED56" s="139"/>
      <c r="EE56" s="139"/>
      <c r="EF56" s="139"/>
      <c r="EG56" s="139"/>
      <c r="EH56" s="139"/>
      <c r="EI56" s="139"/>
      <c r="EJ56" s="139"/>
      <c r="EK56" s="139"/>
      <c r="EL56" s="139"/>
      <c r="EM56" s="139"/>
      <c r="EN56" s="139"/>
      <c r="EO56" s="139"/>
      <c r="EP56" s="139"/>
      <c r="EQ56" s="139"/>
      <c r="ER56" s="139"/>
      <c r="ES56" s="139"/>
      <c r="ET56" s="139"/>
      <c r="EU56" s="139"/>
      <c r="EV56" s="139"/>
      <c r="EW56" s="139"/>
      <c r="EX56" s="139"/>
      <c r="EY56" s="139"/>
      <c r="EZ56" s="139"/>
      <c r="FA56" s="139"/>
      <c r="FB56" s="139"/>
      <c r="FC56" s="139"/>
      <c r="FD56" s="139"/>
      <c r="FE56" s="139"/>
      <c r="FF56" s="139"/>
      <c r="FG56" s="139"/>
      <c r="FH56" s="139"/>
      <c r="FI56" s="139"/>
      <c r="FJ56" s="139"/>
      <c r="FK56" s="139"/>
      <c r="FL56" s="139"/>
      <c r="FM56" s="139"/>
      <c r="FN56" s="139"/>
      <c r="FO56" s="139"/>
      <c r="FP56" s="139"/>
      <c r="FQ56" s="139"/>
      <c r="FR56" s="139"/>
      <c r="FS56" s="139"/>
      <c r="FT56" s="139"/>
      <c r="FU56" s="139"/>
      <c r="FV56" s="139"/>
      <c r="FW56" s="139"/>
      <c r="FX56" s="139"/>
      <c r="FY56" s="139"/>
      <c r="FZ56" s="139"/>
      <c r="GA56" s="139"/>
      <c r="GB56" s="139"/>
      <c r="GC56" s="139"/>
      <c r="GD56" s="139"/>
      <c r="GE56" s="139"/>
      <c r="GF56" s="139"/>
      <c r="GG56" s="139"/>
      <c r="GH56" s="139"/>
      <c r="GI56" s="139"/>
      <c r="GJ56" s="139"/>
      <c r="GK56" s="139"/>
      <c r="GL56" s="139"/>
      <c r="GM56" s="139"/>
      <c r="GN56" s="139"/>
      <c r="GO56" s="139"/>
      <c r="GP56" s="139"/>
      <c r="GQ56" s="139"/>
      <c r="GR56" s="139"/>
      <c r="GS56" s="139"/>
      <c r="GT56" s="139"/>
      <c r="GU56" s="139"/>
      <c r="GV56" s="139"/>
      <c r="GW56" s="139"/>
      <c r="GX56" s="139"/>
      <c r="GY56" s="139"/>
      <c r="GZ56" s="139"/>
      <c r="HA56" s="139"/>
      <c r="HB56" s="139"/>
      <c r="HC56" s="139"/>
      <c r="HD56" s="139"/>
      <c r="HE56" s="139"/>
      <c r="HF56" s="139"/>
      <c r="HG56" s="139"/>
      <c r="HH56" s="139"/>
      <c r="HI56" s="139"/>
      <c r="HJ56" s="139"/>
      <c r="HK56" s="139"/>
      <c r="HL56" s="139"/>
      <c r="HM56" s="139"/>
      <c r="HN56" s="139"/>
      <c r="HO56" s="139"/>
      <c r="HP56" s="139"/>
      <c r="HQ56" s="139"/>
      <c r="HR56" s="139"/>
      <c r="HS56" s="139"/>
      <c r="HT56" s="139"/>
      <c r="HU56" s="139"/>
      <c r="HV56" s="139"/>
      <c r="HW56" s="139"/>
      <c r="HX56" s="139"/>
      <c r="HY56" s="139"/>
      <c r="HZ56" s="139"/>
      <c r="IA56" s="139"/>
      <c r="IB56" s="139"/>
      <c r="IC56" s="139"/>
      <c r="ID56" s="139"/>
      <c r="IE56" s="139"/>
      <c r="IF56" s="139"/>
      <c r="IG56" s="139"/>
      <c r="IH56" s="139"/>
      <c r="II56" s="139"/>
      <c r="IJ56" s="139"/>
      <c r="IK56" s="139"/>
      <c r="IL56" s="139"/>
      <c r="IM56" s="139"/>
      <c r="IN56" s="139"/>
      <c r="IO56" s="139"/>
      <c r="IP56" s="139"/>
      <c r="IQ56" s="139"/>
      <c r="IR56" s="139"/>
      <c r="IS56" s="139"/>
      <c r="IT56" s="139"/>
      <c r="IU56" s="139"/>
      <c r="IV56" s="139"/>
      <c r="IW56" s="139"/>
      <c r="IX56" s="139"/>
      <c r="IY56" s="139"/>
      <c r="IZ56" s="139"/>
      <c r="JA56" s="139"/>
      <c r="JB56" s="139"/>
      <c r="JC56" s="139"/>
      <c r="JD56" s="139"/>
      <c r="JE56" s="139"/>
      <c r="JF56" s="139"/>
      <c r="JG56" s="139"/>
      <c r="JH56" s="139"/>
      <c r="JI56" s="139"/>
    </row>
    <row r="57" spans="2:269" s="32" customFormat="1" ht="18" customHeight="1" x14ac:dyDescent="0.2">
      <c r="B57" s="137"/>
      <c r="D57" s="172"/>
      <c r="E57" s="172"/>
      <c r="F57" s="172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AY57" s="139"/>
      <c r="AZ57" s="139"/>
      <c r="BA57" s="139"/>
      <c r="BB57" s="139"/>
      <c r="BC57" s="139"/>
      <c r="BD57" s="139"/>
      <c r="BE57" s="139"/>
      <c r="BF57" s="139"/>
      <c r="BG57" s="139"/>
      <c r="BH57" s="139"/>
      <c r="BI57" s="139"/>
      <c r="BJ57" s="139"/>
      <c r="BK57" s="139"/>
      <c r="BL57" s="139"/>
      <c r="BM57" s="139"/>
      <c r="BN57" s="139"/>
      <c r="BO57" s="139"/>
      <c r="BP57" s="139"/>
      <c r="BQ57" s="139"/>
      <c r="BR57" s="139"/>
      <c r="BS57" s="139"/>
      <c r="BT57" s="139"/>
      <c r="BU57" s="139"/>
      <c r="BV57" s="139"/>
      <c r="BW57" s="139"/>
      <c r="BX57" s="139"/>
      <c r="BY57" s="139"/>
      <c r="BZ57" s="139"/>
      <c r="CA57" s="139"/>
      <c r="CB57" s="139"/>
      <c r="CC57" s="139"/>
      <c r="CD57" s="139"/>
      <c r="CE57" s="139"/>
      <c r="CF57" s="139"/>
      <c r="CG57" s="139"/>
      <c r="CH57" s="139"/>
      <c r="CI57" s="139"/>
      <c r="CJ57" s="139"/>
      <c r="CK57" s="139"/>
      <c r="CL57" s="139"/>
      <c r="CM57" s="139"/>
      <c r="CN57" s="139"/>
      <c r="CO57" s="139"/>
      <c r="CP57" s="139"/>
      <c r="CQ57" s="139"/>
      <c r="CR57" s="139"/>
      <c r="CS57" s="139"/>
      <c r="CT57" s="139"/>
      <c r="CU57" s="139"/>
      <c r="CV57" s="139"/>
      <c r="CW57" s="139"/>
      <c r="CX57" s="139"/>
      <c r="CY57" s="139"/>
      <c r="CZ57" s="139"/>
      <c r="DA57" s="139"/>
      <c r="DB57" s="139"/>
      <c r="DC57" s="139"/>
      <c r="DD57" s="139"/>
      <c r="DE57" s="139"/>
      <c r="DF57" s="139"/>
      <c r="DG57" s="139"/>
      <c r="DH57" s="139"/>
      <c r="DI57" s="139"/>
      <c r="DJ57" s="139"/>
      <c r="DK57" s="139"/>
      <c r="DL57" s="139"/>
      <c r="DM57" s="139"/>
      <c r="DN57" s="139"/>
      <c r="DO57" s="139"/>
      <c r="DP57" s="139"/>
      <c r="DQ57" s="139"/>
      <c r="DR57" s="139"/>
      <c r="DS57" s="139"/>
      <c r="DT57" s="139"/>
      <c r="DU57" s="139"/>
      <c r="DV57" s="139"/>
      <c r="DW57" s="139"/>
      <c r="DX57" s="139"/>
      <c r="DY57" s="139"/>
      <c r="DZ57" s="139"/>
      <c r="EA57" s="139"/>
      <c r="EB57" s="139"/>
      <c r="EC57" s="139"/>
      <c r="ED57" s="139"/>
      <c r="EE57" s="139"/>
      <c r="EF57" s="139"/>
      <c r="EG57" s="139"/>
      <c r="EH57" s="139"/>
      <c r="EI57" s="139"/>
      <c r="EJ57" s="139"/>
      <c r="EK57" s="139"/>
      <c r="EL57" s="139"/>
      <c r="EM57" s="139"/>
      <c r="EN57" s="139"/>
      <c r="EO57" s="139"/>
      <c r="EP57" s="139"/>
      <c r="EQ57" s="139"/>
      <c r="ER57" s="139"/>
      <c r="ES57" s="139"/>
      <c r="ET57" s="139"/>
      <c r="EU57" s="139"/>
      <c r="EV57" s="139"/>
      <c r="EW57" s="139"/>
      <c r="EX57" s="139"/>
      <c r="EY57" s="139"/>
      <c r="EZ57" s="139"/>
      <c r="FA57" s="139"/>
      <c r="FB57" s="139"/>
      <c r="FC57" s="139"/>
      <c r="FD57" s="139"/>
      <c r="FE57" s="139"/>
      <c r="FF57" s="139"/>
      <c r="FG57" s="139"/>
      <c r="FH57" s="139"/>
      <c r="FI57" s="139"/>
      <c r="FJ57" s="139"/>
      <c r="FK57" s="139"/>
      <c r="FL57" s="139"/>
      <c r="FM57" s="139"/>
      <c r="FN57" s="139"/>
      <c r="FO57" s="139"/>
      <c r="FP57" s="139"/>
      <c r="FQ57" s="139"/>
      <c r="FR57" s="139"/>
      <c r="FS57" s="139"/>
      <c r="FT57" s="139"/>
      <c r="FU57" s="139"/>
      <c r="FV57" s="139"/>
      <c r="FW57" s="139"/>
      <c r="FX57" s="139"/>
      <c r="FY57" s="139"/>
      <c r="FZ57" s="139"/>
      <c r="GA57" s="139"/>
      <c r="GB57" s="139"/>
      <c r="GC57" s="139"/>
      <c r="GD57" s="139"/>
      <c r="GE57" s="139"/>
      <c r="GF57" s="139"/>
      <c r="GG57" s="139"/>
      <c r="GH57" s="139"/>
      <c r="GI57" s="139"/>
      <c r="GJ57" s="139"/>
      <c r="GK57" s="139"/>
      <c r="GL57" s="139"/>
      <c r="GM57" s="139"/>
      <c r="GN57" s="139"/>
      <c r="GO57" s="139"/>
      <c r="GP57" s="139"/>
      <c r="GQ57" s="139"/>
      <c r="GR57" s="139"/>
      <c r="GS57" s="139"/>
      <c r="GT57" s="139"/>
      <c r="GU57" s="139"/>
      <c r="GV57" s="139"/>
      <c r="GW57" s="139"/>
      <c r="GX57" s="139"/>
      <c r="GY57" s="139"/>
      <c r="GZ57" s="139"/>
      <c r="HA57" s="139"/>
      <c r="HB57" s="139"/>
      <c r="HC57" s="139"/>
      <c r="HD57" s="139"/>
      <c r="HE57" s="139"/>
      <c r="HF57" s="139"/>
      <c r="HG57" s="139"/>
      <c r="HH57" s="139"/>
      <c r="HI57" s="139"/>
      <c r="HJ57" s="139"/>
      <c r="HK57" s="139"/>
      <c r="HL57" s="139"/>
      <c r="HM57" s="139"/>
      <c r="HN57" s="139"/>
      <c r="HO57" s="139"/>
      <c r="HP57" s="139"/>
      <c r="HQ57" s="139"/>
      <c r="HR57" s="139"/>
      <c r="HS57" s="139"/>
      <c r="HT57" s="139"/>
      <c r="HU57" s="139"/>
      <c r="HV57" s="139"/>
      <c r="HW57" s="139"/>
      <c r="HX57" s="139"/>
      <c r="HY57" s="139"/>
      <c r="HZ57" s="139"/>
      <c r="IA57" s="139"/>
      <c r="IB57" s="139"/>
      <c r="IC57" s="139"/>
      <c r="ID57" s="139"/>
      <c r="IE57" s="139"/>
      <c r="IF57" s="139"/>
      <c r="IG57" s="139"/>
      <c r="IH57" s="139"/>
      <c r="II57" s="139"/>
      <c r="IJ57" s="139"/>
      <c r="IK57" s="139"/>
      <c r="IL57" s="139"/>
      <c r="IM57" s="139"/>
      <c r="IN57" s="139"/>
      <c r="IO57" s="139"/>
      <c r="IP57" s="139"/>
      <c r="IQ57" s="139"/>
      <c r="IR57" s="139"/>
      <c r="IS57" s="139"/>
      <c r="IT57" s="139"/>
      <c r="IU57" s="139"/>
      <c r="IV57" s="139"/>
      <c r="IW57" s="139"/>
      <c r="IX57" s="139"/>
      <c r="IY57" s="139"/>
      <c r="IZ57" s="139"/>
      <c r="JA57" s="139"/>
      <c r="JB57" s="139"/>
      <c r="JC57" s="139"/>
      <c r="JD57" s="139"/>
      <c r="JE57" s="139"/>
      <c r="JF57" s="139"/>
      <c r="JG57" s="139"/>
      <c r="JH57" s="139"/>
      <c r="JI57" s="139"/>
    </row>
    <row r="58" spans="2:269" s="32" customFormat="1" ht="18" customHeight="1" x14ac:dyDescent="0.2">
      <c r="B58" s="137"/>
      <c r="D58" s="141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AY58" s="139"/>
      <c r="AZ58" s="139"/>
      <c r="BA58" s="139"/>
      <c r="BB58" s="139"/>
      <c r="BC58" s="139"/>
      <c r="BD58" s="139"/>
      <c r="BE58" s="139"/>
      <c r="BF58" s="139"/>
      <c r="BG58" s="139"/>
      <c r="BH58" s="139"/>
      <c r="BI58" s="139"/>
      <c r="BJ58" s="139"/>
      <c r="BK58" s="139"/>
      <c r="BL58" s="139"/>
      <c r="BM58" s="139"/>
      <c r="BN58" s="139"/>
      <c r="BO58" s="139"/>
      <c r="BP58" s="139"/>
      <c r="BQ58" s="139"/>
      <c r="BR58" s="139"/>
      <c r="BS58" s="139"/>
      <c r="BT58" s="139"/>
      <c r="BU58" s="139"/>
      <c r="BV58" s="139"/>
      <c r="BW58" s="139"/>
      <c r="BX58" s="139"/>
      <c r="BY58" s="139"/>
      <c r="BZ58" s="139"/>
      <c r="CA58" s="139"/>
      <c r="CB58" s="139"/>
      <c r="CC58" s="139"/>
      <c r="CD58" s="139"/>
      <c r="CE58" s="139"/>
      <c r="CF58" s="139"/>
      <c r="CG58" s="139"/>
      <c r="CH58" s="139"/>
      <c r="CI58" s="139"/>
      <c r="CJ58" s="139"/>
      <c r="CK58" s="139"/>
      <c r="CL58" s="139"/>
      <c r="CM58" s="139"/>
      <c r="CN58" s="139"/>
      <c r="CO58" s="139"/>
      <c r="CP58" s="139"/>
      <c r="CQ58" s="139"/>
      <c r="CR58" s="139"/>
      <c r="CS58" s="139"/>
      <c r="CT58" s="139"/>
      <c r="CU58" s="139"/>
      <c r="CV58" s="139"/>
      <c r="CW58" s="139"/>
      <c r="CX58" s="139"/>
      <c r="CY58" s="139"/>
      <c r="CZ58" s="139"/>
      <c r="DA58" s="139"/>
      <c r="DB58" s="139"/>
      <c r="DC58" s="139"/>
      <c r="DD58" s="139"/>
      <c r="DE58" s="139"/>
      <c r="DF58" s="139"/>
      <c r="DG58" s="139"/>
      <c r="DH58" s="139"/>
      <c r="DI58" s="139"/>
      <c r="DJ58" s="139"/>
      <c r="DK58" s="139"/>
      <c r="DL58" s="139"/>
      <c r="DM58" s="139"/>
      <c r="DN58" s="139"/>
      <c r="DO58" s="139"/>
      <c r="DP58" s="139"/>
      <c r="DQ58" s="139"/>
      <c r="DR58" s="139"/>
      <c r="DS58" s="139"/>
      <c r="DT58" s="139"/>
      <c r="DU58" s="139"/>
      <c r="DV58" s="139"/>
      <c r="DW58" s="139"/>
      <c r="DX58" s="139"/>
      <c r="DY58" s="139"/>
      <c r="DZ58" s="139"/>
      <c r="EA58" s="139"/>
      <c r="EB58" s="139"/>
      <c r="EC58" s="139"/>
      <c r="ED58" s="139"/>
      <c r="EE58" s="139"/>
      <c r="EF58" s="139"/>
      <c r="EG58" s="139"/>
      <c r="EH58" s="139"/>
      <c r="EI58" s="139"/>
      <c r="EJ58" s="139"/>
      <c r="EK58" s="139"/>
      <c r="EL58" s="139"/>
      <c r="EM58" s="139"/>
      <c r="EN58" s="139"/>
      <c r="EO58" s="139"/>
      <c r="EP58" s="139"/>
      <c r="EQ58" s="139"/>
      <c r="ER58" s="139"/>
      <c r="ES58" s="139"/>
      <c r="ET58" s="139"/>
      <c r="EU58" s="139"/>
      <c r="EV58" s="139"/>
      <c r="EW58" s="139"/>
      <c r="EX58" s="139"/>
      <c r="EY58" s="139"/>
      <c r="EZ58" s="139"/>
      <c r="FA58" s="139"/>
      <c r="FB58" s="139"/>
      <c r="FC58" s="139"/>
      <c r="FD58" s="139"/>
      <c r="FE58" s="139"/>
      <c r="FF58" s="139"/>
      <c r="FG58" s="139"/>
      <c r="FH58" s="139"/>
      <c r="FI58" s="139"/>
      <c r="FJ58" s="139"/>
      <c r="FK58" s="139"/>
      <c r="FL58" s="139"/>
      <c r="FM58" s="139"/>
      <c r="FN58" s="139"/>
      <c r="FO58" s="139"/>
      <c r="FP58" s="139"/>
      <c r="FQ58" s="139"/>
      <c r="FR58" s="139"/>
      <c r="FS58" s="139"/>
      <c r="FT58" s="139"/>
      <c r="FU58" s="139"/>
      <c r="FV58" s="139"/>
      <c r="FW58" s="139"/>
      <c r="FX58" s="139"/>
      <c r="FY58" s="139"/>
      <c r="FZ58" s="139"/>
      <c r="GA58" s="139"/>
      <c r="GB58" s="139"/>
      <c r="GC58" s="139"/>
      <c r="GD58" s="139"/>
      <c r="GE58" s="139"/>
      <c r="GF58" s="139"/>
      <c r="GG58" s="139"/>
      <c r="GH58" s="139"/>
      <c r="GI58" s="139"/>
      <c r="GJ58" s="139"/>
      <c r="GK58" s="139"/>
      <c r="GL58" s="139"/>
      <c r="GM58" s="139"/>
      <c r="GN58" s="139"/>
      <c r="GO58" s="139"/>
      <c r="GP58" s="139"/>
      <c r="GQ58" s="139"/>
      <c r="GR58" s="139"/>
      <c r="GS58" s="139"/>
      <c r="GT58" s="139"/>
      <c r="GU58" s="139"/>
      <c r="GV58" s="139"/>
      <c r="GW58" s="139"/>
      <c r="GX58" s="139"/>
      <c r="GY58" s="139"/>
      <c r="GZ58" s="139"/>
      <c r="HA58" s="139"/>
      <c r="HB58" s="139"/>
      <c r="HC58" s="139"/>
      <c r="HD58" s="139"/>
      <c r="HE58" s="139"/>
      <c r="HF58" s="139"/>
      <c r="HG58" s="139"/>
      <c r="HH58" s="139"/>
      <c r="HI58" s="139"/>
      <c r="HJ58" s="139"/>
      <c r="HK58" s="139"/>
      <c r="HL58" s="139"/>
      <c r="HM58" s="139"/>
      <c r="HN58" s="139"/>
      <c r="HO58" s="139"/>
      <c r="HP58" s="139"/>
      <c r="HQ58" s="139"/>
      <c r="HR58" s="139"/>
      <c r="HS58" s="139"/>
      <c r="HT58" s="139"/>
      <c r="HU58" s="139"/>
      <c r="HV58" s="139"/>
      <c r="HW58" s="139"/>
      <c r="HX58" s="139"/>
      <c r="HY58" s="139"/>
      <c r="HZ58" s="139"/>
      <c r="IA58" s="139"/>
      <c r="IB58" s="139"/>
      <c r="IC58" s="139"/>
      <c r="ID58" s="139"/>
      <c r="IE58" s="139"/>
      <c r="IF58" s="139"/>
      <c r="IG58" s="139"/>
      <c r="IH58" s="139"/>
      <c r="II58" s="139"/>
      <c r="IJ58" s="139"/>
      <c r="IK58" s="139"/>
      <c r="IL58" s="139"/>
      <c r="IM58" s="139"/>
      <c r="IN58" s="139"/>
      <c r="IO58" s="139"/>
      <c r="IP58" s="139"/>
      <c r="IQ58" s="139"/>
      <c r="IR58" s="139"/>
      <c r="IS58" s="139"/>
      <c r="IT58" s="139"/>
      <c r="IU58" s="139"/>
      <c r="IV58" s="139"/>
      <c r="IW58" s="139"/>
      <c r="IX58" s="139"/>
      <c r="IY58" s="139"/>
      <c r="IZ58" s="139"/>
      <c r="JA58" s="139"/>
      <c r="JB58" s="139"/>
      <c r="JC58" s="139"/>
      <c r="JD58" s="139"/>
      <c r="JE58" s="139"/>
      <c r="JF58" s="139"/>
      <c r="JG58" s="139"/>
      <c r="JH58" s="139"/>
      <c r="JI58" s="139"/>
    </row>
    <row r="59" spans="2:269" s="32" customFormat="1" ht="18" customHeight="1" x14ac:dyDescent="0.2">
      <c r="B59" s="137"/>
      <c r="D59" s="39" t="s">
        <v>19</v>
      </c>
      <c r="S59" s="138"/>
      <c r="AY59" s="139"/>
      <c r="AZ59" s="139"/>
      <c r="BA59" s="139"/>
      <c r="BB59" s="139"/>
      <c r="BC59" s="139"/>
      <c r="BD59" s="139"/>
      <c r="BE59" s="139"/>
      <c r="BF59" s="139"/>
      <c r="BG59" s="139"/>
      <c r="BH59" s="139"/>
      <c r="BI59" s="139"/>
      <c r="BJ59" s="139"/>
      <c r="BK59" s="139"/>
      <c r="BL59" s="139"/>
      <c r="BM59" s="139"/>
      <c r="BN59" s="139"/>
      <c r="BO59" s="139"/>
      <c r="BP59" s="139"/>
      <c r="BQ59" s="139"/>
      <c r="BR59" s="139"/>
      <c r="BS59" s="139"/>
      <c r="BT59" s="139"/>
      <c r="BU59" s="139"/>
      <c r="BV59" s="139"/>
      <c r="BW59" s="139"/>
      <c r="BX59" s="139"/>
      <c r="BY59" s="139"/>
      <c r="BZ59" s="139"/>
      <c r="CA59" s="139"/>
      <c r="CB59" s="139"/>
      <c r="CC59" s="139"/>
      <c r="CD59" s="139"/>
      <c r="CE59" s="139"/>
      <c r="CF59" s="139"/>
      <c r="CG59" s="139"/>
      <c r="CH59" s="139"/>
      <c r="CI59" s="139"/>
      <c r="CJ59" s="139"/>
      <c r="CK59" s="139"/>
      <c r="CL59" s="139"/>
      <c r="CM59" s="139"/>
      <c r="CN59" s="139"/>
      <c r="CO59" s="139"/>
      <c r="CP59" s="139"/>
      <c r="CQ59" s="139"/>
      <c r="CR59" s="139"/>
      <c r="CS59" s="139"/>
      <c r="CT59" s="139"/>
      <c r="CU59" s="139"/>
      <c r="CV59" s="139"/>
      <c r="CW59" s="139"/>
      <c r="CX59" s="139"/>
      <c r="CY59" s="139"/>
      <c r="CZ59" s="139"/>
      <c r="DA59" s="139"/>
      <c r="DB59" s="139"/>
      <c r="DC59" s="139"/>
      <c r="DD59" s="139"/>
      <c r="DE59" s="139"/>
      <c r="DF59" s="139"/>
      <c r="DG59" s="139"/>
      <c r="DH59" s="139"/>
      <c r="DI59" s="139"/>
      <c r="DJ59" s="139"/>
      <c r="DK59" s="139"/>
      <c r="DL59" s="139"/>
      <c r="DM59" s="139"/>
      <c r="DN59" s="139"/>
      <c r="DO59" s="139"/>
      <c r="DP59" s="139"/>
      <c r="DQ59" s="139"/>
      <c r="DR59" s="139"/>
      <c r="DS59" s="139"/>
      <c r="DT59" s="139"/>
      <c r="DU59" s="139"/>
      <c r="DV59" s="139"/>
      <c r="DW59" s="139"/>
      <c r="DX59" s="139"/>
      <c r="DY59" s="139"/>
      <c r="DZ59" s="139"/>
      <c r="EA59" s="139"/>
      <c r="EB59" s="139"/>
      <c r="EC59" s="139"/>
      <c r="ED59" s="139"/>
      <c r="EE59" s="139"/>
      <c r="EF59" s="139"/>
      <c r="EG59" s="139"/>
      <c r="EH59" s="139"/>
      <c r="EI59" s="139"/>
      <c r="EJ59" s="139"/>
      <c r="EK59" s="139"/>
      <c r="EL59" s="139"/>
      <c r="EM59" s="139"/>
      <c r="EN59" s="139"/>
      <c r="EO59" s="139"/>
      <c r="EP59" s="139"/>
      <c r="EQ59" s="139"/>
      <c r="ER59" s="139"/>
      <c r="ES59" s="139"/>
      <c r="ET59" s="139"/>
      <c r="EU59" s="139"/>
      <c r="EV59" s="139"/>
      <c r="EW59" s="139"/>
      <c r="EX59" s="139"/>
      <c r="EY59" s="139"/>
      <c r="EZ59" s="139"/>
      <c r="FA59" s="139"/>
      <c r="FB59" s="139"/>
      <c r="FC59" s="139"/>
      <c r="FD59" s="139"/>
      <c r="FE59" s="139"/>
      <c r="FF59" s="139"/>
      <c r="FG59" s="139"/>
      <c r="FH59" s="139"/>
      <c r="FI59" s="139"/>
      <c r="FJ59" s="139"/>
      <c r="FK59" s="139"/>
      <c r="FL59" s="139"/>
      <c r="FM59" s="139"/>
      <c r="FN59" s="139"/>
      <c r="FO59" s="139"/>
      <c r="FP59" s="139"/>
      <c r="FQ59" s="139"/>
      <c r="FR59" s="139"/>
      <c r="FS59" s="139"/>
      <c r="FT59" s="139"/>
      <c r="FU59" s="139"/>
      <c r="FV59" s="139"/>
      <c r="FW59" s="139"/>
      <c r="FX59" s="139"/>
      <c r="FY59" s="139"/>
      <c r="FZ59" s="139"/>
      <c r="GA59" s="139"/>
      <c r="GB59" s="139"/>
      <c r="GC59" s="139"/>
      <c r="GD59" s="139"/>
      <c r="GE59" s="139"/>
      <c r="GF59" s="139"/>
      <c r="GG59" s="139"/>
      <c r="GH59" s="139"/>
      <c r="GI59" s="139"/>
      <c r="GJ59" s="139"/>
      <c r="GK59" s="139"/>
      <c r="GL59" s="139"/>
      <c r="GM59" s="139"/>
      <c r="GN59" s="139"/>
      <c r="GO59" s="139"/>
      <c r="GP59" s="139"/>
      <c r="GQ59" s="139"/>
      <c r="GR59" s="139"/>
      <c r="GS59" s="139"/>
      <c r="GT59" s="139"/>
      <c r="GU59" s="139"/>
      <c r="GV59" s="139"/>
      <c r="GW59" s="139"/>
      <c r="GX59" s="139"/>
      <c r="GY59" s="139"/>
      <c r="GZ59" s="139"/>
      <c r="HA59" s="139"/>
      <c r="HB59" s="139"/>
      <c r="HC59" s="139"/>
      <c r="HD59" s="139"/>
      <c r="HE59" s="139"/>
      <c r="HF59" s="139"/>
      <c r="HG59" s="139"/>
      <c r="HH59" s="139"/>
      <c r="HI59" s="139"/>
      <c r="HJ59" s="139"/>
      <c r="HK59" s="139"/>
      <c r="HL59" s="139"/>
      <c r="HM59" s="139"/>
      <c r="HN59" s="139"/>
      <c r="HO59" s="139"/>
      <c r="HP59" s="139"/>
      <c r="HQ59" s="139"/>
      <c r="HR59" s="139"/>
      <c r="HS59" s="139"/>
      <c r="HT59" s="139"/>
      <c r="HU59" s="139"/>
      <c r="HV59" s="139"/>
      <c r="HW59" s="139"/>
      <c r="HX59" s="139"/>
      <c r="HY59" s="139"/>
      <c r="HZ59" s="139"/>
      <c r="IA59" s="139"/>
      <c r="IB59" s="139"/>
      <c r="IC59" s="139"/>
      <c r="ID59" s="139"/>
      <c r="IE59" s="139"/>
      <c r="IF59" s="139"/>
      <c r="IG59" s="139"/>
      <c r="IH59" s="139"/>
      <c r="II59" s="139"/>
      <c r="IJ59" s="139"/>
      <c r="IK59" s="139"/>
      <c r="IL59" s="139"/>
      <c r="IM59" s="139"/>
      <c r="IN59" s="139"/>
      <c r="IO59" s="139"/>
      <c r="IP59" s="139"/>
      <c r="IQ59" s="139"/>
      <c r="IR59" s="139"/>
      <c r="IS59" s="139"/>
      <c r="IT59" s="139"/>
      <c r="IU59" s="139"/>
      <c r="IV59" s="139"/>
      <c r="IW59" s="139"/>
      <c r="IX59" s="139"/>
      <c r="IY59" s="139"/>
      <c r="IZ59" s="139"/>
      <c r="JA59" s="139"/>
      <c r="JB59" s="139"/>
      <c r="JC59" s="139"/>
      <c r="JD59" s="139"/>
      <c r="JE59" s="139"/>
      <c r="JF59" s="139"/>
      <c r="JG59" s="139"/>
      <c r="JH59" s="139"/>
      <c r="JI59" s="139"/>
    </row>
    <row r="60" spans="2:269" s="32" customFormat="1" ht="18" customHeight="1" x14ac:dyDescent="0.2">
      <c r="B60" s="137"/>
      <c r="S60" s="138"/>
      <c r="AY60" s="139"/>
      <c r="AZ60" s="139"/>
      <c r="BA60" s="139"/>
      <c r="BB60" s="139"/>
      <c r="BC60" s="139"/>
      <c r="BD60" s="139"/>
      <c r="BE60" s="139"/>
      <c r="BF60" s="139"/>
      <c r="BG60" s="139"/>
      <c r="BH60" s="139"/>
      <c r="BI60" s="139"/>
      <c r="BJ60" s="139"/>
      <c r="BK60" s="139"/>
      <c r="BL60" s="139"/>
      <c r="BM60" s="139"/>
      <c r="BN60" s="139"/>
      <c r="BO60" s="139"/>
      <c r="BP60" s="139"/>
      <c r="BQ60" s="139"/>
      <c r="BR60" s="139"/>
      <c r="BS60" s="139"/>
      <c r="BT60" s="139"/>
      <c r="BU60" s="139"/>
      <c r="BV60" s="139"/>
      <c r="BW60" s="139"/>
      <c r="BX60" s="139"/>
      <c r="BY60" s="139"/>
      <c r="BZ60" s="139"/>
      <c r="CA60" s="139"/>
      <c r="CB60" s="139"/>
      <c r="CC60" s="139"/>
      <c r="CD60" s="139"/>
      <c r="CE60" s="139"/>
      <c r="CF60" s="139"/>
      <c r="CG60" s="139"/>
      <c r="CH60" s="139"/>
      <c r="CI60" s="139"/>
      <c r="CJ60" s="139"/>
      <c r="CK60" s="139"/>
      <c r="CL60" s="139"/>
      <c r="CM60" s="139"/>
      <c r="CN60" s="139"/>
      <c r="CO60" s="139"/>
      <c r="CP60" s="139"/>
      <c r="CQ60" s="139"/>
      <c r="CR60" s="139"/>
      <c r="CS60" s="139"/>
      <c r="CT60" s="139"/>
      <c r="CU60" s="139"/>
      <c r="CV60" s="139"/>
      <c r="CW60" s="139"/>
      <c r="CX60" s="139"/>
      <c r="CY60" s="139"/>
      <c r="CZ60" s="139"/>
      <c r="DA60" s="139"/>
      <c r="DB60" s="139"/>
      <c r="DC60" s="139"/>
      <c r="DD60" s="139"/>
      <c r="DE60" s="139"/>
      <c r="DF60" s="139"/>
      <c r="DG60" s="139"/>
      <c r="DH60" s="139"/>
      <c r="DI60" s="139"/>
      <c r="DJ60" s="139"/>
      <c r="DK60" s="139"/>
      <c r="DL60" s="139"/>
      <c r="DM60" s="139"/>
      <c r="DN60" s="139"/>
      <c r="DO60" s="139"/>
      <c r="DP60" s="139"/>
      <c r="DQ60" s="139"/>
      <c r="DR60" s="139"/>
      <c r="DS60" s="139"/>
      <c r="DT60" s="139"/>
      <c r="DU60" s="139"/>
      <c r="DV60" s="139"/>
      <c r="DW60" s="139"/>
      <c r="DX60" s="139"/>
      <c r="DY60" s="139"/>
      <c r="DZ60" s="139"/>
      <c r="EA60" s="139"/>
      <c r="EB60" s="139"/>
      <c r="EC60" s="139"/>
      <c r="ED60" s="139"/>
      <c r="EE60" s="139"/>
      <c r="EF60" s="139"/>
      <c r="EG60" s="139"/>
      <c r="EH60" s="139"/>
      <c r="EI60" s="139"/>
      <c r="EJ60" s="139"/>
      <c r="EK60" s="139"/>
      <c r="EL60" s="139"/>
      <c r="EM60" s="139"/>
      <c r="EN60" s="139"/>
      <c r="EO60" s="139"/>
      <c r="EP60" s="139"/>
      <c r="EQ60" s="139"/>
      <c r="ER60" s="139"/>
      <c r="ES60" s="139"/>
      <c r="ET60" s="139"/>
      <c r="EU60" s="139"/>
      <c r="EV60" s="139"/>
      <c r="EW60" s="139"/>
      <c r="EX60" s="139"/>
      <c r="EY60" s="139"/>
      <c r="EZ60" s="139"/>
      <c r="FA60" s="139"/>
      <c r="FB60" s="139"/>
      <c r="FC60" s="139"/>
      <c r="FD60" s="139"/>
      <c r="FE60" s="139"/>
      <c r="FF60" s="139"/>
      <c r="FG60" s="139"/>
      <c r="FH60" s="139"/>
      <c r="FI60" s="139"/>
      <c r="FJ60" s="139"/>
      <c r="FK60" s="139"/>
      <c r="FL60" s="139"/>
      <c r="FM60" s="139"/>
      <c r="FN60" s="139"/>
      <c r="FO60" s="139"/>
      <c r="FP60" s="139"/>
      <c r="FQ60" s="139"/>
      <c r="FR60" s="139"/>
      <c r="FS60" s="139"/>
      <c r="FT60" s="139"/>
      <c r="FU60" s="139"/>
      <c r="FV60" s="139"/>
      <c r="FW60" s="139"/>
      <c r="FX60" s="139"/>
      <c r="FY60" s="139"/>
      <c r="FZ60" s="139"/>
      <c r="GA60" s="139"/>
      <c r="GB60" s="139"/>
      <c r="GC60" s="139"/>
      <c r="GD60" s="139"/>
      <c r="GE60" s="139"/>
      <c r="GF60" s="139"/>
      <c r="GG60" s="139"/>
      <c r="GH60" s="139"/>
      <c r="GI60" s="139"/>
      <c r="GJ60" s="139"/>
      <c r="GK60" s="139"/>
      <c r="GL60" s="139"/>
      <c r="GM60" s="139"/>
      <c r="GN60" s="139"/>
      <c r="GO60" s="139"/>
      <c r="GP60" s="139"/>
      <c r="GQ60" s="139"/>
      <c r="GR60" s="139"/>
      <c r="GS60" s="139"/>
      <c r="GT60" s="139"/>
      <c r="GU60" s="139"/>
      <c r="GV60" s="139"/>
      <c r="GW60" s="139"/>
      <c r="GX60" s="139"/>
      <c r="GY60" s="139"/>
      <c r="GZ60" s="139"/>
      <c r="HA60" s="139"/>
      <c r="HB60" s="139"/>
      <c r="HC60" s="139"/>
      <c r="HD60" s="139"/>
      <c r="HE60" s="139"/>
      <c r="HF60" s="139"/>
      <c r="HG60" s="139"/>
      <c r="HH60" s="139"/>
      <c r="HI60" s="139"/>
      <c r="HJ60" s="139"/>
      <c r="HK60" s="139"/>
      <c r="HL60" s="139"/>
      <c r="HM60" s="139"/>
      <c r="HN60" s="139"/>
      <c r="HO60" s="139"/>
      <c r="HP60" s="139"/>
      <c r="HQ60" s="139"/>
      <c r="HR60" s="139"/>
      <c r="HS60" s="139"/>
      <c r="HT60" s="139"/>
      <c r="HU60" s="139"/>
      <c r="HV60" s="139"/>
      <c r="HW60" s="139"/>
      <c r="HX60" s="139"/>
      <c r="HY60" s="139"/>
      <c r="HZ60" s="139"/>
      <c r="IA60" s="139"/>
      <c r="IB60" s="139"/>
      <c r="IC60" s="139"/>
      <c r="ID60" s="139"/>
      <c r="IE60" s="139"/>
      <c r="IF60" s="139"/>
      <c r="IG60" s="139"/>
      <c r="IH60" s="139"/>
      <c r="II60" s="139"/>
      <c r="IJ60" s="139"/>
      <c r="IK60" s="139"/>
      <c r="IL60" s="139"/>
      <c r="IM60" s="139"/>
      <c r="IN60" s="139"/>
      <c r="IO60" s="139"/>
      <c r="IP60" s="139"/>
      <c r="IQ60" s="139"/>
      <c r="IR60" s="139"/>
      <c r="IS60" s="139"/>
      <c r="IT60" s="139"/>
      <c r="IU60" s="139"/>
      <c r="IV60" s="139"/>
      <c r="IW60" s="139"/>
      <c r="IX60" s="139"/>
      <c r="IY60" s="139"/>
      <c r="IZ60" s="139"/>
      <c r="JA60" s="139"/>
      <c r="JB60" s="139"/>
      <c r="JC60" s="139"/>
      <c r="JD60" s="139"/>
      <c r="JE60" s="139"/>
      <c r="JF60" s="139"/>
      <c r="JG60" s="139"/>
      <c r="JH60" s="139"/>
      <c r="JI60" s="139"/>
    </row>
    <row r="61" spans="2:269" s="32" customFormat="1" ht="18" customHeight="1" x14ac:dyDescent="0.2">
      <c r="B61" s="137"/>
      <c r="D61" s="142" t="s">
        <v>20</v>
      </c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AY61" s="139"/>
      <c r="AZ61" s="139"/>
      <c r="BA61" s="139"/>
      <c r="BB61" s="139"/>
      <c r="BC61" s="139"/>
      <c r="BD61" s="139"/>
      <c r="BE61" s="139"/>
      <c r="BF61" s="139"/>
      <c r="BG61" s="139"/>
      <c r="BH61" s="139"/>
      <c r="BI61" s="139"/>
      <c r="BJ61" s="139"/>
      <c r="BK61" s="139"/>
      <c r="BL61" s="139"/>
      <c r="BM61" s="139"/>
      <c r="BN61" s="139"/>
      <c r="BO61" s="139"/>
      <c r="BP61" s="139"/>
      <c r="BQ61" s="139"/>
      <c r="BR61" s="139"/>
      <c r="BS61" s="139"/>
      <c r="BT61" s="139"/>
      <c r="BU61" s="139"/>
      <c r="BV61" s="139"/>
      <c r="BW61" s="139"/>
      <c r="BX61" s="139"/>
      <c r="BY61" s="139"/>
      <c r="BZ61" s="139"/>
      <c r="CA61" s="139"/>
      <c r="CB61" s="139"/>
      <c r="CC61" s="139"/>
      <c r="CD61" s="139"/>
      <c r="CE61" s="139"/>
      <c r="CF61" s="139"/>
      <c r="CG61" s="139"/>
      <c r="CH61" s="139"/>
      <c r="CI61" s="139"/>
      <c r="CJ61" s="139"/>
      <c r="CK61" s="139"/>
      <c r="CL61" s="139"/>
      <c r="CM61" s="139"/>
      <c r="CN61" s="139"/>
      <c r="CO61" s="139"/>
      <c r="CP61" s="139"/>
      <c r="CQ61" s="139"/>
      <c r="CR61" s="139"/>
      <c r="CS61" s="139"/>
      <c r="CT61" s="139"/>
      <c r="CU61" s="139"/>
      <c r="CV61" s="139"/>
      <c r="CW61" s="139"/>
      <c r="CX61" s="139"/>
      <c r="CY61" s="139"/>
      <c r="CZ61" s="139"/>
      <c r="DA61" s="139"/>
      <c r="DB61" s="139"/>
      <c r="DC61" s="139"/>
      <c r="DD61" s="139"/>
      <c r="DE61" s="139"/>
      <c r="DF61" s="139"/>
      <c r="DG61" s="139"/>
      <c r="DH61" s="139"/>
      <c r="DI61" s="139"/>
      <c r="DJ61" s="139"/>
      <c r="DK61" s="139"/>
      <c r="DL61" s="139"/>
      <c r="DM61" s="139"/>
      <c r="DN61" s="139"/>
      <c r="DO61" s="139"/>
      <c r="DP61" s="139"/>
      <c r="DQ61" s="139"/>
      <c r="DR61" s="139"/>
      <c r="DS61" s="139"/>
      <c r="DT61" s="139"/>
      <c r="DU61" s="139"/>
      <c r="DV61" s="139"/>
      <c r="DW61" s="139"/>
      <c r="DX61" s="139"/>
      <c r="DY61" s="139"/>
      <c r="DZ61" s="139"/>
      <c r="EA61" s="139"/>
      <c r="EB61" s="139"/>
      <c r="EC61" s="139"/>
      <c r="ED61" s="139"/>
      <c r="EE61" s="139"/>
      <c r="EF61" s="139"/>
      <c r="EG61" s="139"/>
      <c r="EH61" s="139"/>
      <c r="EI61" s="139"/>
      <c r="EJ61" s="139"/>
      <c r="EK61" s="139"/>
      <c r="EL61" s="139"/>
      <c r="EM61" s="139"/>
      <c r="EN61" s="139"/>
      <c r="EO61" s="139"/>
      <c r="EP61" s="139"/>
      <c r="EQ61" s="139"/>
      <c r="ER61" s="139"/>
      <c r="ES61" s="139"/>
      <c r="ET61" s="139"/>
      <c r="EU61" s="139"/>
      <c r="EV61" s="139"/>
      <c r="EW61" s="139"/>
      <c r="EX61" s="139"/>
      <c r="EY61" s="139"/>
      <c r="EZ61" s="139"/>
      <c r="FA61" s="139"/>
      <c r="FB61" s="139"/>
      <c r="FC61" s="139"/>
      <c r="FD61" s="139"/>
      <c r="FE61" s="139"/>
      <c r="FF61" s="139"/>
      <c r="FG61" s="139"/>
      <c r="FH61" s="139"/>
      <c r="FI61" s="139"/>
      <c r="FJ61" s="139"/>
      <c r="FK61" s="139"/>
      <c r="FL61" s="139"/>
      <c r="FM61" s="139"/>
      <c r="FN61" s="139"/>
      <c r="FO61" s="139"/>
      <c r="FP61" s="139"/>
      <c r="FQ61" s="139"/>
      <c r="FR61" s="139"/>
      <c r="FS61" s="139"/>
      <c r="FT61" s="139"/>
      <c r="FU61" s="139"/>
      <c r="FV61" s="139"/>
      <c r="FW61" s="139"/>
      <c r="FX61" s="139"/>
      <c r="FY61" s="139"/>
      <c r="FZ61" s="139"/>
      <c r="GA61" s="139"/>
      <c r="GB61" s="139"/>
      <c r="GC61" s="139"/>
      <c r="GD61" s="139"/>
      <c r="GE61" s="139"/>
      <c r="GF61" s="139"/>
      <c r="GG61" s="139"/>
      <c r="GH61" s="139"/>
      <c r="GI61" s="139"/>
      <c r="GJ61" s="139"/>
      <c r="GK61" s="139"/>
      <c r="GL61" s="139"/>
      <c r="GM61" s="139"/>
      <c r="GN61" s="139"/>
      <c r="GO61" s="139"/>
      <c r="GP61" s="139"/>
      <c r="GQ61" s="139"/>
      <c r="GR61" s="139"/>
      <c r="GS61" s="139"/>
      <c r="GT61" s="139"/>
      <c r="GU61" s="139"/>
      <c r="GV61" s="139"/>
      <c r="GW61" s="139"/>
      <c r="GX61" s="139"/>
      <c r="GY61" s="139"/>
      <c r="GZ61" s="139"/>
      <c r="HA61" s="139"/>
      <c r="HB61" s="139"/>
      <c r="HC61" s="139"/>
      <c r="HD61" s="139"/>
      <c r="HE61" s="139"/>
      <c r="HF61" s="139"/>
      <c r="HG61" s="139"/>
      <c r="HH61" s="139"/>
      <c r="HI61" s="139"/>
      <c r="HJ61" s="139"/>
      <c r="HK61" s="139"/>
      <c r="HL61" s="139"/>
      <c r="HM61" s="139"/>
      <c r="HN61" s="139"/>
      <c r="HO61" s="139"/>
      <c r="HP61" s="139"/>
      <c r="HQ61" s="139"/>
      <c r="HR61" s="139"/>
      <c r="HS61" s="139"/>
      <c r="HT61" s="139"/>
      <c r="HU61" s="139"/>
      <c r="HV61" s="139"/>
      <c r="HW61" s="139"/>
      <c r="HX61" s="139"/>
      <c r="HY61" s="139"/>
      <c r="HZ61" s="139"/>
      <c r="IA61" s="139"/>
      <c r="IB61" s="139"/>
      <c r="IC61" s="139"/>
      <c r="ID61" s="139"/>
      <c r="IE61" s="139"/>
      <c r="IF61" s="139"/>
      <c r="IG61" s="139"/>
      <c r="IH61" s="139"/>
      <c r="II61" s="139"/>
      <c r="IJ61" s="139"/>
      <c r="IK61" s="139"/>
      <c r="IL61" s="139"/>
      <c r="IM61" s="139"/>
      <c r="IN61" s="139"/>
      <c r="IO61" s="139"/>
      <c r="IP61" s="139"/>
      <c r="IQ61" s="139"/>
      <c r="IR61" s="139"/>
      <c r="IS61" s="139"/>
      <c r="IT61" s="139"/>
      <c r="IU61" s="139"/>
      <c r="IV61" s="139"/>
      <c r="IW61" s="139"/>
      <c r="IX61" s="139"/>
      <c r="IY61" s="139"/>
      <c r="IZ61" s="139"/>
      <c r="JA61" s="139"/>
      <c r="JB61" s="139"/>
      <c r="JC61" s="139"/>
      <c r="JD61" s="139"/>
      <c r="JE61" s="139"/>
      <c r="JF61" s="139"/>
      <c r="JG61" s="139"/>
      <c r="JH61" s="139"/>
      <c r="JI61" s="139"/>
    </row>
    <row r="62" spans="2:269" s="32" customFormat="1" ht="18" customHeight="1" x14ac:dyDescent="0.2">
      <c r="B62" s="137"/>
      <c r="AY62" s="139"/>
      <c r="AZ62" s="139"/>
      <c r="BA62" s="139"/>
      <c r="BB62" s="139"/>
      <c r="BC62" s="139"/>
      <c r="BD62" s="139"/>
      <c r="BE62" s="139"/>
      <c r="BF62" s="139"/>
      <c r="BG62" s="139"/>
      <c r="BH62" s="139"/>
      <c r="BI62" s="139"/>
      <c r="BJ62" s="139"/>
      <c r="BK62" s="139"/>
      <c r="BL62" s="139"/>
      <c r="BM62" s="139"/>
      <c r="BN62" s="139"/>
      <c r="BO62" s="139"/>
      <c r="BP62" s="139"/>
      <c r="BQ62" s="139"/>
      <c r="BR62" s="139"/>
      <c r="BS62" s="139"/>
      <c r="BT62" s="139"/>
      <c r="BU62" s="139"/>
      <c r="BV62" s="139"/>
      <c r="BW62" s="139"/>
      <c r="BX62" s="139"/>
      <c r="BY62" s="139"/>
      <c r="BZ62" s="139"/>
      <c r="CA62" s="139"/>
      <c r="CB62" s="139"/>
      <c r="CC62" s="139"/>
      <c r="CD62" s="139"/>
      <c r="CE62" s="139"/>
      <c r="CF62" s="139"/>
      <c r="CG62" s="139"/>
      <c r="CH62" s="139"/>
      <c r="CI62" s="139"/>
      <c r="CJ62" s="139"/>
      <c r="CK62" s="139"/>
      <c r="CL62" s="139"/>
      <c r="CM62" s="139"/>
      <c r="CN62" s="139"/>
      <c r="CO62" s="139"/>
      <c r="CP62" s="139"/>
      <c r="CQ62" s="139"/>
      <c r="CR62" s="139"/>
      <c r="CS62" s="139"/>
      <c r="CT62" s="139"/>
      <c r="CU62" s="139"/>
      <c r="CV62" s="139"/>
      <c r="CW62" s="139"/>
      <c r="CX62" s="139"/>
      <c r="CY62" s="139"/>
      <c r="CZ62" s="139"/>
      <c r="DA62" s="139"/>
      <c r="DB62" s="139"/>
      <c r="DC62" s="139"/>
      <c r="DD62" s="139"/>
      <c r="DE62" s="139"/>
      <c r="DF62" s="139"/>
      <c r="DG62" s="139"/>
      <c r="DH62" s="139"/>
      <c r="DI62" s="139"/>
      <c r="DJ62" s="139"/>
      <c r="DK62" s="139"/>
      <c r="DL62" s="139"/>
      <c r="DM62" s="139"/>
      <c r="DN62" s="139"/>
      <c r="DO62" s="139"/>
      <c r="DP62" s="139"/>
      <c r="DQ62" s="139"/>
      <c r="DR62" s="139"/>
      <c r="DS62" s="139"/>
      <c r="DT62" s="139"/>
      <c r="DU62" s="139"/>
      <c r="DV62" s="139"/>
      <c r="DW62" s="139"/>
      <c r="DX62" s="139"/>
      <c r="DY62" s="139"/>
      <c r="DZ62" s="139"/>
      <c r="EA62" s="139"/>
      <c r="EB62" s="139"/>
      <c r="EC62" s="139"/>
      <c r="ED62" s="139"/>
      <c r="EE62" s="139"/>
      <c r="EF62" s="139"/>
      <c r="EG62" s="139"/>
      <c r="EH62" s="139"/>
      <c r="EI62" s="139"/>
      <c r="EJ62" s="139"/>
      <c r="EK62" s="139"/>
      <c r="EL62" s="139"/>
      <c r="EM62" s="139"/>
      <c r="EN62" s="139"/>
      <c r="EO62" s="139"/>
      <c r="EP62" s="139"/>
      <c r="EQ62" s="139"/>
      <c r="ER62" s="139"/>
      <c r="ES62" s="139"/>
      <c r="ET62" s="139"/>
      <c r="EU62" s="139"/>
      <c r="EV62" s="139"/>
      <c r="EW62" s="139"/>
      <c r="EX62" s="139"/>
      <c r="EY62" s="139"/>
      <c r="EZ62" s="139"/>
      <c r="FA62" s="139"/>
      <c r="FB62" s="139"/>
      <c r="FC62" s="139"/>
      <c r="FD62" s="139"/>
      <c r="FE62" s="139"/>
      <c r="FF62" s="139"/>
      <c r="FG62" s="139"/>
      <c r="FH62" s="139"/>
      <c r="FI62" s="139"/>
      <c r="FJ62" s="139"/>
      <c r="FK62" s="139"/>
      <c r="FL62" s="139"/>
      <c r="FM62" s="139"/>
      <c r="FN62" s="139"/>
      <c r="FO62" s="139"/>
      <c r="FP62" s="139"/>
      <c r="FQ62" s="139"/>
      <c r="FR62" s="139"/>
      <c r="FS62" s="139"/>
      <c r="FT62" s="139"/>
      <c r="FU62" s="139"/>
      <c r="FV62" s="139"/>
      <c r="FW62" s="139"/>
      <c r="FX62" s="139"/>
      <c r="FY62" s="139"/>
      <c r="FZ62" s="139"/>
      <c r="GA62" s="139"/>
      <c r="GB62" s="139"/>
      <c r="GC62" s="139"/>
      <c r="GD62" s="139"/>
      <c r="GE62" s="139"/>
      <c r="GF62" s="139"/>
      <c r="GG62" s="139"/>
      <c r="GH62" s="139"/>
      <c r="GI62" s="139"/>
      <c r="GJ62" s="139"/>
      <c r="GK62" s="139"/>
      <c r="GL62" s="139"/>
      <c r="GM62" s="139"/>
      <c r="GN62" s="139"/>
      <c r="GO62" s="139"/>
      <c r="GP62" s="139"/>
      <c r="GQ62" s="139"/>
      <c r="GR62" s="139"/>
      <c r="GS62" s="139"/>
      <c r="GT62" s="139"/>
      <c r="GU62" s="139"/>
      <c r="GV62" s="139"/>
      <c r="GW62" s="139"/>
      <c r="GX62" s="139"/>
      <c r="GY62" s="139"/>
      <c r="GZ62" s="139"/>
      <c r="HA62" s="139"/>
      <c r="HB62" s="139"/>
      <c r="HC62" s="139"/>
      <c r="HD62" s="139"/>
      <c r="HE62" s="139"/>
      <c r="HF62" s="139"/>
      <c r="HG62" s="139"/>
      <c r="HH62" s="139"/>
      <c r="HI62" s="139"/>
      <c r="HJ62" s="139"/>
      <c r="HK62" s="139"/>
      <c r="HL62" s="139"/>
      <c r="HM62" s="139"/>
      <c r="HN62" s="139"/>
      <c r="HO62" s="139"/>
      <c r="HP62" s="139"/>
      <c r="HQ62" s="139"/>
      <c r="HR62" s="139"/>
      <c r="HS62" s="139"/>
      <c r="HT62" s="139"/>
      <c r="HU62" s="139"/>
      <c r="HV62" s="139"/>
      <c r="HW62" s="139"/>
      <c r="HX62" s="139"/>
      <c r="HY62" s="139"/>
      <c r="HZ62" s="139"/>
      <c r="IA62" s="139"/>
      <c r="IB62" s="139"/>
      <c r="IC62" s="139"/>
      <c r="ID62" s="139"/>
      <c r="IE62" s="139"/>
      <c r="IF62" s="139"/>
      <c r="IG62" s="139"/>
      <c r="IH62" s="139"/>
      <c r="II62" s="139"/>
      <c r="IJ62" s="139"/>
      <c r="IK62" s="139"/>
      <c r="IL62" s="139"/>
      <c r="IM62" s="139"/>
      <c r="IN62" s="139"/>
      <c r="IO62" s="139"/>
      <c r="IP62" s="139"/>
      <c r="IQ62" s="139"/>
      <c r="IR62" s="139"/>
      <c r="IS62" s="139"/>
      <c r="IT62" s="139"/>
      <c r="IU62" s="139"/>
      <c r="IV62" s="139"/>
      <c r="IW62" s="139"/>
      <c r="IX62" s="139"/>
      <c r="IY62" s="139"/>
      <c r="IZ62" s="139"/>
      <c r="JA62" s="139"/>
      <c r="JB62" s="139"/>
      <c r="JC62" s="139"/>
      <c r="JD62" s="139"/>
      <c r="JE62" s="139"/>
      <c r="JF62" s="139"/>
      <c r="JG62" s="139"/>
      <c r="JH62" s="139"/>
      <c r="JI62" s="139"/>
    </row>
    <row r="63" spans="2:269" s="32" customFormat="1" ht="18" customHeight="1" x14ac:dyDescent="0.2">
      <c r="B63" s="137"/>
      <c r="D63" s="144" t="s">
        <v>21</v>
      </c>
      <c r="E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5"/>
      <c r="Q63" s="145"/>
      <c r="R63" s="145"/>
      <c r="S63" s="145"/>
      <c r="T63" s="145"/>
      <c r="U63" s="145"/>
      <c r="V63" s="145"/>
      <c r="W63" s="145"/>
      <c r="X63" s="145"/>
      <c r="Y63" s="145"/>
      <c r="AY63" s="139"/>
      <c r="AZ63" s="139"/>
      <c r="BA63" s="139"/>
      <c r="BB63" s="139"/>
      <c r="BC63" s="139"/>
      <c r="BD63" s="139"/>
      <c r="BE63" s="139"/>
      <c r="BF63" s="139"/>
      <c r="BG63" s="139"/>
      <c r="BH63" s="139"/>
      <c r="BI63" s="139"/>
      <c r="BJ63" s="139"/>
      <c r="BK63" s="139"/>
      <c r="BL63" s="139"/>
      <c r="BM63" s="139"/>
      <c r="BN63" s="139"/>
      <c r="BO63" s="139"/>
      <c r="BP63" s="139"/>
      <c r="BQ63" s="139"/>
      <c r="BR63" s="139"/>
      <c r="BS63" s="139"/>
      <c r="BT63" s="139"/>
      <c r="BU63" s="139"/>
      <c r="BV63" s="139"/>
      <c r="BW63" s="139"/>
      <c r="BX63" s="139"/>
      <c r="BY63" s="139"/>
      <c r="BZ63" s="139"/>
      <c r="CA63" s="139"/>
      <c r="CB63" s="139"/>
      <c r="CC63" s="139"/>
      <c r="CD63" s="139"/>
      <c r="CE63" s="139"/>
      <c r="CF63" s="139"/>
      <c r="CG63" s="139"/>
      <c r="CH63" s="139"/>
      <c r="CI63" s="139"/>
      <c r="CJ63" s="139"/>
      <c r="CK63" s="139"/>
      <c r="CL63" s="139"/>
      <c r="CM63" s="139"/>
      <c r="CN63" s="139"/>
      <c r="CO63" s="139"/>
      <c r="CP63" s="139"/>
      <c r="CQ63" s="139"/>
      <c r="CR63" s="139"/>
      <c r="CS63" s="139"/>
      <c r="CT63" s="139"/>
      <c r="CU63" s="139"/>
      <c r="CV63" s="139"/>
      <c r="CW63" s="139"/>
      <c r="CX63" s="139"/>
      <c r="CY63" s="139"/>
      <c r="CZ63" s="139"/>
      <c r="DA63" s="139"/>
      <c r="DB63" s="139"/>
      <c r="DC63" s="139"/>
      <c r="DD63" s="139"/>
      <c r="DE63" s="139"/>
      <c r="DF63" s="139"/>
      <c r="DG63" s="139"/>
      <c r="DH63" s="139"/>
      <c r="DI63" s="139"/>
      <c r="DJ63" s="139"/>
      <c r="DK63" s="139"/>
      <c r="DL63" s="139"/>
      <c r="DM63" s="139"/>
      <c r="DN63" s="139"/>
      <c r="DO63" s="139"/>
      <c r="DP63" s="139"/>
      <c r="DQ63" s="139"/>
      <c r="DR63" s="139"/>
      <c r="DS63" s="139"/>
      <c r="DT63" s="139"/>
      <c r="DU63" s="139"/>
      <c r="DV63" s="139"/>
      <c r="DW63" s="139"/>
      <c r="DX63" s="139"/>
      <c r="DY63" s="139"/>
      <c r="DZ63" s="139"/>
      <c r="EA63" s="139"/>
      <c r="EB63" s="139"/>
      <c r="EC63" s="139"/>
      <c r="ED63" s="139"/>
      <c r="EE63" s="139"/>
      <c r="EF63" s="139"/>
      <c r="EG63" s="139"/>
      <c r="EH63" s="139"/>
      <c r="EI63" s="139"/>
      <c r="EJ63" s="139"/>
      <c r="EK63" s="139"/>
      <c r="EL63" s="139"/>
      <c r="EM63" s="139"/>
      <c r="EN63" s="139"/>
      <c r="EO63" s="139"/>
      <c r="EP63" s="139"/>
      <c r="EQ63" s="139"/>
      <c r="ER63" s="139"/>
      <c r="ES63" s="139"/>
      <c r="ET63" s="139"/>
      <c r="EU63" s="139"/>
      <c r="EV63" s="139"/>
      <c r="EW63" s="139"/>
      <c r="EX63" s="139"/>
      <c r="EY63" s="139"/>
      <c r="EZ63" s="139"/>
      <c r="FA63" s="139"/>
      <c r="FB63" s="139"/>
      <c r="FC63" s="139"/>
      <c r="FD63" s="139"/>
      <c r="FE63" s="139"/>
      <c r="FF63" s="139"/>
      <c r="FG63" s="139"/>
      <c r="FH63" s="139"/>
      <c r="FI63" s="139"/>
      <c r="FJ63" s="139"/>
      <c r="FK63" s="139"/>
      <c r="FL63" s="139"/>
      <c r="FM63" s="139"/>
      <c r="FN63" s="139"/>
      <c r="FO63" s="139"/>
      <c r="FP63" s="139"/>
      <c r="FQ63" s="139"/>
      <c r="FR63" s="139"/>
      <c r="FS63" s="139"/>
      <c r="FT63" s="139"/>
      <c r="FU63" s="139"/>
      <c r="FV63" s="139"/>
      <c r="FW63" s="139"/>
      <c r="FX63" s="139"/>
      <c r="FY63" s="139"/>
      <c r="FZ63" s="139"/>
      <c r="GA63" s="139"/>
      <c r="GB63" s="139"/>
      <c r="GC63" s="139"/>
      <c r="GD63" s="139"/>
      <c r="GE63" s="139"/>
      <c r="GF63" s="139"/>
      <c r="GG63" s="139"/>
      <c r="GH63" s="139"/>
      <c r="GI63" s="139"/>
      <c r="GJ63" s="139"/>
      <c r="GK63" s="139"/>
      <c r="GL63" s="139"/>
      <c r="GM63" s="139"/>
      <c r="GN63" s="139"/>
      <c r="GO63" s="139"/>
      <c r="GP63" s="139"/>
      <c r="GQ63" s="139"/>
      <c r="GR63" s="139"/>
      <c r="GS63" s="139"/>
      <c r="GT63" s="139"/>
      <c r="GU63" s="139"/>
      <c r="GV63" s="139"/>
      <c r="GW63" s="139"/>
      <c r="GX63" s="139"/>
      <c r="GY63" s="139"/>
      <c r="GZ63" s="139"/>
      <c r="HA63" s="139"/>
      <c r="HB63" s="139"/>
      <c r="HC63" s="139"/>
      <c r="HD63" s="139"/>
      <c r="HE63" s="139"/>
      <c r="HF63" s="139"/>
      <c r="HG63" s="139"/>
      <c r="HH63" s="139"/>
      <c r="HI63" s="139"/>
      <c r="HJ63" s="139"/>
      <c r="HK63" s="139"/>
      <c r="HL63" s="139"/>
      <c r="HM63" s="139"/>
      <c r="HN63" s="139"/>
      <c r="HO63" s="139"/>
      <c r="HP63" s="139"/>
      <c r="HQ63" s="139"/>
      <c r="HR63" s="139"/>
      <c r="HS63" s="139"/>
      <c r="HT63" s="139"/>
      <c r="HU63" s="139"/>
      <c r="HV63" s="139"/>
      <c r="HW63" s="139"/>
      <c r="HX63" s="139"/>
      <c r="HY63" s="139"/>
      <c r="HZ63" s="139"/>
      <c r="IA63" s="139"/>
      <c r="IB63" s="139"/>
      <c r="IC63" s="139"/>
      <c r="ID63" s="139"/>
      <c r="IE63" s="139"/>
      <c r="IF63" s="139"/>
      <c r="IG63" s="139"/>
      <c r="IH63" s="139"/>
      <c r="II63" s="139"/>
      <c r="IJ63" s="139"/>
      <c r="IK63" s="139"/>
      <c r="IL63" s="139"/>
      <c r="IM63" s="139"/>
      <c r="IN63" s="139"/>
      <c r="IO63" s="139"/>
      <c r="IP63" s="139"/>
      <c r="IQ63" s="139"/>
      <c r="IR63" s="139"/>
      <c r="IS63" s="139"/>
      <c r="IT63" s="139"/>
      <c r="IU63" s="139"/>
      <c r="IV63" s="139"/>
      <c r="IW63" s="139"/>
      <c r="IX63" s="139"/>
      <c r="IY63" s="139"/>
      <c r="IZ63" s="139"/>
      <c r="JA63" s="139"/>
      <c r="JB63" s="139"/>
      <c r="JC63" s="139"/>
      <c r="JD63" s="139"/>
      <c r="JE63" s="139"/>
      <c r="JF63" s="139"/>
      <c r="JG63" s="139"/>
      <c r="JH63" s="139"/>
      <c r="JI63" s="139"/>
    </row>
    <row r="64" spans="2:269" s="1" customFormat="1" ht="18" customHeight="1" x14ac:dyDescent="0.15">
      <c r="B64" s="2"/>
      <c r="S64" s="146"/>
    </row>
    <row r="65" spans="1:12" s="1" customFormat="1" ht="18" customHeight="1" x14ac:dyDescent="0.15">
      <c r="B65" s="2"/>
      <c r="D65" s="40"/>
      <c r="E65" s="40"/>
      <c r="F65" s="40"/>
      <c r="G65" s="40"/>
      <c r="H65" s="40"/>
      <c r="I65" s="40"/>
      <c r="J65" s="40"/>
      <c r="K65" s="40"/>
      <c r="L65" s="40"/>
    </row>
    <row r="66" spans="1:12" s="1" customFormat="1" ht="18" customHeight="1" x14ac:dyDescent="0.15">
      <c r="B66" s="2"/>
      <c r="D66" s="43"/>
      <c r="E66" s="43"/>
      <c r="F66" s="43"/>
      <c r="G66" s="43"/>
      <c r="H66" s="43"/>
      <c r="I66" s="43"/>
      <c r="J66" s="43"/>
      <c r="K66" s="43"/>
      <c r="L66" s="43"/>
    </row>
    <row r="67" spans="1:12" s="1" customFormat="1" ht="18" customHeight="1" x14ac:dyDescent="0.15">
      <c r="B67" s="2"/>
      <c r="D67" s="44"/>
      <c r="E67" s="44"/>
      <c r="F67" s="44"/>
      <c r="G67" s="44"/>
      <c r="H67" s="44"/>
      <c r="I67" s="44"/>
      <c r="J67" s="44"/>
      <c r="K67" s="44"/>
      <c r="L67" s="44"/>
    </row>
    <row r="68" spans="1:12" s="1" customFormat="1" ht="18" customHeight="1" x14ac:dyDescent="0.15">
      <c r="B68" s="2"/>
    </row>
    <row r="69" spans="1:12" s="1" customFormat="1" ht="18" customHeight="1" x14ac:dyDescent="0.2">
      <c r="B69" s="2"/>
      <c r="D69" s="47">
        <v>325</v>
      </c>
      <c r="E69" s="47">
        <v>325</v>
      </c>
      <c r="F69" s="47">
        <v>325</v>
      </c>
      <c r="G69" s="47">
        <v>325</v>
      </c>
      <c r="H69" s="47">
        <v>325</v>
      </c>
      <c r="I69" s="47">
        <v>325</v>
      </c>
      <c r="J69" s="47">
        <v>325</v>
      </c>
      <c r="K69" s="47">
        <v>325</v>
      </c>
      <c r="L69" s="47">
        <v>325</v>
      </c>
    </row>
    <row r="70" spans="1:12" s="1" customFormat="1" ht="18" customHeight="1" x14ac:dyDescent="0.2">
      <c r="B70" s="2"/>
      <c r="J70" s="32"/>
      <c r="K70" s="3"/>
      <c r="L70" s="3"/>
    </row>
    <row r="71" spans="1:12" s="1" customFormat="1" ht="18" customHeight="1" x14ac:dyDescent="0.2">
      <c r="B71" s="2"/>
      <c r="D71" s="50">
        <f>F86</f>
        <v>2925</v>
      </c>
      <c r="F71" s="103" t="s">
        <v>22</v>
      </c>
      <c r="G71" s="32"/>
      <c r="H71" s="32"/>
      <c r="I71" s="32"/>
      <c r="J71" s="32"/>
      <c r="K71" s="3"/>
      <c r="L71" s="3"/>
    </row>
    <row r="72" spans="1:12" s="1" customFormat="1" ht="18" customHeight="1" x14ac:dyDescent="0.2">
      <c r="A72" s="105"/>
      <c r="B72" s="106"/>
      <c r="C72" s="105"/>
      <c r="D72" s="107">
        <v>1</v>
      </c>
      <c r="F72" s="32" t="s">
        <v>30</v>
      </c>
      <c r="G72" s="32"/>
      <c r="H72" s="32"/>
      <c r="I72" s="32"/>
      <c r="J72" s="32"/>
      <c r="K72" s="3"/>
      <c r="L72" s="3"/>
    </row>
    <row r="73" spans="1:12" s="1" customFormat="1" ht="18" customHeight="1" x14ac:dyDescent="0.2">
      <c r="B73" s="2"/>
      <c r="D73" s="107">
        <v>9</v>
      </c>
      <c r="F73" s="32" t="s">
        <v>32</v>
      </c>
      <c r="G73" s="32"/>
      <c r="H73" s="32"/>
      <c r="I73" s="32"/>
      <c r="J73" s="32"/>
      <c r="K73" s="3"/>
      <c r="L73" s="3"/>
    </row>
    <row r="74" spans="1:12" s="1" customFormat="1" ht="18" customHeight="1" x14ac:dyDescent="0.2">
      <c r="A74" s="105"/>
      <c r="B74" s="106"/>
      <c r="C74" s="105"/>
      <c r="D74" s="107">
        <v>9</v>
      </c>
      <c r="F74" s="32" t="s">
        <v>33</v>
      </c>
      <c r="G74" s="32"/>
      <c r="H74" s="32"/>
      <c r="I74" s="32"/>
      <c r="J74" s="32"/>
      <c r="K74" s="3"/>
      <c r="L74" s="3"/>
    </row>
    <row r="75" spans="1:12" s="1" customFormat="1" ht="18" customHeight="1" x14ac:dyDescent="0.15">
      <c r="B75" s="2"/>
    </row>
    <row r="76" spans="1:12" s="1" customFormat="1" ht="18" customHeight="1" x14ac:dyDescent="0.2">
      <c r="B76" s="2"/>
      <c r="D76" s="32" t="s">
        <v>29</v>
      </c>
      <c r="E76" s="32"/>
      <c r="F76" s="32"/>
      <c r="G76" s="32"/>
      <c r="H76" s="32"/>
      <c r="I76" s="32"/>
      <c r="J76" s="32"/>
    </row>
    <row r="77" spans="1:12" s="1" customFormat="1" ht="18" customHeight="1" x14ac:dyDescent="0.2">
      <c r="B77" s="2"/>
      <c r="D77" s="32"/>
      <c r="E77" s="32"/>
      <c r="F77" s="32"/>
      <c r="G77" s="32"/>
      <c r="H77" s="32"/>
      <c r="I77" s="32"/>
      <c r="J77" s="32"/>
    </row>
    <row r="78" spans="1:12" s="1" customFormat="1" ht="18" customHeight="1" x14ac:dyDescent="0.2">
      <c r="B78" s="2"/>
      <c r="D78" s="32"/>
      <c r="E78" s="32">
        <v>1</v>
      </c>
      <c r="F78" s="50">
        <f>F35</f>
        <v>325</v>
      </c>
      <c r="G78" s="32"/>
      <c r="H78" s="108" t="s">
        <v>31</v>
      </c>
      <c r="I78" s="108" t="s">
        <v>22</v>
      </c>
      <c r="J78" s="32"/>
    </row>
    <row r="79" spans="1:12" s="1" customFormat="1" ht="18" customHeight="1" x14ac:dyDescent="0.2">
      <c r="B79" s="2"/>
      <c r="D79" s="32"/>
      <c r="E79" s="32">
        <v>2</v>
      </c>
      <c r="F79" s="50">
        <f>F37</f>
        <v>650</v>
      </c>
      <c r="G79" s="32"/>
      <c r="H79" s="109">
        <f t="shared" ref="H79:H86" si="0">($F79-$F78)/$F78</f>
        <v>1</v>
      </c>
      <c r="I79" s="116">
        <f t="shared" ref="I79:I86" si="1">$F79-$F78</f>
        <v>325</v>
      </c>
      <c r="J79" s="32"/>
    </row>
    <row r="80" spans="1:12" s="1" customFormat="1" ht="18" customHeight="1" x14ac:dyDescent="0.2">
      <c r="B80" s="2"/>
      <c r="D80" s="32"/>
      <c r="E80" s="32">
        <v>3</v>
      </c>
      <c r="F80" s="50">
        <f>G37</f>
        <v>975</v>
      </c>
      <c r="G80" s="32"/>
      <c r="H80" s="109">
        <f t="shared" si="0"/>
        <v>0.5</v>
      </c>
      <c r="I80" s="116">
        <f t="shared" si="1"/>
        <v>325</v>
      </c>
      <c r="J80" s="32"/>
    </row>
    <row r="81" spans="2:13" s="1" customFormat="1" ht="18" customHeight="1" x14ac:dyDescent="0.2">
      <c r="B81" s="2"/>
      <c r="D81" s="32"/>
      <c r="E81" s="32">
        <v>4</v>
      </c>
      <c r="F81" s="50">
        <v>1300</v>
      </c>
      <c r="G81" s="32"/>
      <c r="H81" s="109">
        <f t="shared" si="0"/>
        <v>0.33333333333333331</v>
      </c>
      <c r="I81" s="116">
        <f t="shared" si="1"/>
        <v>325</v>
      </c>
      <c r="J81" s="32"/>
    </row>
    <row r="82" spans="2:13" s="1" customFormat="1" ht="18" customHeight="1" x14ac:dyDescent="0.2">
      <c r="B82" s="2"/>
      <c r="D82" s="32"/>
      <c r="E82" s="32">
        <v>5</v>
      </c>
      <c r="F82" s="50">
        <v>1625</v>
      </c>
      <c r="H82" s="109">
        <f t="shared" si="0"/>
        <v>0.25</v>
      </c>
      <c r="I82" s="116">
        <f t="shared" si="1"/>
        <v>325</v>
      </c>
      <c r="J82" s="32"/>
    </row>
    <row r="83" spans="2:13" s="1" customFormat="1" ht="18" customHeight="1" x14ac:dyDescent="0.2">
      <c r="B83" s="2"/>
      <c r="D83" s="32"/>
      <c r="E83" s="32">
        <v>6</v>
      </c>
      <c r="F83" s="50">
        <v>1950</v>
      </c>
      <c r="H83" s="109">
        <f t="shared" si="0"/>
        <v>0.2</v>
      </c>
      <c r="I83" s="116">
        <f t="shared" si="1"/>
        <v>325</v>
      </c>
      <c r="J83" s="32"/>
    </row>
    <row r="84" spans="2:13" s="1" customFormat="1" ht="18" customHeight="1" x14ac:dyDescent="0.2">
      <c r="B84" s="2"/>
      <c r="D84" s="32"/>
      <c r="E84" s="32">
        <v>7</v>
      </c>
      <c r="F84" s="50">
        <v>2275</v>
      </c>
      <c r="G84" s="32"/>
      <c r="H84" s="109">
        <f t="shared" si="0"/>
        <v>0.16666666666666666</v>
      </c>
      <c r="I84" s="116">
        <f t="shared" si="1"/>
        <v>325</v>
      </c>
    </row>
    <row r="85" spans="2:13" s="1" customFormat="1" ht="18" customHeight="1" x14ac:dyDescent="0.2">
      <c r="B85" s="2"/>
      <c r="D85" s="32"/>
      <c r="E85" s="32">
        <v>8</v>
      </c>
      <c r="F85" s="50">
        <v>2600</v>
      </c>
      <c r="H85" s="109">
        <f t="shared" si="0"/>
        <v>0.14285714285714285</v>
      </c>
      <c r="I85" s="116">
        <f t="shared" si="1"/>
        <v>325</v>
      </c>
      <c r="J85" s="32"/>
    </row>
    <row r="86" spans="2:13" s="1" customFormat="1" ht="18" customHeight="1" x14ac:dyDescent="0.2">
      <c r="B86" s="2"/>
      <c r="D86" s="32"/>
      <c r="E86" s="32">
        <v>9</v>
      </c>
      <c r="F86" s="50">
        <v>2925</v>
      </c>
      <c r="H86" s="109">
        <f t="shared" si="0"/>
        <v>0.125</v>
      </c>
      <c r="I86" s="116">
        <f t="shared" si="1"/>
        <v>325</v>
      </c>
      <c r="J86" s="32"/>
    </row>
    <row r="87" spans="2:13" s="1" customFormat="1" ht="18" customHeight="1" x14ac:dyDescent="0.2">
      <c r="B87" s="2"/>
      <c r="D87" s="32"/>
      <c r="J87" s="32"/>
    </row>
    <row r="88" spans="2:13" s="1" customFormat="1" ht="18" customHeight="1" x14ac:dyDescent="0.2">
      <c r="B88" s="2"/>
      <c r="D88" s="32"/>
    </row>
    <row r="89" spans="2:13" s="1" customFormat="1" ht="18" customHeight="1" x14ac:dyDescent="0.15">
      <c r="B89" s="2"/>
      <c r="D89" s="40"/>
      <c r="E89" s="10"/>
      <c r="F89" s="12"/>
      <c r="G89" s="40"/>
      <c r="H89" s="7"/>
      <c r="I89" s="8"/>
      <c r="J89" s="9"/>
      <c r="K89" s="40"/>
      <c r="L89" s="40"/>
      <c r="M89" s="40"/>
    </row>
    <row r="90" spans="2:13" s="1" customFormat="1" ht="18" customHeight="1" x14ac:dyDescent="0.15">
      <c r="B90" s="2"/>
      <c r="D90" s="43"/>
      <c r="E90" s="19"/>
      <c r="F90" s="21"/>
      <c r="G90" s="43"/>
      <c r="H90" s="16"/>
      <c r="I90" s="17"/>
      <c r="J90" s="18"/>
      <c r="K90" s="43"/>
      <c r="L90" s="43"/>
      <c r="M90" s="43"/>
    </row>
    <row r="91" spans="2:13" s="1" customFormat="1" ht="18" customHeight="1" x14ac:dyDescent="0.15">
      <c r="B91" s="2"/>
      <c r="D91" s="44"/>
      <c r="E91" s="28"/>
      <c r="F91" s="30"/>
      <c r="G91" s="44"/>
      <c r="H91" s="25"/>
      <c r="I91" s="26"/>
      <c r="J91" s="27"/>
      <c r="K91" s="44"/>
      <c r="L91" s="44"/>
      <c r="M91" s="44"/>
    </row>
    <row r="92" spans="2:13" s="1" customFormat="1" ht="18" customHeight="1" x14ac:dyDescent="0.15">
      <c r="B92" s="2"/>
    </row>
    <row r="93" spans="2:13" s="1" customFormat="1" ht="18" customHeight="1" x14ac:dyDescent="0.2">
      <c r="B93" s="2"/>
      <c r="D93" s="47">
        <v>325</v>
      </c>
      <c r="E93" s="47">
        <v>465</v>
      </c>
      <c r="F93" s="47"/>
      <c r="G93" s="47">
        <v>325</v>
      </c>
      <c r="H93" s="47">
        <v>685</v>
      </c>
      <c r="I93" s="47"/>
      <c r="J93" s="47"/>
      <c r="K93" s="47">
        <v>325</v>
      </c>
      <c r="L93" s="47">
        <v>325</v>
      </c>
      <c r="M93" s="47">
        <v>325</v>
      </c>
    </row>
    <row r="94" spans="2:13" s="1" customFormat="1" ht="18" customHeight="1" x14ac:dyDescent="0.2">
      <c r="B94" s="2"/>
      <c r="J94" s="32"/>
      <c r="K94" s="3"/>
      <c r="L94" s="3"/>
    </row>
    <row r="95" spans="2:13" s="1" customFormat="1" ht="18" customHeight="1" x14ac:dyDescent="0.2">
      <c r="B95" s="2"/>
      <c r="D95" s="50">
        <f>SUM(F35:O35)</f>
        <v>2775</v>
      </c>
      <c r="F95" s="103" t="s">
        <v>22</v>
      </c>
      <c r="G95" s="32"/>
      <c r="H95" s="32"/>
      <c r="I95" s="32"/>
      <c r="J95" s="32"/>
      <c r="K95" s="3"/>
      <c r="L95" s="3"/>
    </row>
    <row r="96" spans="2:13" s="1" customFormat="1" ht="18" customHeight="1" x14ac:dyDescent="0.2">
      <c r="B96" s="2"/>
      <c r="D96" s="107">
        <v>1</v>
      </c>
      <c r="F96" s="32" t="s">
        <v>30</v>
      </c>
      <c r="G96" s="32"/>
      <c r="H96" s="32"/>
      <c r="I96" s="32"/>
      <c r="J96" s="32"/>
      <c r="K96" s="3"/>
      <c r="L96" s="3"/>
    </row>
    <row r="97" spans="2:12" s="1" customFormat="1" ht="18" customHeight="1" x14ac:dyDescent="0.2">
      <c r="B97" s="2"/>
      <c r="D97" s="107">
        <v>7</v>
      </c>
      <c r="F97" s="32" t="s">
        <v>32</v>
      </c>
      <c r="G97" s="32"/>
      <c r="H97" s="32"/>
      <c r="I97" s="32"/>
      <c r="J97" s="32"/>
      <c r="K97" s="3"/>
      <c r="L97" s="3"/>
    </row>
    <row r="98" spans="2:12" s="1" customFormat="1" ht="18" customHeight="1" x14ac:dyDescent="0.2">
      <c r="B98" s="2"/>
      <c r="D98" s="107">
        <v>7</v>
      </c>
      <c r="F98" s="32" t="s">
        <v>33</v>
      </c>
      <c r="G98" s="32"/>
      <c r="H98" s="32"/>
      <c r="I98" s="32"/>
      <c r="J98" s="32"/>
      <c r="K98" s="3"/>
      <c r="L98" s="3"/>
    </row>
    <row r="99" spans="2:12" s="1" customFormat="1" ht="18" customHeight="1" x14ac:dyDescent="0.15">
      <c r="B99" s="2"/>
    </row>
    <row r="100" spans="2:12" s="1" customFormat="1" ht="18" customHeight="1" x14ac:dyDescent="0.2">
      <c r="B100" s="2"/>
      <c r="D100" s="32" t="s">
        <v>29</v>
      </c>
      <c r="E100" s="32"/>
      <c r="F100" s="32"/>
      <c r="G100" s="32"/>
      <c r="H100" s="32"/>
      <c r="I100" s="32"/>
    </row>
    <row r="101" spans="2:12" s="1" customFormat="1" ht="18" customHeight="1" x14ac:dyDescent="0.2">
      <c r="B101" s="2"/>
      <c r="D101" s="32"/>
      <c r="E101" s="32"/>
      <c r="F101" s="32"/>
      <c r="G101" s="32"/>
      <c r="H101" s="32"/>
      <c r="I101" s="32"/>
      <c r="J101" s="32"/>
    </row>
    <row r="102" spans="2:12" s="1" customFormat="1" ht="18" customHeight="1" x14ac:dyDescent="0.2">
      <c r="B102" s="2"/>
      <c r="D102" s="32"/>
      <c r="E102" s="32">
        <v>1</v>
      </c>
      <c r="F102" s="50">
        <f>F35</f>
        <v>325</v>
      </c>
      <c r="G102" s="32"/>
      <c r="H102" s="108" t="s">
        <v>31</v>
      </c>
      <c r="I102" s="108" t="s">
        <v>22</v>
      </c>
      <c r="J102" s="32"/>
    </row>
    <row r="103" spans="2:12" s="1" customFormat="1" ht="18" customHeight="1" x14ac:dyDescent="0.2">
      <c r="B103" s="2"/>
      <c r="D103" s="32"/>
      <c r="E103" s="32">
        <v>2</v>
      </c>
      <c r="F103" s="50">
        <f>G35</f>
        <v>465</v>
      </c>
      <c r="G103" s="32"/>
      <c r="H103" s="109">
        <f t="shared" ref="H103:H117" si="2">($F103-$F102)/$F102</f>
        <v>0.43076923076923079</v>
      </c>
      <c r="I103" s="32">
        <f t="shared" ref="I103:I117" si="3">$F103-$F102</f>
        <v>140</v>
      </c>
      <c r="J103" s="32"/>
    </row>
    <row r="104" spans="2:12" s="1" customFormat="1" ht="18" customHeight="1" x14ac:dyDescent="0.2">
      <c r="B104" s="2"/>
      <c r="D104" s="32"/>
      <c r="E104" s="32">
        <v>3</v>
      </c>
      <c r="F104" s="50">
        <f>F37</f>
        <v>650</v>
      </c>
      <c r="G104" s="32"/>
      <c r="H104" s="109">
        <f t="shared" si="2"/>
        <v>0.39784946236559138</v>
      </c>
      <c r="I104" s="32">
        <f t="shared" si="3"/>
        <v>185</v>
      </c>
      <c r="J104" s="32"/>
    </row>
    <row r="105" spans="2:12" s="1" customFormat="1" ht="18" customHeight="1" x14ac:dyDescent="0.2">
      <c r="B105" s="2"/>
      <c r="D105" s="32"/>
      <c r="E105" s="32">
        <v>4</v>
      </c>
      <c r="F105" s="50">
        <f>I35</f>
        <v>685</v>
      </c>
      <c r="G105" s="32"/>
      <c r="H105" s="109">
        <f t="shared" si="2"/>
        <v>5.3846153846153849E-2</v>
      </c>
      <c r="I105" s="32">
        <f t="shared" si="3"/>
        <v>35</v>
      </c>
      <c r="J105" s="32"/>
    </row>
    <row r="106" spans="2:12" s="1" customFormat="1" ht="18" customHeight="1" x14ac:dyDescent="0.2">
      <c r="B106" s="2"/>
      <c r="D106" s="32"/>
      <c r="E106" s="32">
        <v>5</v>
      </c>
      <c r="F106" s="50">
        <f>F39</f>
        <v>790</v>
      </c>
      <c r="G106" s="32"/>
      <c r="H106" s="109">
        <f t="shared" si="2"/>
        <v>0.15328467153284672</v>
      </c>
      <c r="I106" s="32">
        <f t="shared" si="3"/>
        <v>105</v>
      </c>
      <c r="J106" s="32"/>
    </row>
    <row r="107" spans="2:12" s="1" customFormat="1" ht="18" customHeight="1" x14ac:dyDescent="0.2">
      <c r="B107" s="2"/>
      <c r="D107" s="32"/>
      <c r="E107" s="32">
        <v>6</v>
      </c>
      <c r="F107" s="50">
        <f>G37</f>
        <v>975</v>
      </c>
      <c r="H107" s="109">
        <f t="shared" si="2"/>
        <v>0.23417721518987342</v>
      </c>
      <c r="I107" s="32">
        <f t="shared" si="3"/>
        <v>185</v>
      </c>
      <c r="J107" s="32"/>
    </row>
    <row r="108" spans="2:12" s="1" customFormat="1" ht="18" customHeight="1" x14ac:dyDescent="0.2">
      <c r="B108" s="2"/>
      <c r="D108" s="32"/>
      <c r="E108" s="32">
        <v>7</v>
      </c>
      <c r="F108" s="50">
        <f>F38</f>
        <v>1010</v>
      </c>
      <c r="G108" s="32"/>
      <c r="H108" s="109">
        <f t="shared" si="2"/>
        <v>3.5897435897435895E-2</v>
      </c>
      <c r="I108" s="32">
        <f t="shared" si="3"/>
        <v>35</v>
      </c>
      <c r="J108" s="32"/>
    </row>
    <row r="109" spans="2:12" s="1" customFormat="1" ht="18" customHeight="1" x14ac:dyDescent="0.2">
      <c r="B109" s="2"/>
      <c r="D109" s="32"/>
      <c r="E109" s="32">
        <v>8</v>
      </c>
      <c r="F109" s="50">
        <f>G40</f>
        <v>1115</v>
      </c>
      <c r="H109" s="109">
        <f t="shared" si="2"/>
        <v>0.10396039603960396</v>
      </c>
      <c r="I109" s="32">
        <f t="shared" si="3"/>
        <v>105</v>
      </c>
      <c r="J109" s="32"/>
    </row>
    <row r="110" spans="2:12" s="1" customFormat="1" ht="18" customHeight="1" x14ac:dyDescent="0.2">
      <c r="B110" s="2"/>
      <c r="D110" s="32"/>
      <c r="E110" s="32">
        <v>9</v>
      </c>
      <c r="F110" s="50">
        <f>G38</f>
        <v>1335</v>
      </c>
      <c r="G110" s="32"/>
      <c r="H110" s="109">
        <f t="shared" si="2"/>
        <v>0.19730941704035873</v>
      </c>
      <c r="I110" s="32">
        <f t="shared" si="3"/>
        <v>220</v>
      </c>
      <c r="J110" s="32"/>
    </row>
    <row r="111" spans="2:12" s="1" customFormat="1" ht="18" customHeight="1" x14ac:dyDescent="0.2">
      <c r="B111" s="2"/>
      <c r="D111" s="32"/>
      <c r="E111" s="32">
        <v>10</v>
      </c>
      <c r="F111" s="50">
        <f>G39</f>
        <v>1475</v>
      </c>
      <c r="G111" s="32"/>
      <c r="H111" s="109">
        <f t="shared" si="2"/>
        <v>0.10486891385767791</v>
      </c>
      <c r="I111" s="32">
        <f t="shared" si="3"/>
        <v>140</v>
      </c>
      <c r="J111" s="32"/>
    </row>
    <row r="112" spans="2:12" s="1" customFormat="1" ht="18" customHeight="1" x14ac:dyDescent="0.2">
      <c r="B112" s="2"/>
      <c r="E112" s="32">
        <v>11</v>
      </c>
      <c r="F112" s="50">
        <f>H42</f>
        <v>1660</v>
      </c>
      <c r="G112" s="32"/>
      <c r="H112" s="109">
        <f t="shared" si="2"/>
        <v>0.12542372881355932</v>
      </c>
      <c r="I112" s="32">
        <f t="shared" si="3"/>
        <v>185</v>
      </c>
      <c r="J112" s="32"/>
    </row>
    <row r="113" spans="2:13" s="1" customFormat="1" ht="18" customHeight="1" x14ac:dyDescent="0.2">
      <c r="B113" s="2"/>
      <c r="D113" s="32"/>
      <c r="E113" s="32">
        <v>12</v>
      </c>
      <c r="F113" s="50">
        <f>H40</f>
        <v>1800</v>
      </c>
      <c r="G113" s="32"/>
      <c r="H113" s="109">
        <f t="shared" si="2"/>
        <v>8.4337349397590355E-2</v>
      </c>
      <c r="I113" s="32">
        <f t="shared" si="3"/>
        <v>140</v>
      </c>
    </row>
    <row r="114" spans="2:13" s="1" customFormat="1" ht="18" customHeight="1" x14ac:dyDescent="0.2">
      <c r="B114" s="2"/>
      <c r="D114" s="32"/>
      <c r="E114" s="32">
        <v>13</v>
      </c>
      <c r="F114" s="50">
        <f>I39</f>
        <v>1985</v>
      </c>
      <c r="G114" s="32"/>
      <c r="H114" s="109">
        <f t="shared" si="2"/>
        <v>0.10277777777777777</v>
      </c>
      <c r="I114" s="32">
        <f t="shared" si="3"/>
        <v>185</v>
      </c>
      <c r="J114" s="32"/>
    </row>
    <row r="115" spans="2:13" s="1" customFormat="1" ht="18" customHeight="1" x14ac:dyDescent="0.2">
      <c r="B115" s="2"/>
      <c r="E115" s="32">
        <v>14</v>
      </c>
      <c r="F115" s="50">
        <f>I37</f>
        <v>2125</v>
      </c>
      <c r="G115" s="32"/>
      <c r="H115" s="109">
        <f t="shared" si="2"/>
        <v>7.0528967254408062E-2</v>
      </c>
      <c r="I115" s="32">
        <f t="shared" si="3"/>
        <v>140</v>
      </c>
      <c r="J115" s="32"/>
    </row>
    <row r="116" spans="2:13" s="1" customFormat="1" ht="18" customHeight="1" x14ac:dyDescent="0.2">
      <c r="B116" s="2"/>
      <c r="E116" s="32">
        <v>15</v>
      </c>
      <c r="F116" s="50">
        <f>J37</f>
        <v>2450</v>
      </c>
      <c r="H116" s="109">
        <f t="shared" si="2"/>
        <v>0.15294117647058825</v>
      </c>
      <c r="I116" s="116">
        <f t="shared" si="3"/>
        <v>325</v>
      </c>
      <c r="J116" s="32"/>
    </row>
    <row r="117" spans="2:13" s="1" customFormat="1" ht="18" x14ac:dyDescent="0.2">
      <c r="B117" s="2"/>
      <c r="D117" s="32"/>
      <c r="E117" s="32">
        <v>16</v>
      </c>
      <c r="F117" s="50">
        <f>K37</f>
        <v>2775</v>
      </c>
      <c r="G117" s="32"/>
      <c r="H117" s="109">
        <f t="shared" si="2"/>
        <v>0.1326530612244898</v>
      </c>
      <c r="I117" s="116">
        <f t="shared" si="3"/>
        <v>325</v>
      </c>
      <c r="J117" s="32"/>
    </row>
    <row r="118" spans="2:13" s="1" customFormat="1" ht="18" customHeight="1" x14ac:dyDescent="0.2">
      <c r="B118" s="2"/>
      <c r="J118" s="32"/>
      <c r="M118" s="32"/>
    </row>
    <row r="119" spans="2:13" s="1" customFormat="1" ht="18" x14ac:dyDescent="0.2">
      <c r="B119" s="2"/>
      <c r="E119" s="32">
        <f>E117</f>
        <v>16</v>
      </c>
      <c r="F119" s="32" t="s">
        <v>47</v>
      </c>
    </row>
    <row r="120" spans="2:13" s="1" customFormat="1" ht="18" customHeight="1" x14ac:dyDescent="0.15">
      <c r="B120" s="2"/>
    </row>
    <row r="121" spans="2:13" s="1" customFormat="1" x14ac:dyDescent="0.15">
      <c r="B121" s="2"/>
    </row>
    <row r="122" spans="2:13" s="1" customFormat="1" x14ac:dyDescent="0.15">
      <c r="B122" s="2"/>
    </row>
    <row r="156" spans="2:2" s="1" customFormat="1" ht="18" customHeight="1" x14ac:dyDescent="0.15">
      <c r="B156" s="2"/>
    </row>
    <row r="157" spans="2:2" s="1" customFormat="1" ht="18" customHeight="1" x14ac:dyDescent="0.15">
      <c r="B157" s="2"/>
    </row>
    <row r="158" spans="2:2" s="1" customFormat="1" ht="18" customHeight="1" x14ac:dyDescent="0.15">
      <c r="B158" s="2"/>
    </row>
    <row r="159" spans="2:2" s="1" customFormat="1" ht="18" customHeight="1" x14ac:dyDescent="0.15">
      <c r="B159" s="2"/>
    </row>
    <row r="160" spans="2:2" s="1" customFormat="1" ht="18" customHeight="1" x14ac:dyDescent="0.15">
      <c r="B160" s="2"/>
    </row>
    <row r="161" spans="2:2" s="1" customFormat="1" ht="18" customHeight="1" x14ac:dyDescent="0.15">
      <c r="B161" s="2"/>
    </row>
    <row r="162" spans="2:2" s="1" customFormat="1" ht="18" customHeight="1" x14ac:dyDescent="0.15">
      <c r="B162" s="2"/>
    </row>
  </sheetData>
  <mergeCells count="1">
    <mergeCell ref="D56:U57"/>
  </mergeCells>
  <pageMargins left="0.25" right="0.25" top="0.75" bottom="0.75" header="0.3" footer="0.3"/>
  <pageSetup paperSize="9" scale="49" orientation="portrait" useFirstPageNumber="1" horizontalDpi="300" verticalDpi="300"/>
  <headerFooter differentFirst="1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F1:AC147"/>
  <sheetViews>
    <sheetView topLeftCell="A15" zoomScale="60" zoomScaleNormal="60" workbookViewId="0">
      <selection activeCell="F15" sqref="F15:Z82"/>
    </sheetView>
  </sheetViews>
  <sheetFormatPr baseColWidth="10" defaultColWidth="3.1640625" defaultRowHeight="13" x14ac:dyDescent="0.15"/>
  <cols>
    <col min="6" max="27" width="9.6640625" style="1" customWidth="1"/>
  </cols>
  <sheetData>
    <row r="1" spans="6:29" s="1" customFormat="1" ht="18" hidden="1" customHeight="1" x14ac:dyDescent="0.15"/>
    <row r="2" spans="6:29" s="1" customFormat="1" ht="18" hidden="1" customHeight="1" x14ac:dyDescent="0.15"/>
    <row r="3" spans="6:29" s="1" customFormat="1" ht="18" hidden="1" customHeight="1" x14ac:dyDescent="0.15">
      <c r="F3" s="1">
        <f>SUM(H3:U3)</f>
        <v>5550</v>
      </c>
      <c r="H3" s="1">
        <v>325</v>
      </c>
      <c r="I3" s="1">
        <v>465</v>
      </c>
      <c r="J3" s="1">
        <v>325</v>
      </c>
      <c r="K3" s="1">
        <v>685</v>
      </c>
      <c r="L3" s="1">
        <v>325</v>
      </c>
      <c r="M3" s="1">
        <v>325</v>
      </c>
      <c r="N3" s="1">
        <v>325</v>
      </c>
      <c r="O3" s="1">
        <v>325</v>
      </c>
      <c r="P3" s="1">
        <v>465</v>
      </c>
      <c r="Q3" s="1">
        <v>325</v>
      </c>
      <c r="R3" s="1">
        <v>685</v>
      </c>
      <c r="S3" s="1">
        <v>325</v>
      </c>
      <c r="T3" s="1">
        <v>325</v>
      </c>
      <c r="U3" s="1">
        <v>325</v>
      </c>
    </row>
    <row r="4" spans="6:29" s="1" customFormat="1" ht="18" hidden="1" customHeight="1" x14ac:dyDescent="0.15">
      <c r="AA4" s="34"/>
    </row>
    <row r="5" spans="6:29" s="1" customFormat="1" ht="18" hidden="1" customHeight="1" x14ac:dyDescent="0.15">
      <c r="H5" s="1">
        <f>SUM(L3:M3)</f>
        <v>650</v>
      </c>
      <c r="I5" s="1">
        <f>SUM(L3:N3)</f>
        <v>975</v>
      </c>
      <c r="J5" s="1">
        <f>SUM(H3:K3)</f>
        <v>1800</v>
      </c>
      <c r="K5" s="1">
        <f>SUM(H3:L3)</f>
        <v>2125</v>
      </c>
      <c r="L5" s="1">
        <f>SUM(H3:M3)</f>
        <v>2450</v>
      </c>
      <c r="M5" s="1">
        <f>SUM(H3:N3)</f>
        <v>2775</v>
      </c>
      <c r="N5" s="1">
        <f>SUM(H3:O3)</f>
        <v>3100</v>
      </c>
      <c r="O5" s="1">
        <f>SUM(H3:P3)</f>
        <v>3565</v>
      </c>
      <c r="P5" s="1">
        <f>SUM(H3:Q3)</f>
        <v>3890</v>
      </c>
      <c r="Q5" s="1">
        <f>SUM(H3:R3)</f>
        <v>4575</v>
      </c>
      <c r="R5" s="1">
        <f>SUM(H3:S3)</f>
        <v>4900</v>
      </c>
      <c r="S5" s="1">
        <f>SUM(H3:T3)</f>
        <v>5225</v>
      </c>
      <c r="T5" s="1">
        <f>SUM(H3:U3)</f>
        <v>5550</v>
      </c>
      <c r="AA5" s="34"/>
    </row>
    <row r="6" spans="6:29" s="1" customFormat="1" ht="18" hidden="1" customHeight="1" x14ac:dyDescent="0.15">
      <c r="H6" s="1">
        <f>SUM(J3:K3)</f>
        <v>1010</v>
      </c>
      <c r="I6" s="1">
        <f>SUM(K3:M3)</f>
        <v>1335</v>
      </c>
      <c r="J6" s="1">
        <f>SUM(I3:L3)</f>
        <v>1800</v>
      </c>
      <c r="K6" s="1">
        <f>SUM(I3:M3)</f>
        <v>2125</v>
      </c>
      <c r="L6" s="1">
        <f>SUM(H3:M3)</f>
        <v>2450</v>
      </c>
      <c r="M6" s="1">
        <f>SUM(H3:O3)</f>
        <v>3100</v>
      </c>
      <c r="N6" s="1">
        <f>SUM(I3:P3)</f>
        <v>3240</v>
      </c>
      <c r="O6" s="1">
        <f>SUM(M3:V3)</f>
        <v>3425</v>
      </c>
      <c r="P6" s="1">
        <f>SUM(M3:U3)</f>
        <v>3425</v>
      </c>
      <c r="Q6" s="1">
        <f>SUM(K3:U3)</f>
        <v>4435</v>
      </c>
      <c r="R6" s="1">
        <f>SUM(J3:U3)</f>
        <v>4760</v>
      </c>
      <c r="S6" s="1">
        <f>SUM(I3:U3)</f>
        <v>5225</v>
      </c>
      <c r="T6" s="1">
        <f>SUM(H3:U3)</f>
        <v>5550</v>
      </c>
      <c r="AA6" s="34"/>
    </row>
    <row r="7" spans="6:29" s="1" customFormat="1" ht="18" hidden="1" customHeight="1" x14ac:dyDescent="0.15">
      <c r="H7" s="1">
        <f>SUM(H3:I3)</f>
        <v>790</v>
      </c>
      <c r="I7" s="1">
        <f>SUM(I3:K3)</f>
        <v>1475</v>
      </c>
      <c r="J7" s="1">
        <f>SUM(K3:N3)</f>
        <v>1660</v>
      </c>
      <c r="K7" s="1">
        <f>SUM(J3:N3)</f>
        <v>1985</v>
      </c>
      <c r="L7" s="1">
        <f>SUM(H3:M3)</f>
        <v>2450</v>
      </c>
      <c r="M7" s="1">
        <f>SUM(K3:P3)</f>
        <v>2450</v>
      </c>
      <c r="N7" s="1">
        <f>SUM(J3:Q3)</f>
        <v>3100</v>
      </c>
      <c r="P7" s="1">
        <f>SUM(P3:U3)</f>
        <v>2450</v>
      </c>
      <c r="AA7" s="34"/>
    </row>
    <row r="8" spans="6:29" s="1" customFormat="1" ht="18" hidden="1" customHeight="1" x14ac:dyDescent="0.15">
      <c r="H8" s="1">
        <f>SUM(M3:N3)</f>
        <v>650</v>
      </c>
      <c r="I8" s="1">
        <f>SUM(H3:J3)</f>
        <v>1115</v>
      </c>
      <c r="J8" s="1">
        <f>SUM(H3:K3)</f>
        <v>1800</v>
      </c>
      <c r="K8" s="1">
        <f>SUM(J3:N3)</f>
        <v>1985</v>
      </c>
      <c r="L8" s="1">
        <f>SUM(H3:N3)</f>
        <v>2775</v>
      </c>
      <c r="N8" s="1">
        <f>SUM(K3:R3)</f>
        <v>3460</v>
      </c>
      <c r="AA8" s="34"/>
    </row>
    <row r="9" spans="6:29" s="1" customFormat="1" ht="18" hidden="1" customHeight="1" x14ac:dyDescent="0.15">
      <c r="H9" s="1">
        <f>SUM(H3:I3)</f>
        <v>790</v>
      </c>
      <c r="I9" s="1">
        <f>SUM(L3:N3)</f>
        <v>975</v>
      </c>
      <c r="J9" s="1">
        <f>SUM(I3:L3)</f>
        <v>1800</v>
      </c>
      <c r="K9" s="1">
        <f>SUM(I3:N3)</f>
        <v>2450</v>
      </c>
      <c r="N9" s="1">
        <f>SUM(K3:T3)</f>
        <v>4110</v>
      </c>
      <c r="Q9" s="1">
        <f>SUM(I3:Q3)</f>
        <v>3565</v>
      </c>
      <c r="AA9" s="34"/>
    </row>
    <row r="10" spans="6:29" s="1" customFormat="1" ht="18" hidden="1" customHeight="1" x14ac:dyDescent="0.15">
      <c r="H10" s="1">
        <f>SUM(N3)</f>
        <v>325</v>
      </c>
      <c r="J10" s="1">
        <f>SUM(J3:M3)</f>
        <v>1660</v>
      </c>
      <c r="K10" s="1">
        <f>SUM(I3:N3)</f>
        <v>2450</v>
      </c>
      <c r="N10" s="1">
        <f>SUM(L3:T3)</f>
        <v>3425</v>
      </c>
      <c r="AA10" s="34"/>
    </row>
    <row r="11" spans="6:29" s="1" customFormat="1" ht="18" hidden="1" customHeight="1" x14ac:dyDescent="0.15">
      <c r="N11" s="1">
        <f>SUM(K3:S3)</f>
        <v>3785</v>
      </c>
      <c r="AA11" s="34"/>
    </row>
    <row r="12" spans="6:29" s="1" customFormat="1" ht="18" hidden="1" customHeight="1" x14ac:dyDescent="0.15">
      <c r="N12" s="1">
        <f>SUM(J3:R3)</f>
        <v>3785</v>
      </c>
      <c r="AA12" s="34"/>
    </row>
    <row r="13" spans="6:29" s="1" customFormat="1" ht="18" hidden="1" customHeight="1" x14ac:dyDescent="0.15">
      <c r="N13" s="1">
        <f>SUM(H3:P3)</f>
        <v>3565</v>
      </c>
      <c r="AA13" s="34"/>
    </row>
    <row r="14" spans="6:29" s="1" customFormat="1" ht="18" hidden="1" customHeight="1" x14ac:dyDescent="0.15">
      <c r="AA14" s="34"/>
    </row>
    <row r="15" spans="6:29" s="32" customFormat="1" ht="18" customHeight="1" x14ac:dyDescent="0.2">
      <c r="F15" s="36" t="s">
        <v>11</v>
      </c>
      <c r="G15" s="37"/>
      <c r="H15" s="37"/>
      <c r="I15" s="37"/>
      <c r="J15" s="37"/>
      <c r="K15" s="37"/>
      <c r="L15" s="37"/>
      <c r="M15" s="37"/>
      <c r="N15" s="37"/>
      <c r="O15" s="37"/>
      <c r="AA15" s="147"/>
      <c r="AB15" s="139"/>
      <c r="AC15" s="139"/>
    </row>
    <row r="16" spans="6:29" s="32" customFormat="1" ht="18" customHeight="1" x14ac:dyDescent="0.2">
      <c r="F16" s="37" t="s">
        <v>12</v>
      </c>
      <c r="G16" s="37"/>
      <c r="H16" s="37"/>
      <c r="I16" s="37"/>
      <c r="J16" s="37"/>
      <c r="K16" s="37"/>
      <c r="L16" s="37"/>
      <c r="M16" s="37"/>
      <c r="N16" s="37"/>
      <c r="O16" s="37"/>
      <c r="AA16" s="147"/>
      <c r="AB16" s="139"/>
      <c r="AC16" s="139"/>
    </row>
    <row r="17" spans="6:29" s="32" customFormat="1" ht="18" customHeight="1" x14ac:dyDescent="0.2">
      <c r="F17" s="37" t="s">
        <v>13</v>
      </c>
      <c r="G17" s="37"/>
      <c r="H17" s="37"/>
      <c r="I17" s="37"/>
      <c r="J17" s="37"/>
      <c r="K17" s="37"/>
      <c r="L17" s="37"/>
      <c r="M17" s="37"/>
      <c r="N17" s="37"/>
      <c r="O17" s="37"/>
      <c r="AA17" s="147"/>
      <c r="AB17" s="139"/>
      <c r="AC17" s="139"/>
    </row>
    <row r="18" spans="6:29" s="32" customFormat="1" ht="18" customHeight="1" x14ac:dyDescent="0.2">
      <c r="F18" s="38" t="s">
        <v>84</v>
      </c>
      <c r="G18" s="37"/>
      <c r="H18" s="37"/>
      <c r="I18" s="37"/>
      <c r="J18" s="37"/>
      <c r="K18" s="37"/>
      <c r="L18" s="37"/>
      <c r="M18" s="37"/>
      <c r="N18" s="37"/>
      <c r="O18" s="37"/>
      <c r="AA18" s="147"/>
      <c r="AB18" s="139"/>
      <c r="AC18" s="139"/>
    </row>
    <row r="19" spans="6:29" s="32" customFormat="1" ht="18" customHeight="1" x14ac:dyDescent="0.2">
      <c r="F19" s="37" t="s">
        <v>16</v>
      </c>
      <c r="G19" s="37"/>
      <c r="H19" s="37"/>
      <c r="I19" s="37"/>
      <c r="J19" s="37"/>
      <c r="K19" s="37"/>
      <c r="L19" s="37"/>
      <c r="M19" s="37"/>
      <c r="N19" s="37"/>
      <c r="O19" s="37"/>
      <c r="AA19" s="147"/>
      <c r="AB19" s="139"/>
      <c r="AC19" s="139"/>
    </row>
    <row r="20" spans="6:29" s="32" customFormat="1" ht="18" customHeight="1" x14ac:dyDescent="0.2">
      <c r="F20" s="37"/>
      <c r="G20" s="37"/>
      <c r="H20" s="37"/>
      <c r="I20" s="37"/>
      <c r="J20" s="37"/>
      <c r="K20" s="37"/>
      <c r="L20" s="37"/>
      <c r="M20" s="37"/>
      <c r="N20" s="37"/>
      <c r="O20" s="37"/>
      <c r="AA20" s="147"/>
      <c r="AB20" s="139"/>
      <c r="AC20" s="139"/>
    </row>
    <row r="21" spans="6:29" s="32" customFormat="1" ht="18" customHeight="1" x14ac:dyDescent="0.2">
      <c r="F21" s="173" t="s">
        <v>18</v>
      </c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48"/>
      <c r="AA21" s="147"/>
      <c r="AB21" s="139"/>
      <c r="AC21" s="139"/>
    </row>
    <row r="22" spans="6:29" s="32" customFormat="1" ht="18" customHeight="1" x14ac:dyDescent="0.2"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48"/>
      <c r="AA22" s="147"/>
      <c r="AB22" s="139"/>
      <c r="AC22" s="139"/>
    </row>
    <row r="23" spans="6:29" s="32" customFormat="1" ht="18" customHeight="1" x14ac:dyDescent="0.2">
      <c r="AA23" s="147"/>
      <c r="AB23" s="139"/>
      <c r="AC23" s="139"/>
    </row>
    <row r="24" spans="6:29" s="32" customFormat="1" ht="18" customHeight="1" x14ac:dyDescent="0.2">
      <c r="F24" s="39" t="s">
        <v>19</v>
      </c>
      <c r="AA24" s="147"/>
      <c r="AB24" s="139"/>
      <c r="AC24" s="139"/>
    </row>
    <row r="25" spans="6:29" s="32" customFormat="1" ht="18" customHeight="1" x14ac:dyDescent="0.2">
      <c r="AA25" s="147"/>
      <c r="AB25" s="139"/>
      <c r="AC25" s="139"/>
    </row>
    <row r="26" spans="6:29" s="32" customFormat="1" ht="18" customHeight="1" x14ac:dyDescent="0.2">
      <c r="F26" s="142" t="s">
        <v>20</v>
      </c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7"/>
      <c r="AB26" s="139"/>
      <c r="AC26" s="139"/>
    </row>
    <row r="27" spans="6:29" s="32" customFormat="1" ht="18" customHeight="1" x14ac:dyDescent="0.2">
      <c r="AA27" s="147"/>
      <c r="AB27" s="139"/>
      <c r="AC27" s="139"/>
    </row>
    <row r="28" spans="6:29" s="32" customFormat="1" ht="18" customHeight="1" x14ac:dyDescent="0.2">
      <c r="F28" s="144" t="s">
        <v>50</v>
      </c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45"/>
      <c r="Z28" s="145"/>
      <c r="AA28" s="149"/>
      <c r="AB28" s="139"/>
      <c r="AC28" s="139"/>
    </row>
    <row r="29" spans="6:29" s="1" customFormat="1" ht="18" customHeight="1" x14ac:dyDescent="0.15">
      <c r="AA29" s="34"/>
    </row>
    <row r="30" spans="6:29" s="1" customFormat="1" ht="18" customHeight="1" x14ac:dyDescent="0.2">
      <c r="AA30" s="104"/>
    </row>
    <row r="31" spans="6:29" s="1" customFormat="1" ht="18" customHeight="1" x14ac:dyDescent="0.15">
      <c r="F31" s="40"/>
      <c r="G31" s="10"/>
      <c r="H31" s="12"/>
      <c r="I31" s="40"/>
      <c r="J31" s="7"/>
      <c r="K31" s="8"/>
      <c r="L31" s="9"/>
      <c r="M31" s="40"/>
      <c r="N31" s="40"/>
      <c r="O31" s="40"/>
      <c r="P31" s="40"/>
      <c r="Q31" s="10"/>
      <c r="R31" s="12"/>
      <c r="S31" s="40"/>
      <c r="T31" s="7"/>
      <c r="U31" s="8"/>
      <c r="V31" s="9"/>
      <c r="W31" s="40"/>
      <c r="X31" s="40"/>
      <c r="Y31" s="40"/>
      <c r="AA31" s="34"/>
    </row>
    <row r="32" spans="6:29" s="1" customFormat="1" ht="18" customHeight="1" x14ac:dyDescent="0.15">
      <c r="F32" s="43"/>
      <c r="G32" s="19"/>
      <c r="H32" s="21"/>
      <c r="I32" s="43"/>
      <c r="J32" s="16"/>
      <c r="K32" s="17"/>
      <c r="L32" s="18"/>
      <c r="M32" s="43"/>
      <c r="N32" s="43"/>
      <c r="O32" s="43"/>
      <c r="P32" s="43"/>
      <c r="Q32" s="19"/>
      <c r="R32" s="21"/>
      <c r="S32" s="43"/>
      <c r="T32" s="16"/>
      <c r="U32" s="17"/>
      <c r="V32" s="18"/>
      <c r="W32" s="43"/>
      <c r="X32" s="43"/>
      <c r="Y32" s="43"/>
      <c r="AA32" s="34"/>
    </row>
    <row r="33" spans="6:27" s="1" customFormat="1" ht="18" customHeight="1" x14ac:dyDescent="0.15">
      <c r="F33" s="44"/>
      <c r="G33" s="28"/>
      <c r="H33" s="30"/>
      <c r="I33" s="44"/>
      <c r="J33" s="25"/>
      <c r="K33" s="26"/>
      <c r="L33" s="27"/>
      <c r="M33" s="44"/>
      <c r="N33" s="44"/>
      <c r="O33" s="44"/>
      <c r="P33" s="44"/>
      <c r="Q33" s="28"/>
      <c r="R33" s="30"/>
      <c r="S33" s="44"/>
      <c r="T33" s="25"/>
      <c r="U33" s="26"/>
      <c r="V33" s="27"/>
      <c r="W33" s="44"/>
      <c r="X33" s="44"/>
      <c r="Y33" s="44"/>
      <c r="AA33" s="34"/>
    </row>
    <row r="34" spans="6:27" s="1" customFormat="1" ht="18" customHeight="1" x14ac:dyDescent="0.15">
      <c r="AA34" s="34"/>
    </row>
    <row r="35" spans="6:27" s="1" customFormat="1" ht="18" customHeight="1" x14ac:dyDescent="0.2">
      <c r="F35" s="48">
        <v>325</v>
      </c>
      <c r="G35" s="170">
        <v>465</v>
      </c>
      <c r="H35" s="170"/>
      <c r="I35" s="48">
        <v>325</v>
      </c>
      <c r="J35" s="170">
        <v>685</v>
      </c>
      <c r="K35" s="170"/>
      <c r="L35" s="170"/>
      <c r="M35" s="48">
        <v>325</v>
      </c>
      <c r="N35" s="48">
        <v>325</v>
      </c>
      <c r="O35" s="48">
        <v>325</v>
      </c>
      <c r="P35" s="49">
        <v>325</v>
      </c>
      <c r="Q35" s="171">
        <v>465</v>
      </c>
      <c r="R35" s="171"/>
      <c r="S35" s="49">
        <v>325</v>
      </c>
      <c r="T35" s="171">
        <v>685</v>
      </c>
      <c r="U35" s="171"/>
      <c r="V35" s="171"/>
      <c r="W35" s="49">
        <v>325</v>
      </c>
      <c r="X35" s="49">
        <v>325</v>
      </c>
      <c r="Y35" s="49">
        <v>325</v>
      </c>
      <c r="AA35" s="34"/>
    </row>
    <row r="36" spans="6:27" s="1" customFormat="1" ht="18" customHeight="1" x14ac:dyDescent="0.2">
      <c r="L36" s="32"/>
      <c r="M36" s="3"/>
      <c r="N36" s="3"/>
      <c r="AA36" s="34"/>
    </row>
    <row r="37" spans="6:27" s="1" customFormat="1" ht="18" customHeight="1" x14ac:dyDescent="0.2">
      <c r="F37" s="52"/>
      <c r="G37" s="53"/>
      <c r="H37" s="53"/>
      <c r="I37" s="53"/>
      <c r="J37" s="53"/>
      <c r="K37" s="53"/>
      <c r="L37" s="54"/>
      <c r="M37" s="55"/>
      <c r="N37" s="56"/>
      <c r="Q37" s="52"/>
      <c r="R37" s="53"/>
      <c r="S37" s="53"/>
      <c r="T37" s="53"/>
      <c r="U37" s="53"/>
      <c r="V37" s="53"/>
      <c r="W37" s="54"/>
      <c r="X37" s="55"/>
      <c r="Y37" s="56"/>
      <c r="AA37" s="34"/>
    </row>
    <row r="38" spans="6:27" s="1" customFormat="1" ht="18" customHeight="1" x14ac:dyDescent="0.2">
      <c r="F38" s="70"/>
      <c r="G38" s="71"/>
      <c r="H38" s="71"/>
      <c r="I38" s="71"/>
      <c r="J38" s="71"/>
      <c r="K38" s="71"/>
      <c r="L38" s="72"/>
      <c r="M38" s="73"/>
      <c r="N38" s="74"/>
      <c r="Q38" s="70"/>
      <c r="R38" s="71"/>
      <c r="S38" s="71"/>
      <c r="T38" s="71"/>
      <c r="U38" s="71"/>
      <c r="V38" s="71"/>
      <c r="W38" s="72"/>
      <c r="X38" s="73"/>
      <c r="Y38" s="74"/>
      <c r="AA38" s="34"/>
    </row>
    <row r="39" spans="6:27" s="1" customFormat="1" ht="18" customHeight="1" x14ac:dyDescent="0.2">
      <c r="F39" s="88" t="s">
        <v>25</v>
      </c>
      <c r="G39" s="89"/>
      <c r="H39" s="89"/>
      <c r="I39" s="89"/>
      <c r="J39" s="89"/>
      <c r="K39" s="89"/>
      <c r="L39" s="89"/>
      <c r="M39" s="90"/>
      <c r="N39" s="91"/>
      <c r="Q39" s="88" t="s">
        <v>25</v>
      </c>
      <c r="R39" s="89"/>
      <c r="S39" s="89"/>
      <c r="T39" s="89"/>
      <c r="U39" s="89"/>
      <c r="V39" s="89"/>
      <c r="W39" s="89"/>
      <c r="X39" s="90"/>
      <c r="Y39" s="91"/>
      <c r="AA39" s="34"/>
    </row>
    <row r="40" spans="6:27" s="1" customFormat="1" ht="18" customHeight="1" x14ac:dyDescent="0.2">
      <c r="M40" s="3"/>
      <c r="N40" s="3"/>
      <c r="AA40" s="34"/>
    </row>
    <row r="41" spans="6:27" s="1" customFormat="1" ht="18" customHeight="1" x14ac:dyDescent="0.2">
      <c r="J41" s="52"/>
      <c r="K41" s="53"/>
      <c r="L41" s="53"/>
      <c r="M41" s="53"/>
      <c r="N41" s="53"/>
      <c r="O41" s="53"/>
      <c r="P41" s="54"/>
      <c r="Q41" s="55"/>
      <c r="R41" s="56"/>
      <c r="AA41" s="34"/>
    </row>
    <row r="42" spans="6:27" s="1" customFormat="1" ht="18" customHeight="1" x14ac:dyDescent="0.2">
      <c r="J42" s="70"/>
      <c r="K42" s="71"/>
      <c r="L42" s="71"/>
      <c r="M42" s="71"/>
      <c r="N42" s="71"/>
      <c r="O42" s="71"/>
      <c r="P42" s="72"/>
      <c r="Q42" s="73"/>
      <c r="R42" s="74"/>
      <c r="AA42" s="34"/>
    </row>
    <row r="43" spans="6:27" s="1" customFormat="1" ht="18" customHeight="1" x14ac:dyDescent="0.2">
      <c r="J43" s="88" t="s">
        <v>25</v>
      </c>
      <c r="K43" s="89"/>
      <c r="L43" s="89"/>
      <c r="M43" s="89"/>
      <c r="N43" s="89"/>
      <c r="O43" s="89"/>
      <c r="P43" s="89"/>
      <c r="Q43" s="90"/>
      <c r="R43" s="91"/>
      <c r="AA43" s="34"/>
    </row>
    <row r="44" spans="6:27" s="1" customFormat="1" ht="18" customHeight="1" x14ac:dyDescent="0.15">
      <c r="AA44" s="34"/>
    </row>
    <row r="45" spans="6:27" s="1" customFormat="1" ht="18" customHeight="1" x14ac:dyDescent="0.15">
      <c r="G45" s="52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111"/>
      <c r="AA45" s="34"/>
    </row>
    <row r="46" spans="6:27" s="1" customFormat="1" ht="18" customHeight="1" x14ac:dyDescent="0.15">
      <c r="G46" s="70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112"/>
      <c r="AA46" s="34"/>
    </row>
    <row r="47" spans="6:27" s="1" customFormat="1" ht="18" customHeight="1" x14ac:dyDescent="0.2">
      <c r="G47" s="88" t="s">
        <v>34</v>
      </c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114"/>
      <c r="AA47" s="34"/>
    </row>
    <row r="48" spans="6:27" s="1" customFormat="1" ht="18" customHeight="1" x14ac:dyDescent="0.15">
      <c r="AA48" s="34"/>
    </row>
    <row r="49" spans="6:27" s="1" customFormat="1" ht="18" customHeight="1" x14ac:dyDescent="0.15">
      <c r="G49" s="52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111"/>
      <c r="AA49" s="34"/>
    </row>
    <row r="50" spans="6:27" s="1" customFormat="1" ht="18" customHeight="1" x14ac:dyDescent="0.15">
      <c r="G50" s="70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112"/>
      <c r="AA50" s="34"/>
    </row>
    <row r="51" spans="6:27" s="1" customFormat="1" ht="18" customHeight="1" x14ac:dyDescent="0.2">
      <c r="G51" s="88" t="s">
        <v>36</v>
      </c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114"/>
      <c r="AA51" s="34"/>
    </row>
    <row r="52" spans="6:27" s="1" customFormat="1" ht="18" customHeight="1" x14ac:dyDescent="0.15">
      <c r="AA52" s="34"/>
    </row>
    <row r="53" spans="6:27" s="1" customFormat="1" ht="18" customHeight="1" x14ac:dyDescent="0.15">
      <c r="F53" s="52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111"/>
      <c r="AA53" s="34"/>
    </row>
    <row r="54" spans="6:27" s="1" customFormat="1" ht="18" customHeight="1" x14ac:dyDescent="0.15">
      <c r="F54" s="70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112"/>
      <c r="AA54" s="34"/>
    </row>
    <row r="55" spans="6:27" s="1" customFormat="1" ht="18" customHeight="1" x14ac:dyDescent="0.2">
      <c r="F55" s="88" t="s">
        <v>36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114"/>
      <c r="AA55" s="34"/>
    </row>
    <row r="56" spans="6:27" s="1" customFormat="1" ht="18" customHeight="1" x14ac:dyDescent="0.15">
      <c r="AA56" s="34"/>
    </row>
    <row r="57" spans="6:27" s="1" customFormat="1" ht="18" customHeight="1" x14ac:dyDescent="0.2">
      <c r="G57" s="50">
        <f>I65</f>
        <v>2775</v>
      </c>
      <c r="H57" s="51" t="s">
        <v>38</v>
      </c>
      <c r="I57" s="50">
        <f>I65</f>
        <v>2775</v>
      </c>
      <c r="J57" s="51" t="s">
        <v>39</v>
      </c>
      <c r="K57" s="50">
        <f>F3</f>
        <v>5550</v>
      </c>
      <c r="L57" s="103" t="s">
        <v>22</v>
      </c>
      <c r="AA57" s="34"/>
    </row>
    <row r="58" spans="6:27" s="1" customFormat="1" ht="18" customHeight="1" x14ac:dyDescent="0.2">
      <c r="G58" s="32"/>
      <c r="H58" s="32"/>
      <c r="I58" s="32"/>
      <c r="J58" s="32"/>
      <c r="K58" s="107">
        <v>2</v>
      </c>
      <c r="L58" s="32" t="s">
        <v>30</v>
      </c>
      <c r="AA58" s="34"/>
    </row>
    <row r="59" spans="6:27" s="1" customFormat="1" ht="18" customHeight="1" x14ac:dyDescent="0.2">
      <c r="G59" s="32"/>
      <c r="H59" s="103"/>
      <c r="I59" s="32"/>
      <c r="J59" s="32"/>
      <c r="K59" s="107">
        <v>14</v>
      </c>
      <c r="L59" s="32" t="s">
        <v>32</v>
      </c>
      <c r="AA59" s="34"/>
    </row>
    <row r="60" spans="6:27" s="1" customFormat="1" ht="18" customHeight="1" x14ac:dyDescent="0.2">
      <c r="G60" s="32"/>
      <c r="H60" s="32"/>
      <c r="I60" s="32"/>
      <c r="J60" s="32"/>
      <c r="K60" s="107">
        <v>14</v>
      </c>
      <c r="L60" s="32" t="s">
        <v>33</v>
      </c>
      <c r="AA60" s="34"/>
    </row>
    <row r="61" spans="6:27" s="1" customFormat="1" ht="18" customHeight="1" x14ac:dyDescent="0.15">
      <c r="AA61" s="34"/>
    </row>
    <row r="62" spans="6:27" s="1" customFormat="1" ht="18" customHeight="1" x14ac:dyDescent="0.2">
      <c r="G62" s="32" t="s">
        <v>29</v>
      </c>
      <c r="H62" s="32"/>
      <c r="I62" s="32"/>
      <c r="J62" s="32"/>
      <c r="K62" s="32"/>
      <c r="L62" s="32"/>
      <c r="M62" s="32"/>
      <c r="AA62" s="34"/>
    </row>
    <row r="63" spans="6:27" s="1" customFormat="1" ht="18" customHeight="1" x14ac:dyDescent="0.2">
      <c r="G63" s="32"/>
      <c r="H63" s="32"/>
      <c r="I63" s="32"/>
      <c r="J63" s="32"/>
      <c r="K63" s="32"/>
      <c r="L63" s="32"/>
      <c r="M63" s="32"/>
      <c r="AA63" s="34"/>
    </row>
    <row r="64" spans="6:27" s="1" customFormat="1" ht="18" customHeight="1" x14ac:dyDescent="0.2">
      <c r="G64" s="32"/>
      <c r="I64" s="124">
        <v>2450</v>
      </c>
      <c r="J64" s="71"/>
      <c r="K64" s="71"/>
      <c r="L64" s="71"/>
      <c r="M64" s="71"/>
      <c r="N64" s="125" t="s">
        <v>25</v>
      </c>
      <c r="O64" s="71"/>
      <c r="P64" s="71"/>
      <c r="Q64" s="71"/>
      <c r="R64" s="71"/>
      <c r="S64" s="71"/>
      <c r="AA64" s="34"/>
    </row>
    <row r="65" spans="6:27" s="1" customFormat="1" ht="18" customHeight="1" x14ac:dyDescent="0.2">
      <c r="G65" s="32"/>
      <c r="H65" s="32">
        <v>16</v>
      </c>
      <c r="I65" s="50">
        <f>L8</f>
        <v>2775</v>
      </c>
      <c r="J65" s="32"/>
      <c r="K65" s="108" t="s">
        <v>31</v>
      </c>
      <c r="L65" s="108" t="s">
        <v>22</v>
      </c>
      <c r="M65" s="32"/>
      <c r="AA65" s="34"/>
    </row>
    <row r="66" spans="6:27" s="1" customFormat="1" ht="18" customHeight="1" x14ac:dyDescent="0.2">
      <c r="G66" s="32"/>
      <c r="H66" s="32">
        <v>17</v>
      </c>
      <c r="I66" s="50">
        <f>M6</f>
        <v>3100</v>
      </c>
      <c r="J66" s="32"/>
      <c r="K66" s="109">
        <f t="shared" ref="K66:K79" si="0">($I66-$I65)/$I65</f>
        <v>0.11711711711711711</v>
      </c>
      <c r="L66" s="32">
        <f t="shared" ref="L66:L79" si="1">$I66-$I65</f>
        <v>325</v>
      </c>
      <c r="M66" s="32"/>
      <c r="AA66" s="34"/>
    </row>
    <row r="67" spans="6:27" s="1" customFormat="1" ht="18" customHeight="1" x14ac:dyDescent="0.2">
      <c r="G67" s="32"/>
      <c r="H67" s="32">
        <v>18</v>
      </c>
      <c r="I67" s="50">
        <f>N6</f>
        <v>3240</v>
      </c>
      <c r="J67" s="32"/>
      <c r="K67" s="109">
        <f t="shared" si="0"/>
        <v>4.5161290322580643E-2</v>
      </c>
      <c r="L67" s="32">
        <f t="shared" si="1"/>
        <v>140</v>
      </c>
      <c r="M67" s="32"/>
      <c r="AA67" s="34"/>
    </row>
    <row r="68" spans="6:27" s="1" customFormat="1" ht="18" customHeight="1" x14ac:dyDescent="0.2">
      <c r="G68" s="32"/>
      <c r="H68" s="32">
        <v>19</v>
      </c>
      <c r="I68" s="50">
        <f>O6</f>
        <v>3425</v>
      </c>
      <c r="J68" s="32"/>
      <c r="K68" s="109">
        <f t="shared" si="0"/>
        <v>5.7098765432098762E-2</v>
      </c>
      <c r="L68" s="32">
        <f t="shared" si="1"/>
        <v>185</v>
      </c>
      <c r="M68" s="32"/>
      <c r="AA68" s="34"/>
    </row>
    <row r="69" spans="6:27" s="1" customFormat="1" ht="18" customHeight="1" x14ac:dyDescent="0.2">
      <c r="G69" s="32"/>
      <c r="H69" s="32">
        <v>20</v>
      </c>
      <c r="I69" s="50">
        <f>N8</f>
        <v>3460</v>
      </c>
      <c r="J69" s="32"/>
      <c r="K69" s="109">
        <f t="shared" si="0"/>
        <v>1.0218978102189781E-2</v>
      </c>
      <c r="L69" s="32">
        <f t="shared" si="1"/>
        <v>35</v>
      </c>
      <c r="M69" s="32"/>
    </row>
    <row r="70" spans="6:27" s="1" customFormat="1" ht="18" customHeight="1" x14ac:dyDescent="0.2">
      <c r="G70" s="32"/>
      <c r="H70" s="32">
        <v>21</v>
      </c>
      <c r="I70" s="124">
        <f>N13</f>
        <v>3565</v>
      </c>
      <c r="J70" s="71"/>
      <c r="K70" s="126">
        <f t="shared" si="0"/>
        <v>3.0346820809248554E-2</v>
      </c>
      <c r="L70" s="72">
        <f t="shared" si="1"/>
        <v>105</v>
      </c>
      <c r="M70" s="72"/>
      <c r="N70" s="125" t="s">
        <v>34</v>
      </c>
      <c r="O70" s="71"/>
      <c r="P70" s="71"/>
      <c r="Q70" s="71"/>
      <c r="R70" s="71"/>
      <c r="S70" s="71"/>
    </row>
    <row r="71" spans="6:27" s="1" customFormat="1" ht="18" customHeight="1" x14ac:dyDescent="0.2">
      <c r="G71" s="32"/>
      <c r="H71" s="32">
        <v>22</v>
      </c>
      <c r="I71" s="50">
        <f>N12</f>
        <v>3785</v>
      </c>
      <c r="J71" s="32"/>
      <c r="K71" s="109">
        <f t="shared" si="0"/>
        <v>6.1711079943899017E-2</v>
      </c>
      <c r="L71" s="32">
        <f t="shared" si="1"/>
        <v>220</v>
      </c>
      <c r="M71" s="32"/>
    </row>
    <row r="72" spans="6:27" s="1" customFormat="1" ht="18" customHeight="1" x14ac:dyDescent="0.2">
      <c r="G72" s="32"/>
      <c r="H72" s="32">
        <v>23</v>
      </c>
      <c r="I72" s="50">
        <f>P5</f>
        <v>3890</v>
      </c>
      <c r="K72" s="109">
        <f t="shared" si="0"/>
        <v>2.7741083223249668E-2</v>
      </c>
      <c r="L72" s="32">
        <f t="shared" si="1"/>
        <v>105</v>
      </c>
      <c r="M72" s="32"/>
    </row>
    <row r="73" spans="6:27" s="1" customFormat="1" ht="18" customHeight="1" x14ac:dyDescent="0.2">
      <c r="G73" s="32"/>
      <c r="H73" s="32">
        <v>24</v>
      </c>
      <c r="I73" s="50">
        <f>N9</f>
        <v>4110</v>
      </c>
      <c r="J73" s="32"/>
      <c r="K73" s="109">
        <f t="shared" si="0"/>
        <v>5.6555269922879174E-2</v>
      </c>
      <c r="L73" s="32">
        <f t="shared" si="1"/>
        <v>220</v>
      </c>
      <c r="M73" s="32"/>
    </row>
    <row r="74" spans="6:27" s="1" customFormat="1" ht="18" customHeight="1" x14ac:dyDescent="0.2">
      <c r="F74" s="32"/>
      <c r="H74" s="32">
        <v>25</v>
      </c>
      <c r="I74" s="50">
        <f>Q6</f>
        <v>4435</v>
      </c>
      <c r="J74" s="32"/>
      <c r="K74" s="109">
        <f t="shared" si="0"/>
        <v>7.9075425790754258E-2</v>
      </c>
      <c r="L74" s="116">
        <f t="shared" si="1"/>
        <v>325</v>
      </c>
      <c r="M74" s="32"/>
    </row>
    <row r="75" spans="6:27" s="1" customFormat="1" ht="18" customHeight="1" x14ac:dyDescent="0.2">
      <c r="G75" s="32"/>
      <c r="H75" s="32">
        <v>26</v>
      </c>
      <c r="I75" s="50">
        <f>Q5</f>
        <v>4575</v>
      </c>
      <c r="J75" s="32"/>
      <c r="K75" s="109">
        <f t="shared" si="0"/>
        <v>3.1567080045095827E-2</v>
      </c>
      <c r="L75" s="32">
        <f t="shared" si="1"/>
        <v>140</v>
      </c>
    </row>
    <row r="76" spans="6:27" s="1" customFormat="1" ht="18" customHeight="1" x14ac:dyDescent="0.2">
      <c r="G76" s="32"/>
      <c r="H76" s="32">
        <v>27</v>
      </c>
      <c r="I76" s="50">
        <f>R6</f>
        <v>4760</v>
      </c>
      <c r="J76" s="32"/>
      <c r="K76" s="109">
        <f t="shared" si="0"/>
        <v>4.0437158469945354E-2</v>
      </c>
      <c r="L76" s="32">
        <f t="shared" si="1"/>
        <v>185</v>
      </c>
      <c r="M76" s="32"/>
    </row>
    <row r="77" spans="6:27" s="1" customFormat="1" ht="18" customHeight="1" x14ac:dyDescent="0.2">
      <c r="H77" s="32">
        <v>28</v>
      </c>
      <c r="I77" s="50">
        <f>R5</f>
        <v>4900</v>
      </c>
      <c r="J77" s="32"/>
      <c r="K77" s="109">
        <f t="shared" si="0"/>
        <v>2.9411764705882353E-2</v>
      </c>
      <c r="L77" s="32">
        <f t="shared" si="1"/>
        <v>140</v>
      </c>
      <c r="M77" s="32"/>
    </row>
    <row r="78" spans="6:27" s="1" customFormat="1" ht="18" customHeight="1" x14ac:dyDescent="0.2">
      <c r="H78" s="32">
        <v>29</v>
      </c>
      <c r="I78" s="124">
        <f>S5</f>
        <v>5225</v>
      </c>
      <c r="J78" s="72"/>
      <c r="K78" s="126">
        <f t="shared" si="0"/>
        <v>6.6326530612244902E-2</v>
      </c>
      <c r="L78" s="116">
        <f t="shared" si="1"/>
        <v>325</v>
      </c>
      <c r="M78" s="72"/>
      <c r="N78" s="125" t="s">
        <v>36</v>
      </c>
      <c r="O78" s="71"/>
      <c r="P78" s="71"/>
      <c r="Q78" s="71"/>
      <c r="R78" s="71"/>
      <c r="S78" s="71"/>
    </row>
    <row r="79" spans="6:27" s="1" customFormat="1" ht="18" customHeight="1" x14ac:dyDescent="0.2">
      <c r="G79" s="32"/>
      <c r="H79" s="32">
        <v>30</v>
      </c>
      <c r="I79" s="50">
        <f>T5</f>
        <v>5550</v>
      </c>
      <c r="K79" s="109">
        <f t="shared" si="0"/>
        <v>6.2200956937799042E-2</v>
      </c>
      <c r="L79" s="116">
        <f t="shared" si="1"/>
        <v>325</v>
      </c>
      <c r="M79" s="32"/>
    </row>
    <row r="80" spans="6:27" s="1" customFormat="1" ht="18" customHeight="1" x14ac:dyDescent="0.15"/>
    <row r="81" spans="8:9" s="1" customFormat="1" ht="18" customHeight="1" x14ac:dyDescent="0.2">
      <c r="H81" s="32">
        <f>H79</f>
        <v>30</v>
      </c>
      <c r="I81" s="32" t="s">
        <v>45</v>
      </c>
    </row>
    <row r="82" spans="8:9" s="1" customFormat="1" ht="18" customHeight="1" x14ac:dyDescent="0.15"/>
    <row r="83" spans="8:9" s="1" customFormat="1" ht="18" customHeight="1" x14ac:dyDescent="0.15"/>
    <row r="84" spans="8:9" s="1" customFormat="1" ht="18" customHeight="1" x14ac:dyDescent="0.15"/>
    <row r="85" spans="8:9" s="1" customFormat="1" ht="18" customHeight="1" x14ac:dyDescent="0.15"/>
    <row r="86" spans="8:9" s="1" customFormat="1" ht="18" customHeight="1" x14ac:dyDescent="0.15"/>
    <row r="87" spans="8:9" s="1" customFormat="1" ht="18" customHeight="1" x14ac:dyDescent="0.15"/>
    <row r="88" spans="8:9" s="1" customFormat="1" ht="18" customHeight="1" x14ac:dyDescent="0.15"/>
    <row r="89" spans="8:9" s="1" customFormat="1" ht="18" customHeight="1" x14ac:dyDescent="0.15"/>
    <row r="90" spans="8:9" s="1" customFormat="1" ht="18" customHeight="1" x14ac:dyDescent="0.15"/>
    <row r="91" spans="8:9" s="1" customFormat="1" ht="18" customHeight="1" x14ac:dyDescent="0.15"/>
    <row r="92" spans="8:9" s="1" customFormat="1" ht="18" customHeight="1" x14ac:dyDescent="0.15"/>
    <row r="93" spans="8:9" s="1" customFormat="1" ht="18" customHeight="1" x14ac:dyDescent="0.15"/>
    <row r="94" spans="8:9" s="1" customFormat="1" ht="18" customHeight="1" x14ac:dyDescent="0.15"/>
    <row r="95" spans="8:9" s="1" customFormat="1" ht="18" customHeight="1" x14ac:dyDescent="0.15"/>
    <row r="96" spans="8:9" s="1" customFormat="1" ht="18" customHeight="1" x14ac:dyDescent="0.15"/>
    <row r="97" s="1" customFormat="1" ht="18" customHeight="1" x14ac:dyDescent="0.15"/>
    <row r="98" s="1" customFormat="1" ht="18" customHeight="1" x14ac:dyDescent="0.15"/>
    <row r="99" s="1" customFormat="1" ht="18" customHeight="1" x14ac:dyDescent="0.15"/>
    <row r="100" s="1" customFormat="1" ht="18" customHeight="1" x14ac:dyDescent="0.15"/>
    <row r="101" s="1" customFormat="1" ht="18" customHeight="1" x14ac:dyDescent="0.15"/>
    <row r="102" s="1" customFormat="1" x14ac:dyDescent="0.15"/>
    <row r="103" s="1" customFormat="1" ht="18" customHeight="1" x14ac:dyDescent="0.15"/>
    <row r="104" s="1" customFormat="1" x14ac:dyDescent="0.15"/>
    <row r="105" s="1" customFormat="1" ht="18" customHeight="1" x14ac:dyDescent="0.15"/>
    <row r="106" s="1" customFormat="1" x14ac:dyDescent="0.15"/>
    <row r="107" s="1" customFormat="1" x14ac:dyDescent="0.15"/>
    <row r="141" s="1" customFormat="1" ht="18" customHeight="1" x14ac:dyDescent="0.15"/>
    <row r="142" s="1" customFormat="1" ht="18" customHeight="1" x14ac:dyDescent="0.15"/>
    <row r="143" s="1" customFormat="1" ht="18" customHeight="1" x14ac:dyDescent="0.15"/>
    <row r="144" s="1" customFormat="1" ht="18" customHeight="1" x14ac:dyDescent="0.15"/>
    <row r="145" s="1" customFormat="1" ht="18" customHeight="1" x14ac:dyDescent="0.15"/>
    <row r="146" s="1" customFormat="1" ht="18" customHeight="1" x14ac:dyDescent="0.15"/>
    <row r="147" s="1" customFormat="1" ht="18" customHeight="1" x14ac:dyDescent="0.15"/>
  </sheetData>
  <mergeCells count="5">
    <mergeCell ref="F21:Y22"/>
    <mergeCell ref="G35:H35"/>
    <mergeCell ref="J35:L35"/>
    <mergeCell ref="Q35:R35"/>
    <mergeCell ref="T35:V35"/>
  </mergeCells>
  <pageMargins left="0.25" right="0.25" top="0.61111111111111105" bottom="0.61111111111111105" header="0.3" footer="0.3"/>
  <pageSetup paperSize="9" scale="47" orientation="portrait" useFirstPageNumber="1" horizontalDpi="300" verticalDpi="300"/>
  <headerFooter differentFirst="1"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P160"/>
  <sheetViews>
    <sheetView topLeftCell="A15" zoomScale="40" zoomScaleNormal="40" workbookViewId="0">
      <selection activeCell="B15" sqref="B15:AE105"/>
    </sheetView>
  </sheetViews>
  <sheetFormatPr baseColWidth="10" defaultColWidth="3.1640625" defaultRowHeight="13" x14ac:dyDescent="0.15"/>
  <cols>
    <col min="1" max="76" width="9.6640625" style="1" customWidth="1"/>
  </cols>
  <sheetData>
    <row r="1" spans="1:198" s="1" customFormat="1" ht="18" hidden="1" customHeight="1" x14ac:dyDescent="0.15"/>
    <row r="2" spans="1:198" s="1" customFormat="1" ht="18" hidden="1" customHeight="1" x14ac:dyDescent="0.15">
      <c r="B2" s="1">
        <f>SUM(D2:Q2)</f>
        <v>5550</v>
      </c>
      <c r="D2" s="1">
        <v>325</v>
      </c>
      <c r="E2" s="1">
        <v>465</v>
      </c>
      <c r="F2" s="1">
        <v>325</v>
      </c>
      <c r="G2" s="1">
        <v>685</v>
      </c>
      <c r="H2" s="1">
        <v>325</v>
      </c>
      <c r="I2" s="1">
        <v>325</v>
      </c>
      <c r="J2" s="1">
        <v>325</v>
      </c>
      <c r="K2" s="1">
        <v>325</v>
      </c>
      <c r="L2" s="1">
        <v>465</v>
      </c>
      <c r="M2" s="1">
        <v>325</v>
      </c>
      <c r="N2" s="1">
        <v>685</v>
      </c>
      <c r="O2" s="1">
        <v>325</v>
      </c>
      <c r="P2" s="1">
        <v>325</v>
      </c>
      <c r="Q2" s="1">
        <v>325</v>
      </c>
      <c r="R2" s="1">
        <v>325</v>
      </c>
      <c r="S2" s="1">
        <v>465</v>
      </c>
      <c r="T2" s="1">
        <v>325</v>
      </c>
      <c r="U2" s="1">
        <v>685</v>
      </c>
      <c r="V2" s="1">
        <v>325</v>
      </c>
      <c r="W2" s="1">
        <v>325</v>
      </c>
      <c r="X2" s="1">
        <v>325</v>
      </c>
    </row>
    <row r="3" spans="1:198" s="1" customFormat="1" ht="18" hidden="1" customHeight="1" x14ac:dyDescent="0.15"/>
    <row r="4" spans="1:198" s="1" customFormat="1" ht="18" hidden="1" customHeight="1" x14ac:dyDescent="0.15">
      <c r="D4" s="1">
        <f>SUM(H2:I2)</f>
        <v>650</v>
      </c>
      <c r="E4" s="1">
        <f>SUM(H2:J2)</f>
        <v>975</v>
      </c>
      <c r="F4" s="1">
        <f>SUM(D2:G2)</f>
        <v>1800</v>
      </c>
      <c r="G4" s="1">
        <f>SUM(D2:H2)</f>
        <v>2125</v>
      </c>
      <c r="H4" s="1">
        <f>SUM(D2:I2)</f>
        <v>2450</v>
      </c>
      <c r="I4" s="1">
        <f>SUM(D2:J2)</f>
        <v>2775</v>
      </c>
      <c r="J4" s="1">
        <f>SUM(D2:K2)</f>
        <v>3100</v>
      </c>
      <c r="K4" s="1">
        <f>SUM(D2:L2)</f>
        <v>3565</v>
      </c>
      <c r="L4" s="1">
        <f>SUM(D2:M2)</f>
        <v>3890</v>
      </c>
      <c r="M4" s="1">
        <f>SUM(D2:N2)</f>
        <v>4575</v>
      </c>
      <c r="N4" s="1">
        <f>SUM(D2:O2)</f>
        <v>4900</v>
      </c>
      <c r="O4" s="1">
        <f>SUM(D2:P2)</f>
        <v>5225</v>
      </c>
      <c r="P4" s="1">
        <f>SUM(D2:Q2)</f>
        <v>5550</v>
      </c>
      <c r="Q4" s="1">
        <f>SUM(D2:R2)</f>
        <v>5875</v>
      </c>
      <c r="R4" s="1">
        <f>SUM(D2:S2)</f>
        <v>6340</v>
      </c>
      <c r="S4" s="1">
        <f>SUM(D2:T2)</f>
        <v>6665</v>
      </c>
      <c r="T4" s="1">
        <f>SUM(D2:U2)</f>
        <v>7350</v>
      </c>
      <c r="U4" s="1">
        <f>SUM(D2:W2)</f>
        <v>8000</v>
      </c>
      <c r="V4" s="1">
        <f>SUM(D2:X2)</f>
        <v>8325</v>
      </c>
    </row>
    <row r="5" spans="1:198" s="1" customFormat="1" ht="18" hidden="1" customHeight="1" x14ac:dyDescent="0.15">
      <c r="D5" s="1">
        <f>SUM(F2:G2)</f>
        <v>1010</v>
      </c>
      <c r="E5" s="1">
        <f>SUM(G2:I2)</f>
        <v>1335</v>
      </c>
      <c r="F5" s="1">
        <f>SUM(E2:H2)</f>
        <v>1800</v>
      </c>
      <c r="G5" s="1">
        <f>SUM(E2:I2)</f>
        <v>2125</v>
      </c>
      <c r="H5" s="1">
        <f>SUM(D2:I2)</f>
        <v>2450</v>
      </c>
      <c r="I5" s="1">
        <f>SUM(D2:K2)</f>
        <v>3100</v>
      </c>
      <c r="J5" s="1">
        <f>SUM(E2:L2)</f>
        <v>3240</v>
      </c>
      <c r="K5" s="1">
        <f>SUM(I2:R2)</f>
        <v>3750</v>
      </c>
      <c r="L5" s="1">
        <f>SUM(I2:Q2)</f>
        <v>3425</v>
      </c>
      <c r="M5" s="1">
        <f>SUM(G2:Q2)</f>
        <v>4435</v>
      </c>
      <c r="N5" s="1">
        <f>SUM(F2:Q2)</f>
        <v>4760</v>
      </c>
      <c r="O5" s="1">
        <f>SUM(E2:Q2)</f>
        <v>5225</v>
      </c>
      <c r="P5" s="1">
        <f>SUM(D2:Q2)</f>
        <v>5550</v>
      </c>
      <c r="Q5" s="1">
        <f>SUM(H2:X2)</f>
        <v>6525</v>
      </c>
      <c r="R5" s="1">
        <f>SUM(F2:X2)</f>
        <v>7535</v>
      </c>
      <c r="S5" s="1">
        <f>SUM(F2:W2)</f>
        <v>7210</v>
      </c>
      <c r="T5" s="1">
        <f>SUM(F2:X2)</f>
        <v>7535</v>
      </c>
      <c r="U5" s="1">
        <f>SUM(E2:Y2)</f>
        <v>8000</v>
      </c>
      <c r="V5" s="1">
        <f>SUM(D2:X2)</f>
        <v>8325</v>
      </c>
    </row>
    <row r="6" spans="1:198" s="1" customFormat="1" ht="18" hidden="1" customHeight="1" x14ac:dyDescent="0.15">
      <c r="D6" s="1">
        <f>SUM(D2:E2)</f>
        <v>790</v>
      </c>
      <c r="E6" s="1">
        <f>SUM(E2:G2)</f>
        <v>1475</v>
      </c>
      <c r="F6" s="1">
        <f>SUM(G2:J2)</f>
        <v>1660</v>
      </c>
      <c r="G6" s="1">
        <f>SUM(F2:J2)</f>
        <v>1985</v>
      </c>
      <c r="H6" s="1">
        <f>SUM(D2:I2)</f>
        <v>2450</v>
      </c>
      <c r="I6" s="1">
        <f>SUM(G2:L2)</f>
        <v>2450</v>
      </c>
      <c r="J6" s="1">
        <f>SUM(F2:M2)</f>
        <v>3100</v>
      </c>
      <c r="L6" s="1">
        <f>SUM(L2:Q2)</f>
        <v>2450</v>
      </c>
      <c r="P6" s="1">
        <f>SUM(E2:W2)</f>
        <v>7675</v>
      </c>
      <c r="Q6" s="1">
        <f>SUM(F2:V2)</f>
        <v>6885</v>
      </c>
      <c r="R6" s="1">
        <f>SUM(H2:V2)</f>
        <v>5875</v>
      </c>
      <c r="S6" s="1">
        <f>SUM(J2:V2)</f>
        <v>5225</v>
      </c>
    </row>
    <row r="7" spans="1:198" s="1" customFormat="1" ht="18" hidden="1" customHeight="1" x14ac:dyDescent="0.15">
      <c r="D7" s="1">
        <f>SUM(I2:J2)</f>
        <v>650</v>
      </c>
      <c r="E7" s="1">
        <f>SUM(D2:F2)</f>
        <v>1115</v>
      </c>
      <c r="F7" s="1">
        <f>SUM(D2:G2)</f>
        <v>1800</v>
      </c>
      <c r="G7" s="1">
        <f>SUM(F2:J2)</f>
        <v>1985</v>
      </c>
      <c r="H7" s="1">
        <f>SUM(D2:J2)</f>
        <v>2775</v>
      </c>
      <c r="J7" s="1">
        <f>SUM(G2:N2)</f>
        <v>3460</v>
      </c>
      <c r="P7" s="1">
        <f>SUM(G2:S2)</f>
        <v>5225</v>
      </c>
    </row>
    <row r="8" spans="1:198" s="1" customFormat="1" ht="18" hidden="1" customHeight="1" x14ac:dyDescent="0.15">
      <c r="D8" s="1">
        <f>SUM(D2:E2)</f>
        <v>790</v>
      </c>
      <c r="E8" s="1">
        <f>SUM(H2:J2)</f>
        <v>975</v>
      </c>
      <c r="F8" s="1">
        <f>SUM(E2:H2)</f>
        <v>1800</v>
      </c>
      <c r="G8" s="1">
        <f>SUM(E2:J2)</f>
        <v>2450</v>
      </c>
      <c r="J8" s="1">
        <f>SUM(G2:P2)</f>
        <v>4110</v>
      </c>
      <c r="M8" s="1">
        <f>SUM(E2:M2)</f>
        <v>3565</v>
      </c>
      <c r="S8" s="1">
        <f>SUM(H2:W2)</f>
        <v>6200</v>
      </c>
      <c r="T8" s="1">
        <f>SUM(J2:X2)</f>
        <v>5875</v>
      </c>
      <c r="U8" s="1">
        <f>SUM(G2:V2)</f>
        <v>6560</v>
      </c>
      <c r="V8" s="1">
        <f>SUM(H2:W2)</f>
        <v>6200</v>
      </c>
    </row>
    <row r="9" spans="1:198" s="1" customFormat="1" ht="18" hidden="1" customHeight="1" x14ac:dyDescent="0.15">
      <c r="D9" s="1">
        <f>SUM(J2)</f>
        <v>325</v>
      </c>
      <c r="F9" s="1">
        <f>SUM(F2:I2)</f>
        <v>1660</v>
      </c>
      <c r="G9" s="1">
        <f>SUM(E2:J2)</f>
        <v>2450</v>
      </c>
      <c r="J9" s="1">
        <f>SUM(H2:P2)</f>
        <v>3425</v>
      </c>
      <c r="S9" s="1">
        <f>SUM(I2:X2)</f>
        <v>6200</v>
      </c>
    </row>
    <row r="10" spans="1:198" s="1" customFormat="1" ht="18" hidden="1" customHeight="1" x14ac:dyDescent="0.15">
      <c r="A10" s="1">
        <v>2912</v>
      </c>
      <c r="J10" s="1">
        <f>SUM(G2:O2)</f>
        <v>3785</v>
      </c>
      <c r="S10" s="1">
        <f>SUM(E2:T2)</f>
        <v>6340</v>
      </c>
    </row>
    <row r="11" spans="1:198" s="1" customFormat="1" ht="18" hidden="1" customHeight="1" x14ac:dyDescent="0.15">
      <c r="A11" s="1">
        <v>6215</v>
      </c>
      <c r="J11" s="1">
        <f>SUM(F2:N2)</f>
        <v>3785</v>
      </c>
      <c r="M11" s="1">
        <f>SUM(F2:M2)</f>
        <v>3100</v>
      </c>
    </row>
    <row r="12" spans="1:198" s="1" customFormat="1" ht="18" hidden="1" customHeight="1" x14ac:dyDescent="0.15">
      <c r="A12" s="1">
        <v>8850</v>
      </c>
      <c r="J12" s="1">
        <f>SUM(D2:L2)</f>
        <v>3565</v>
      </c>
      <c r="O12" s="1">
        <f>SUM(H2:O2)</f>
        <v>3100</v>
      </c>
    </row>
    <row r="13" spans="1:198" s="1" customFormat="1" ht="18" hidden="1" customHeight="1" x14ac:dyDescent="0.15">
      <c r="Q13" s="1">
        <f>SUM(K2:R2)</f>
        <v>3100</v>
      </c>
      <c r="R13" s="1">
        <f>SUM(M2:T2)</f>
        <v>3100</v>
      </c>
      <c r="S13" s="1">
        <f>SUM(O2:V2)</f>
        <v>3100</v>
      </c>
      <c r="T13" s="1">
        <f>SUM(P2:W2)</f>
        <v>3100</v>
      </c>
      <c r="U13" s="1">
        <f>SUM(Q2:X2)</f>
        <v>3100</v>
      </c>
    </row>
    <row r="14" spans="1:198" s="1" customFormat="1" ht="18" hidden="1" customHeight="1" x14ac:dyDescent="0.15"/>
    <row r="15" spans="1:198" s="150" customFormat="1" ht="30" customHeight="1" x14ac:dyDescent="0.3">
      <c r="B15" s="151" t="s">
        <v>11</v>
      </c>
      <c r="C15" s="152"/>
      <c r="D15" s="152"/>
      <c r="E15" s="152"/>
      <c r="F15" s="152"/>
      <c r="G15" s="152"/>
      <c r="H15" s="152"/>
      <c r="I15" s="152"/>
      <c r="J15" s="152"/>
      <c r="K15" s="152"/>
      <c r="BY15" s="153"/>
      <c r="BZ15" s="153"/>
      <c r="CA15" s="153"/>
      <c r="CB15" s="153"/>
      <c r="CC15" s="153"/>
      <c r="CD15" s="153"/>
      <c r="CE15" s="153"/>
      <c r="CF15" s="153"/>
      <c r="CG15" s="153"/>
      <c r="CH15" s="153"/>
      <c r="CI15" s="153"/>
      <c r="CJ15" s="153"/>
      <c r="CK15" s="153"/>
      <c r="CL15" s="153"/>
      <c r="CM15" s="153"/>
      <c r="CN15" s="153"/>
      <c r="CO15" s="153"/>
      <c r="CP15" s="153"/>
      <c r="CQ15" s="153"/>
      <c r="CR15" s="153"/>
      <c r="CS15" s="153"/>
      <c r="CT15" s="153"/>
      <c r="CU15" s="153"/>
      <c r="CV15" s="153"/>
      <c r="CW15" s="153"/>
      <c r="CX15" s="153"/>
      <c r="CY15" s="153"/>
      <c r="CZ15" s="153"/>
      <c r="DA15" s="153"/>
      <c r="DB15" s="153"/>
      <c r="DC15" s="153"/>
      <c r="DD15" s="153"/>
      <c r="DE15" s="153"/>
      <c r="DF15" s="153"/>
      <c r="DG15" s="153"/>
      <c r="DH15" s="153"/>
      <c r="DI15" s="153"/>
      <c r="DJ15" s="153"/>
      <c r="DK15" s="153"/>
      <c r="DL15" s="153"/>
      <c r="DM15" s="153"/>
      <c r="DN15" s="153"/>
      <c r="DO15" s="153"/>
      <c r="DP15" s="153"/>
      <c r="DQ15" s="153"/>
      <c r="DR15" s="153"/>
      <c r="DS15" s="153"/>
      <c r="DT15" s="153"/>
      <c r="DU15" s="153"/>
      <c r="DV15" s="153"/>
      <c r="DW15" s="153"/>
      <c r="DX15" s="153"/>
      <c r="DY15" s="153"/>
      <c r="DZ15" s="153"/>
      <c r="EA15" s="153"/>
      <c r="EB15" s="153"/>
      <c r="EC15" s="153"/>
      <c r="ED15" s="153"/>
      <c r="EE15" s="153"/>
      <c r="EF15" s="153"/>
      <c r="EG15" s="153"/>
      <c r="EH15" s="153"/>
      <c r="EI15" s="153"/>
      <c r="EJ15" s="153"/>
      <c r="EK15" s="153"/>
      <c r="EL15" s="153"/>
      <c r="EM15" s="153"/>
      <c r="EN15" s="153"/>
      <c r="EO15" s="153"/>
      <c r="EP15" s="153"/>
      <c r="EQ15" s="153"/>
      <c r="ER15" s="153"/>
      <c r="ES15" s="153"/>
      <c r="ET15" s="153"/>
      <c r="EU15" s="153"/>
      <c r="EV15" s="153"/>
      <c r="EW15" s="153"/>
      <c r="EX15" s="153"/>
      <c r="EY15" s="153"/>
      <c r="EZ15" s="153"/>
      <c r="FA15" s="153"/>
      <c r="FB15" s="153"/>
      <c r="FC15" s="153"/>
      <c r="FD15" s="153"/>
      <c r="FE15" s="153"/>
      <c r="FF15" s="153"/>
      <c r="FG15" s="153"/>
      <c r="FH15" s="153"/>
      <c r="FI15" s="153"/>
      <c r="FJ15" s="153"/>
      <c r="FK15" s="153"/>
      <c r="FL15" s="153"/>
      <c r="FM15" s="153"/>
      <c r="FN15" s="153"/>
      <c r="FO15" s="153"/>
      <c r="FP15" s="153"/>
      <c r="FQ15" s="153"/>
      <c r="FR15" s="153"/>
      <c r="FS15" s="153"/>
      <c r="FT15" s="153"/>
      <c r="FU15" s="153"/>
      <c r="FV15" s="153"/>
      <c r="FW15" s="153"/>
      <c r="FX15" s="153"/>
      <c r="FY15" s="153"/>
      <c r="FZ15" s="153"/>
      <c r="GA15" s="153"/>
      <c r="GB15" s="153"/>
      <c r="GC15" s="153"/>
      <c r="GD15" s="153"/>
      <c r="GE15" s="153"/>
      <c r="GF15" s="153"/>
      <c r="GG15" s="153"/>
      <c r="GH15" s="153"/>
      <c r="GI15" s="153"/>
      <c r="GJ15" s="153"/>
      <c r="GK15" s="153"/>
      <c r="GL15" s="153"/>
      <c r="GM15" s="153"/>
      <c r="GN15" s="153"/>
      <c r="GO15" s="153"/>
      <c r="GP15" s="153"/>
    </row>
    <row r="16" spans="1:198" s="150" customFormat="1" ht="30" customHeight="1" x14ac:dyDescent="0.3">
      <c r="B16" s="152" t="s">
        <v>12</v>
      </c>
      <c r="C16" s="152"/>
      <c r="D16" s="152"/>
      <c r="E16" s="152"/>
      <c r="F16" s="152"/>
      <c r="G16" s="152"/>
      <c r="H16" s="152"/>
      <c r="I16" s="152"/>
      <c r="J16" s="152"/>
      <c r="K16" s="152"/>
      <c r="BY16" s="153"/>
      <c r="BZ16" s="153"/>
      <c r="CA16" s="153"/>
      <c r="CB16" s="153"/>
      <c r="CC16" s="153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3"/>
      <c r="CO16" s="153"/>
      <c r="CP16" s="153"/>
      <c r="CQ16" s="153"/>
      <c r="CR16" s="153"/>
      <c r="CS16" s="153"/>
      <c r="CT16" s="153"/>
      <c r="CU16" s="153"/>
      <c r="CV16" s="153"/>
      <c r="CW16" s="153"/>
      <c r="CX16" s="153"/>
      <c r="CY16" s="153"/>
      <c r="CZ16" s="153"/>
      <c r="DA16" s="153"/>
      <c r="DB16" s="153"/>
      <c r="DC16" s="153"/>
      <c r="DD16" s="153"/>
      <c r="DE16" s="153"/>
      <c r="DF16" s="153"/>
      <c r="DG16" s="153"/>
      <c r="DH16" s="153"/>
      <c r="DI16" s="153"/>
      <c r="DJ16" s="153"/>
      <c r="DK16" s="153"/>
      <c r="DL16" s="153"/>
      <c r="DM16" s="153"/>
      <c r="DN16" s="153"/>
      <c r="DO16" s="153"/>
      <c r="DP16" s="153"/>
      <c r="DQ16" s="153"/>
      <c r="DR16" s="153"/>
      <c r="DS16" s="153"/>
      <c r="DT16" s="153"/>
      <c r="DU16" s="153"/>
      <c r="DV16" s="153"/>
      <c r="DW16" s="153"/>
      <c r="DX16" s="153"/>
      <c r="DY16" s="153"/>
      <c r="DZ16" s="153"/>
      <c r="EA16" s="153"/>
      <c r="EB16" s="153"/>
      <c r="EC16" s="153"/>
      <c r="ED16" s="153"/>
      <c r="EE16" s="153"/>
      <c r="EF16" s="153"/>
      <c r="EG16" s="153"/>
      <c r="EH16" s="153"/>
      <c r="EI16" s="153"/>
      <c r="EJ16" s="153"/>
      <c r="EK16" s="153"/>
      <c r="EL16" s="153"/>
      <c r="EM16" s="153"/>
      <c r="EN16" s="153"/>
      <c r="EO16" s="153"/>
      <c r="EP16" s="153"/>
      <c r="EQ16" s="153"/>
      <c r="ER16" s="153"/>
      <c r="ES16" s="153"/>
      <c r="ET16" s="153"/>
      <c r="EU16" s="153"/>
      <c r="EV16" s="153"/>
      <c r="EW16" s="153"/>
      <c r="EX16" s="153"/>
      <c r="EY16" s="153"/>
      <c r="EZ16" s="153"/>
      <c r="FA16" s="153"/>
      <c r="FB16" s="153"/>
      <c r="FC16" s="153"/>
      <c r="FD16" s="153"/>
      <c r="FE16" s="153"/>
      <c r="FF16" s="153"/>
      <c r="FG16" s="153"/>
      <c r="FH16" s="153"/>
      <c r="FI16" s="153"/>
      <c r="FJ16" s="153"/>
      <c r="FK16" s="153"/>
      <c r="FL16" s="153"/>
      <c r="FM16" s="153"/>
      <c r="FN16" s="153"/>
      <c r="FO16" s="153"/>
      <c r="FP16" s="153"/>
      <c r="FQ16" s="153"/>
      <c r="FR16" s="153"/>
      <c r="FS16" s="153"/>
      <c r="FT16" s="153"/>
      <c r="FU16" s="153"/>
      <c r="FV16" s="153"/>
      <c r="FW16" s="153"/>
      <c r="FX16" s="153"/>
      <c r="FY16" s="153"/>
      <c r="FZ16" s="153"/>
      <c r="GA16" s="153"/>
      <c r="GB16" s="153"/>
      <c r="GC16" s="153"/>
      <c r="GD16" s="153"/>
      <c r="GE16" s="153"/>
      <c r="GF16" s="153"/>
      <c r="GG16" s="153"/>
      <c r="GH16" s="153"/>
      <c r="GI16" s="153"/>
      <c r="GJ16" s="153"/>
      <c r="GK16" s="153"/>
      <c r="GL16" s="153"/>
      <c r="GM16" s="153"/>
      <c r="GN16" s="153"/>
      <c r="GO16" s="153"/>
      <c r="GP16" s="153"/>
    </row>
    <row r="17" spans="2:198" s="150" customFormat="1" ht="30" customHeight="1" x14ac:dyDescent="0.3">
      <c r="B17" s="152" t="s">
        <v>13</v>
      </c>
      <c r="C17" s="152"/>
      <c r="D17" s="152"/>
      <c r="E17" s="152"/>
      <c r="F17" s="152"/>
      <c r="G17" s="152"/>
      <c r="H17" s="152"/>
      <c r="I17" s="152"/>
      <c r="J17" s="152"/>
      <c r="K17" s="152"/>
      <c r="BY17" s="153"/>
      <c r="BZ17" s="153"/>
      <c r="CA17" s="153"/>
      <c r="CB17" s="153"/>
      <c r="CC17" s="153"/>
      <c r="CD17" s="153"/>
      <c r="CE17" s="153"/>
      <c r="CF17" s="153"/>
      <c r="CG17" s="153"/>
      <c r="CH17" s="153"/>
      <c r="CI17" s="153"/>
      <c r="CJ17" s="153"/>
      <c r="CK17" s="153"/>
      <c r="CL17" s="153"/>
      <c r="CM17" s="153"/>
      <c r="CN17" s="153"/>
      <c r="CO17" s="153"/>
      <c r="CP17" s="153"/>
      <c r="CQ17" s="153"/>
      <c r="CR17" s="153"/>
      <c r="CS17" s="153"/>
      <c r="CT17" s="153"/>
      <c r="CU17" s="153"/>
      <c r="CV17" s="153"/>
      <c r="CW17" s="153"/>
      <c r="CX17" s="153"/>
      <c r="CY17" s="153"/>
      <c r="CZ17" s="153"/>
      <c r="DA17" s="153"/>
      <c r="DB17" s="153"/>
      <c r="DC17" s="153"/>
      <c r="DD17" s="153"/>
      <c r="DE17" s="153"/>
      <c r="DF17" s="153"/>
      <c r="DG17" s="153"/>
      <c r="DH17" s="153"/>
      <c r="DI17" s="153"/>
      <c r="DJ17" s="153"/>
      <c r="DK17" s="153"/>
      <c r="DL17" s="153"/>
      <c r="DM17" s="153"/>
      <c r="DN17" s="153"/>
      <c r="DO17" s="153"/>
      <c r="DP17" s="153"/>
      <c r="DQ17" s="153"/>
      <c r="DR17" s="153"/>
      <c r="DS17" s="153"/>
      <c r="DT17" s="153"/>
      <c r="DU17" s="153"/>
      <c r="DV17" s="153"/>
      <c r="DW17" s="153"/>
      <c r="DX17" s="153"/>
      <c r="DY17" s="153"/>
      <c r="DZ17" s="153"/>
      <c r="EA17" s="153"/>
      <c r="EB17" s="153"/>
      <c r="EC17" s="153"/>
      <c r="ED17" s="153"/>
      <c r="EE17" s="153"/>
      <c r="EF17" s="153"/>
      <c r="EG17" s="153"/>
      <c r="EH17" s="153"/>
      <c r="EI17" s="153"/>
      <c r="EJ17" s="153"/>
      <c r="EK17" s="153"/>
      <c r="EL17" s="153"/>
      <c r="EM17" s="153"/>
      <c r="EN17" s="153"/>
      <c r="EO17" s="153"/>
      <c r="EP17" s="153"/>
      <c r="EQ17" s="153"/>
      <c r="ER17" s="153"/>
      <c r="ES17" s="153"/>
      <c r="ET17" s="153"/>
      <c r="EU17" s="153"/>
      <c r="EV17" s="153"/>
      <c r="EW17" s="153"/>
      <c r="EX17" s="153"/>
      <c r="EY17" s="153"/>
      <c r="EZ17" s="153"/>
      <c r="FA17" s="153"/>
      <c r="FB17" s="153"/>
      <c r="FC17" s="153"/>
      <c r="FD17" s="153"/>
      <c r="FE17" s="153"/>
      <c r="FF17" s="153"/>
      <c r="FG17" s="153"/>
      <c r="FH17" s="153"/>
      <c r="FI17" s="153"/>
      <c r="FJ17" s="153"/>
      <c r="FK17" s="153"/>
      <c r="FL17" s="153"/>
      <c r="FM17" s="153"/>
      <c r="FN17" s="153"/>
      <c r="FO17" s="153"/>
      <c r="FP17" s="153"/>
      <c r="FQ17" s="153"/>
      <c r="FR17" s="153"/>
      <c r="FS17" s="153"/>
      <c r="FT17" s="153"/>
      <c r="FU17" s="153"/>
      <c r="FV17" s="153"/>
      <c r="FW17" s="153"/>
      <c r="FX17" s="153"/>
      <c r="FY17" s="153"/>
      <c r="FZ17" s="153"/>
      <c r="GA17" s="153"/>
      <c r="GB17" s="153"/>
      <c r="GC17" s="153"/>
      <c r="GD17" s="153"/>
      <c r="GE17" s="153"/>
      <c r="GF17" s="153"/>
      <c r="GG17" s="153"/>
      <c r="GH17" s="153"/>
      <c r="GI17" s="153"/>
      <c r="GJ17" s="153"/>
      <c r="GK17" s="153"/>
      <c r="GL17" s="153"/>
      <c r="GM17" s="153"/>
      <c r="GN17" s="153"/>
      <c r="GO17" s="153"/>
      <c r="GP17" s="153"/>
    </row>
    <row r="18" spans="2:198" s="150" customFormat="1" ht="30" customHeight="1" x14ac:dyDescent="0.3">
      <c r="B18" s="154" t="s">
        <v>85</v>
      </c>
      <c r="C18" s="152"/>
      <c r="D18" s="152"/>
      <c r="E18" s="152"/>
      <c r="F18" s="152"/>
      <c r="G18" s="152"/>
      <c r="H18" s="152"/>
      <c r="I18" s="152"/>
      <c r="J18" s="152"/>
      <c r="K18" s="152"/>
      <c r="BY18" s="153"/>
      <c r="BZ18" s="153"/>
      <c r="CA18" s="153"/>
      <c r="CB18" s="153"/>
      <c r="CC18" s="153"/>
      <c r="CD18" s="153"/>
      <c r="CE18" s="153"/>
      <c r="CF18" s="153"/>
      <c r="CG18" s="153"/>
      <c r="CH18" s="153"/>
      <c r="CI18" s="153"/>
      <c r="CJ18" s="153"/>
      <c r="CK18" s="153"/>
      <c r="CL18" s="153"/>
      <c r="CM18" s="153"/>
      <c r="CN18" s="153"/>
      <c r="CO18" s="153"/>
      <c r="CP18" s="153"/>
      <c r="CQ18" s="153"/>
      <c r="CR18" s="153"/>
      <c r="CS18" s="153"/>
      <c r="CT18" s="153"/>
      <c r="CU18" s="153"/>
      <c r="CV18" s="153"/>
      <c r="CW18" s="153"/>
      <c r="CX18" s="153"/>
      <c r="CY18" s="153"/>
      <c r="CZ18" s="153"/>
      <c r="DA18" s="153"/>
      <c r="DB18" s="153"/>
      <c r="DC18" s="153"/>
      <c r="DD18" s="153"/>
      <c r="DE18" s="153"/>
      <c r="DF18" s="153"/>
      <c r="DG18" s="153"/>
      <c r="DH18" s="153"/>
      <c r="DI18" s="153"/>
      <c r="DJ18" s="153"/>
      <c r="DK18" s="153"/>
      <c r="DL18" s="153"/>
      <c r="DM18" s="153"/>
      <c r="DN18" s="153"/>
      <c r="DO18" s="153"/>
      <c r="DP18" s="153"/>
      <c r="DQ18" s="153"/>
      <c r="DR18" s="153"/>
      <c r="DS18" s="153"/>
      <c r="DT18" s="153"/>
      <c r="DU18" s="153"/>
      <c r="DV18" s="153"/>
      <c r="DW18" s="153"/>
      <c r="DX18" s="153"/>
      <c r="DY18" s="153"/>
      <c r="DZ18" s="153"/>
      <c r="EA18" s="153"/>
      <c r="EB18" s="153"/>
      <c r="EC18" s="153"/>
      <c r="ED18" s="153"/>
      <c r="EE18" s="153"/>
      <c r="EF18" s="153"/>
      <c r="EG18" s="153"/>
      <c r="EH18" s="153"/>
      <c r="EI18" s="153"/>
      <c r="EJ18" s="153"/>
      <c r="EK18" s="153"/>
      <c r="EL18" s="153"/>
      <c r="EM18" s="153"/>
      <c r="EN18" s="153"/>
      <c r="EO18" s="153"/>
      <c r="EP18" s="153"/>
      <c r="EQ18" s="153"/>
      <c r="ER18" s="153"/>
      <c r="ES18" s="153"/>
      <c r="ET18" s="153"/>
      <c r="EU18" s="153"/>
      <c r="EV18" s="153"/>
      <c r="EW18" s="153"/>
      <c r="EX18" s="153"/>
      <c r="EY18" s="153"/>
      <c r="EZ18" s="153"/>
      <c r="FA18" s="153"/>
      <c r="FB18" s="153"/>
      <c r="FC18" s="153"/>
      <c r="FD18" s="153"/>
      <c r="FE18" s="153"/>
      <c r="FF18" s="153"/>
      <c r="FG18" s="153"/>
      <c r="FH18" s="153"/>
      <c r="FI18" s="153"/>
      <c r="FJ18" s="153"/>
      <c r="FK18" s="153"/>
      <c r="FL18" s="153"/>
      <c r="FM18" s="153"/>
      <c r="FN18" s="153"/>
      <c r="FO18" s="153"/>
      <c r="FP18" s="153"/>
      <c r="FQ18" s="153"/>
      <c r="FR18" s="153"/>
      <c r="FS18" s="153"/>
      <c r="FT18" s="153"/>
      <c r="FU18" s="153"/>
      <c r="FV18" s="153"/>
      <c r="FW18" s="153"/>
      <c r="FX18" s="153"/>
      <c r="FY18" s="153"/>
      <c r="FZ18" s="153"/>
      <c r="GA18" s="153"/>
      <c r="GB18" s="153"/>
      <c r="GC18" s="153"/>
      <c r="GD18" s="153"/>
      <c r="GE18" s="153"/>
      <c r="GF18" s="153"/>
      <c r="GG18" s="153"/>
      <c r="GH18" s="153"/>
      <c r="GI18" s="153"/>
      <c r="GJ18" s="153"/>
      <c r="GK18" s="153"/>
      <c r="GL18" s="153"/>
      <c r="GM18" s="153"/>
      <c r="GN18" s="153"/>
      <c r="GO18" s="153"/>
      <c r="GP18" s="153"/>
    </row>
    <row r="19" spans="2:198" s="150" customFormat="1" ht="30" customHeight="1" x14ac:dyDescent="0.3">
      <c r="B19" s="152" t="s">
        <v>16</v>
      </c>
      <c r="C19" s="152"/>
      <c r="D19" s="152"/>
      <c r="E19" s="152"/>
      <c r="F19" s="152"/>
      <c r="G19" s="152"/>
      <c r="H19" s="152"/>
      <c r="I19" s="152"/>
      <c r="J19" s="152"/>
      <c r="K19" s="152"/>
      <c r="BY19" s="153"/>
      <c r="BZ19" s="153"/>
      <c r="CA19" s="153"/>
      <c r="CB19" s="153"/>
      <c r="CC19" s="153"/>
      <c r="CD19" s="153"/>
      <c r="CE19" s="153"/>
      <c r="CF19" s="153"/>
      <c r="CG19" s="153"/>
      <c r="CH19" s="153"/>
      <c r="CI19" s="153"/>
      <c r="CJ19" s="153"/>
      <c r="CK19" s="153"/>
      <c r="CL19" s="153"/>
      <c r="CM19" s="153"/>
      <c r="CN19" s="153"/>
      <c r="CO19" s="153"/>
      <c r="CP19" s="153"/>
      <c r="CQ19" s="153"/>
      <c r="CR19" s="153"/>
      <c r="CS19" s="153"/>
      <c r="CT19" s="153"/>
      <c r="CU19" s="153"/>
      <c r="CV19" s="153"/>
      <c r="CW19" s="153"/>
      <c r="CX19" s="153"/>
      <c r="CY19" s="153"/>
      <c r="CZ19" s="153"/>
      <c r="DA19" s="153"/>
      <c r="DB19" s="153"/>
      <c r="DC19" s="153"/>
      <c r="DD19" s="153"/>
      <c r="DE19" s="153"/>
      <c r="DF19" s="153"/>
      <c r="DG19" s="153"/>
      <c r="DH19" s="153"/>
      <c r="DI19" s="153"/>
      <c r="DJ19" s="153"/>
      <c r="DK19" s="153"/>
      <c r="DL19" s="153"/>
      <c r="DM19" s="153"/>
      <c r="DN19" s="153"/>
      <c r="DO19" s="153"/>
      <c r="DP19" s="153"/>
      <c r="DQ19" s="153"/>
      <c r="DR19" s="153"/>
      <c r="DS19" s="153"/>
      <c r="DT19" s="153"/>
      <c r="DU19" s="153"/>
      <c r="DV19" s="153"/>
      <c r="DW19" s="153"/>
      <c r="DX19" s="153"/>
      <c r="DY19" s="153"/>
      <c r="DZ19" s="153"/>
      <c r="EA19" s="153"/>
      <c r="EB19" s="153"/>
      <c r="EC19" s="153"/>
      <c r="ED19" s="153"/>
      <c r="EE19" s="153"/>
      <c r="EF19" s="153"/>
      <c r="EG19" s="153"/>
      <c r="EH19" s="153"/>
      <c r="EI19" s="153"/>
      <c r="EJ19" s="153"/>
      <c r="EK19" s="153"/>
      <c r="EL19" s="153"/>
      <c r="EM19" s="153"/>
      <c r="EN19" s="153"/>
      <c r="EO19" s="153"/>
      <c r="EP19" s="153"/>
      <c r="EQ19" s="153"/>
      <c r="ER19" s="153"/>
      <c r="ES19" s="153"/>
      <c r="ET19" s="153"/>
      <c r="EU19" s="153"/>
      <c r="EV19" s="153"/>
      <c r="EW19" s="153"/>
      <c r="EX19" s="153"/>
      <c r="EY19" s="153"/>
      <c r="EZ19" s="153"/>
      <c r="FA19" s="153"/>
      <c r="FB19" s="153"/>
      <c r="FC19" s="153"/>
      <c r="FD19" s="153"/>
      <c r="FE19" s="153"/>
      <c r="FF19" s="153"/>
      <c r="FG19" s="153"/>
      <c r="FH19" s="153"/>
      <c r="FI19" s="153"/>
      <c r="FJ19" s="153"/>
      <c r="FK19" s="153"/>
      <c r="FL19" s="153"/>
      <c r="FM19" s="153"/>
      <c r="FN19" s="153"/>
      <c r="FO19" s="153"/>
      <c r="FP19" s="153"/>
      <c r="FQ19" s="153"/>
      <c r="FR19" s="153"/>
      <c r="FS19" s="153"/>
      <c r="FT19" s="153"/>
      <c r="FU19" s="153"/>
      <c r="FV19" s="153"/>
      <c r="FW19" s="153"/>
      <c r="FX19" s="153"/>
      <c r="FY19" s="153"/>
      <c r="FZ19" s="153"/>
      <c r="GA19" s="153"/>
      <c r="GB19" s="153"/>
      <c r="GC19" s="153"/>
      <c r="GD19" s="153"/>
      <c r="GE19" s="153"/>
      <c r="GF19" s="153"/>
      <c r="GG19" s="153"/>
      <c r="GH19" s="153"/>
      <c r="GI19" s="153"/>
      <c r="GJ19" s="153"/>
      <c r="GK19" s="153"/>
      <c r="GL19" s="153"/>
      <c r="GM19" s="153"/>
      <c r="GN19" s="153"/>
      <c r="GO19" s="153"/>
      <c r="GP19" s="153"/>
    </row>
    <row r="20" spans="2:198" s="150" customFormat="1" ht="30" customHeight="1" x14ac:dyDescent="0.3"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BY20" s="153"/>
      <c r="BZ20" s="153"/>
      <c r="CA20" s="153"/>
      <c r="CB20" s="153"/>
      <c r="CC20" s="153"/>
      <c r="CD20" s="153"/>
      <c r="CE20" s="153"/>
      <c r="CF20" s="153"/>
      <c r="CG20" s="153"/>
      <c r="CH20" s="153"/>
      <c r="CI20" s="153"/>
      <c r="CJ20" s="153"/>
      <c r="CK20" s="153"/>
      <c r="CL20" s="153"/>
      <c r="CM20" s="153"/>
      <c r="CN20" s="153"/>
      <c r="CO20" s="153"/>
      <c r="CP20" s="153"/>
      <c r="CQ20" s="153"/>
      <c r="CR20" s="153"/>
      <c r="CS20" s="153"/>
      <c r="CT20" s="153"/>
      <c r="CU20" s="153"/>
      <c r="CV20" s="153"/>
      <c r="CW20" s="153"/>
      <c r="CX20" s="153"/>
      <c r="CY20" s="153"/>
      <c r="CZ20" s="153"/>
      <c r="DA20" s="153"/>
      <c r="DB20" s="153"/>
      <c r="DC20" s="153"/>
      <c r="DD20" s="153"/>
      <c r="DE20" s="153"/>
      <c r="DF20" s="153"/>
      <c r="DG20" s="153"/>
      <c r="DH20" s="153"/>
      <c r="DI20" s="153"/>
      <c r="DJ20" s="153"/>
      <c r="DK20" s="153"/>
      <c r="DL20" s="153"/>
      <c r="DM20" s="153"/>
      <c r="DN20" s="153"/>
      <c r="DO20" s="153"/>
      <c r="DP20" s="153"/>
      <c r="DQ20" s="153"/>
      <c r="DR20" s="153"/>
      <c r="DS20" s="153"/>
      <c r="DT20" s="153"/>
      <c r="DU20" s="153"/>
      <c r="DV20" s="153"/>
      <c r="DW20" s="153"/>
      <c r="DX20" s="153"/>
      <c r="DY20" s="153"/>
      <c r="DZ20" s="153"/>
      <c r="EA20" s="153"/>
      <c r="EB20" s="153"/>
      <c r="EC20" s="153"/>
      <c r="ED20" s="153"/>
      <c r="EE20" s="153"/>
      <c r="EF20" s="153"/>
      <c r="EG20" s="153"/>
      <c r="EH20" s="153"/>
      <c r="EI20" s="153"/>
      <c r="EJ20" s="153"/>
      <c r="EK20" s="153"/>
      <c r="EL20" s="153"/>
      <c r="EM20" s="153"/>
      <c r="EN20" s="153"/>
      <c r="EO20" s="153"/>
      <c r="EP20" s="153"/>
      <c r="EQ20" s="153"/>
      <c r="ER20" s="153"/>
      <c r="ES20" s="153"/>
      <c r="ET20" s="153"/>
      <c r="EU20" s="153"/>
      <c r="EV20" s="153"/>
      <c r="EW20" s="153"/>
      <c r="EX20" s="153"/>
      <c r="EY20" s="153"/>
      <c r="EZ20" s="153"/>
      <c r="FA20" s="153"/>
      <c r="FB20" s="153"/>
      <c r="FC20" s="153"/>
      <c r="FD20" s="153"/>
      <c r="FE20" s="153"/>
      <c r="FF20" s="153"/>
      <c r="FG20" s="153"/>
      <c r="FH20" s="153"/>
      <c r="FI20" s="153"/>
      <c r="FJ20" s="153"/>
      <c r="FK20" s="153"/>
      <c r="FL20" s="153"/>
      <c r="FM20" s="153"/>
      <c r="FN20" s="153"/>
      <c r="FO20" s="153"/>
      <c r="FP20" s="153"/>
      <c r="FQ20" s="153"/>
      <c r="FR20" s="153"/>
      <c r="FS20" s="153"/>
      <c r="FT20" s="153"/>
      <c r="FU20" s="153"/>
      <c r="FV20" s="153"/>
      <c r="FW20" s="153"/>
      <c r="FX20" s="153"/>
      <c r="FY20" s="153"/>
      <c r="FZ20" s="153"/>
      <c r="GA20" s="153"/>
      <c r="GB20" s="153"/>
      <c r="GC20" s="153"/>
      <c r="GD20" s="153"/>
      <c r="GE20" s="153"/>
      <c r="GF20" s="153"/>
      <c r="GG20" s="153"/>
      <c r="GH20" s="153"/>
      <c r="GI20" s="153"/>
      <c r="GJ20" s="153"/>
      <c r="GK20" s="153"/>
      <c r="GL20" s="153"/>
      <c r="GM20" s="153"/>
      <c r="GN20" s="153"/>
      <c r="GO20" s="153"/>
      <c r="GP20" s="153"/>
    </row>
    <row r="21" spans="2:198" s="150" customFormat="1" ht="30" customHeight="1" x14ac:dyDescent="0.3">
      <c r="B21" s="174" t="s">
        <v>51</v>
      </c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BY21" s="153"/>
      <c r="BZ21" s="153"/>
      <c r="CA21" s="153"/>
      <c r="CB21" s="153"/>
      <c r="CC21" s="153"/>
      <c r="CD21" s="153"/>
      <c r="CE21" s="153"/>
      <c r="CF21" s="153"/>
      <c r="CG21" s="153"/>
      <c r="CH21" s="153"/>
      <c r="CI21" s="153"/>
      <c r="CJ21" s="153"/>
      <c r="CK21" s="153"/>
      <c r="CL21" s="153"/>
      <c r="CM21" s="153"/>
      <c r="CN21" s="153"/>
      <c r="CO21" s="153"/>
      <c r="CP21" s="153"/>
      <c r="CQ21" s="153"/>
      <c r="CR21" s="153"/>
      <c r="CS21" s="153"/>
      <c r="CT21" s="153"/>
      <c r="CU21" s="153"/>
      <c r="CV21" s="153"/>
      <c r="CW21" s="153"/>
      <c r="CX21" s="153"/>
      <c r="CY21" s="153"/>
      <c r="CZ21" s="153"/>
      <c r="DA21" s="153"/>
      <c r="DB21" s="153"/>
      <c r="DC21" s="153"/>
      <c r="DD21" s="153"/>
      <c r="DE21" s="153"/>
      <c r="DF21" s="153"/>
      <c r="DG21" s="153"/>
      <c r="DH21" s="153"/>
      <c r="DI21" s="153"/>
      <c r="DJ21" s="153"/>
      <c r="DK21" s="153"/>
      <c r="DL21" s="153"/>
      <c r="DM21" s="153"/>
      <c r="DN21" s="153"/>
      <c r="DO21" s="153"/>
      <c r="DP21" s="153"/>
      <c r="DQ21" s="153"/>
      <c r="DR21" s="153"/>
      <c r="DS21" s="153"/>
      <c r="DT21" s="153"/>
      <c r="DU21" s="153"/>
      <c r="DV21" s="153"/>
      <c r="DW21" s="153"/>
      <c r="DX21" s="153"/>
      <c r="DY21" s="153"/>
      <c r="DZ21" s="153"/>
      <c r="EA21" s="153"/>
      <c r="EB21" s="153"/>
      <c r="EC21" s="153"/>
      <c r="ED21" s="153"/>
      <c r="EE21" s="153"/>
      <c r="EF21" s="153"/>
      <c r="EG21" s="153"/>
      <c r="EH21" s="153"/>
      <c r="EI21" s="153"/>
      <c r="EJ21" s="153"/>
      <c r="EK21" s="153"/>
      <c r="EL21" s="153"/>
      <c r="EM21" s="153"/>
      <c r="EN21" s="153"/>
      <c r="EO21" s="153"/>
      <c r="EP21" s="153"/>
      <c r="EQ21" s="153"/>
      <c r="ER21" s="153"/>
      <c r="ES21" s="153"/>
      <c r="ET21" s="153"/>
      <c r="EU21" s="153"/>
      <c r="EV21" s="153"/>
      <c r="EW21" s="153"/>
      <c r="EX21" s="153"/>
      <c r="EY21" s="153"/>
      <c r="EZ21" s="153"/>
      <c r="FA21" s="153"/>
      <c r="FB21" s="153"/>
      <c r="FC21" s="153"/>
      <c r="FD21" s="153"/>
      <c r="FE21" s="153"/>
      <c r="FF21" s="153"/>
      <c r="FG21" s="153"/>
      <c r="FH21" s="153"/>
      <c r="FI21" s="153"/>
      <c r="FJ21" s="153"/>
      <c r="FK21" s="153"/>
      <c r="FL21" s="153"/>
      <c r="FM21" s="153"/>
      <c r="FN21" s="153"/>
      <c r="FO21" s="153"/>
      <c r="FP21" s="153"/>
      <c r="FQ21" s="153"/>
      <c r="FR21" s="153"/>
      <c r="FS21" s="153"/>
      <c r="FT21" s="153"/>
      <c r="FU21" s="153"/>
      <c r="FV21" s="153"/>
      <c r="FW21" s="153"/>
      <c r="FX21" s="153"/>
      <c r="FY21" s="153"/>
      <c r="FZ21" s="153"/>
      <c r="GA21" s="153"/>
      <c r="GB21" s="153"/>
      <c r="GC21" s="153"/>
      <c r="GD21" s="153"/>
      <c r="GE21" s="153"/>
      <c r="GF21" s="153"/>
      <c r="GG21" s="153"/>
      <c r="GH21" s="153"/>
      <c r="GI21" s="153"/>
      <c r="GJ21" s="153"/>
      <c r="GK21" s="153"/>
      <c r="GL21" s="153"/>
      <c r="GM21" s="153"/>
      <c r="GN21" s="153"/>
      <c r="GO21" s="153"/>
      <c r="GP21" s="153"/>
    </row>
    <row r="22" spans="2:198" s="150" customFormat="1" ht="30" customHeight="1" x14ac:dyDescent="0.3"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BY22" s="153"/>
      <c r="BZ22" s="153"/>
      <c r="CA22" s="153"/>
      <c r="CB22" s="153"/>
      <c r="CC22" s="153"/>
      <c r="CD22" s="153"/>
      <c r="CE22" s="153"/>
      <c r="CF22" s="153"/>
      <c r="CG22" s="153"/>
      <c r="CH22" s="153"/>
      <c r="CI22" s="153"/>
      <c r="CJ22" s="153"/>
      <c r="CK22" s="153"/>
      <c r="CL22" s="153"/>
      <c r="CM22" s="153"/>
      <c r="CN22" s="153"/>
      <c r="CO22" s="153"/>
      <c r="CP22" s="153"/>
      <c r="CQ22" s="153"/>
      <c r="CR22" s="153"/>
      <c r="CS22" s="153"/>
      <c r="CT22" s="153"/>
      <c r="CU22" s="153"/>
      <c r="CV22" s="153"/>
      <c r="CW22" s="153"/>
      <c r="CX22" s="153"/>
      <c r="CY22" s="153"/>
      <c r="CZ22" s="153"/>
      <c r="DA22" s="153"/>
      <c r="DB22" s="153"/>
      <c r="DC22" s="153"/>
      <c r="DD22" s="153"/>
      <c r="DE22" s="153"/>
      <c r="DF22" s="153"/>
      <c r="DG22" s="153"/>
      <c r="DH22" s="153"/>
      <c r="DI22" s="153"/>
      <c r="DJ22" s="153"/>
      <c r="DK22" s="153"/>
      <c r="DL22" s="153"/>
      <c r="DM22" s="153"/>
      <c r="DN22" s="153"/>
      <c r="DO22" s="153"/>
      <c r="DP22" s="153"/>
      <c r="DQ22" s="153"/>
      <c r="DR22" s="153"/>
      <c r="DS22" s="153"/>
      <c r="DT22" s="153"/>
      <c r="DU22" s="153"/>
      <c r="DV22" s="153"/>
      <c r="DW22" s="153"/>
      <c r="DX22" s="153"/>
      <c r="DY22" s="153"/>
      <c r="DZ22" s="153"/>
      <c r="EA22" s="153"/>
      <c r="EB22" s="153"/>
      <c r="EC22" s="153"/>
      <c r="ED22" s="153"/>
      <c r="EE22" s="153"/>
      <c r="EF22" s="153"/>
      <c r="EG22" s="153"/>
      <c r="EH22" s="153"/>
      <c r="EI22" s="153"/>
      <c r="EJ22" s="153"/>
      <c r="EK22" s="153"/>
      <c r="EL22" s="153"/>
      <c r="EM22" s="153"/>
      <c r="EN22" s="153"/>
      <c r="EO22" s="153"/>
      <c r="EP22" s="153"/>
      <c r="EQ22" s="153"/>
      <c r="ER22" s="153"/>
      <c r="ES22" s="153"/>
      <c r="ET22" s="153"/>
      <c r="EU22" s="153"/>
      <c r="EV22" s="153"/>
      <c r="EW22" s="153"/>
      <c r="EX22" s="153"/>
      <c r="EY22" s="153"/>
      <c r="EZ22" s="153"/>
      <c r="FA22" s="153"/>
      <c r="FB22" s="153"/>
      <c r="FC22" s="153"/>
      <c r="FD22" s="153"/>
      <c r="FE22" s="153"/>
      <c r="FF22" s="153"/>
      <c r="FG22" s="153"/>
      <c r="FH22" s="153"/>
      <c r="FI22" s="153"/>
      <c r="FJ22" s="153"/>
      <c r="FK22" s="153"/>
      <c r="FL22" s="153"/>
      <c r="FM22" s="153"/>
      <c r="FN22" s="153"/>
      <c r="FO22" s="153"/>
      <c r="FP22" s="153"/>
      <c r="FQ22" s="153"/>
      <c r="FR22" s="153"/>
      <c r="FS22" s="153"/>
      <c r="FT22" s="153"/>
      <c r="FU22" s="153"/>
      <c r="FV22" s="153"/>
      <c r="FW22" s="153"/>
      <c r="FX22" s="153"/>
      <c r="FY22" s="153"/>
      <c r="FZ22" s="153"/>
      <c r="GA22" s="153"/>
      <c r="GB22" s="153"/>
      <c r="GC22" s="153"/>
      <c r="GD22" s="153"/>
      <c r="GE22" s="153"/>
      <c r="GF22" s="153"/>
      <c r="GG22" s="153"/>
      <c r="GH22" s="153"/>
      <c r="GI22" s="153"/>
      <c r="GJ22" s="153"/>
      <c r="GK22" s="153"/>
      <c r="GL22" s="153"/>
      <c r="GM22" s="153"/>
      <c r="GN22" s="153"/>
      <c r="GO22" s="153"/>
      <c r="GP22" s="153"/>
    </row>
    <row r="23" spans="2:198" s="150" customFormat="1" ht="30" customHeight="1" x14ac:dyDescent="0.3">
      <c r="BY23" s="153"/>
      <c r="BZ23" s="153"/>
      <c r="CA23" s="153"/>
      <c r="CB23" s="153"/>
      <c r="CC23" s="153"/>
      <c r="CD23" s="153"/>
      <c r="CE23" s="153"/>
      <c r="CF23" s="153"/>
      <c r="CG23" s="153"/>
      <c r="CH23" s="153"/>
      <c r="CI23" s="153"/>
      <c r="CJ23" s="153"/>
      <c r="CK23" s="153"/>
      <c r="CL23" s="153"/>
      <c r="CM23" s="153"/>
      <c r="CN23" s="153"/>
      <c r="CO23" s="153"/>
      <c r="CP23" s="153"/>
      <c r="CQ23" s="153"/>
      <c r="CR23" s="153"/>
      <c r="CS23" s="153"/>
      <c r="CT23" s="153"/>
      <c r="CU23" s="153"/>
      <c r="CV23" s="153"/>
      <c r="CW23" s="153"/>
      <c r="CX23" s="153"/>
      <c r="CY23" s="153"/>
      <c r="CZ23" s="153"/>
      <c r="DA23" s="153"/>
      <c r="DB23" s="153"/>
      <c r="DC23" s="153"/>
      <c r="DD23" s="153"/>
      <c r="DE23" s="153"/>
      <c r="DF23" s="153"/>
      <c r="DG23" s="153"/>
      <c r="DH23" s="153"/>
      <c r="DI23" s="153"/>
      <c r="DJ23" s="153"/>
      <c r="DK23" s="153"/>
      <c r="DL23" s="153"/>
      <c r="DM23" s="153"/>
      <c r="DN23" s="153"/>
      <c r="DO23" s="153"/>
      <c r="DP23" s="153"/>
      <c r="DQ23" s="153"/>
      <c r="DR23" s="153"/>
      <c r="DS23" s="153"/>
      <c r="DT23" s="153"/>
      <c r="DU23" s="153"/>
      <c r="DV23" s="153"/>
      <c r="DW23" s="153"/>
      <c r="DX23" s="153"/>
      <c r="DY23" s="153"/>
      <c r="DZ23" s="153"/>
      <c r="EA23" s="153"/>
      <c r="EB23" s="153"/>
      <c r="EC23" s="153"/>
      <c r="ED23" s="153"/>
      <c r="EE23" s="153"/>
      <c r="EF23" s="153"/>
      <c r="EG23" s="153"/>
      <c r="EH23" s="153"/>
      <c r="EI23" s="153"/>
      <c r="EJ23" s="153"/>
      <c r="EK23" s="153"/>
      <c r="EL23" s="153"/>
      <c r="EM23" s="153"/>
      <c r="EN23" s="153"/>
      <c r="EO23" s="153"/>
      <c r="EP23" s="153"/>
      <c r="EQ23" s="153"/>
      <c r="ER23" s="153"/>
      <c r="ES23" s="153"/>
      <c r="ET23" s="153"/>
      <c r="EU23" s="153"/>
      <c r="EV23" s="153"/>
      <c r="EW23" s="153"/>
      <c r="EX23" s="153"/>
      <c r="EY23" s="153"/>
      <c r="EZ23" s="153"/>
      <c r="FA23" s="153"/>
      <c r="FB23" s="153"/>
      <c r="FC23" s="153"/>
      <c r="FD23" s="153"/>
      <c r="FE23" s="153"/>
      <c r="FF23" s="153"/>
      <c r="FG23" s="153"/>
      <c r="FH23" s="153"/>
      <c r="FI23" s="153"/>
      <c r="FJ23" s="153"/>
      <c r="FK23" s="153"/>
      <c r="FL23" s="153"/>
      <c r="FM23" s="153"/>
      <c r="FN23" s="153"/>
      <c r="FO23" s="153"/>
      <c r="FP23" s="153"/>
      <c r="FQ23" s="153"/>
      <c r="FR23" s="153"/>
      <c r="FS23" s="153"/>
      <c r="FT23" s="153"/>
      <c r="FU23" s="153"/>
      <c r="FV23" s="153"/>
      <c r="FW23" s="153"/>
      <c r="FX23" s="153"/>
      <c r="FY23" s="153"/>
      <c r="FZ23" s="153"/>
      <c r="GA23" s="153"/>
      <c r="GB23" s="153"/>
      <c r="GC23" s="153"/>
      <c r="GD23" s="153"/>
      <c r="GE23" s="153"/>
      <c r="GF23" s="153"/>
      <c r="GG23" s="153"/>
      <c r="GH23" s="153"/>
      <c r="GI23" s="153"/>
      <c r="GJ23" s="153"/>
      <c r="GK23" s="153"/>
      <c r="GL23" s="153"/>
      <c r="GM23" s="153"/>
      <c r="GN23" s="153"/>
      <c r="GO23" s="153"/>
      <c r="GP23" s="153"/>
    </row>
    <row r="24" spans="2:198" s="150" customFormat="1" ht="30" customHeight="1" x14ac:dyDescent="0.3">
      <c r="B24" s="155" t="s">
        <v>19</v>
      </c>
      <c r="BY24" s="153"/>
      <c r="BZ24" s="153"/>
      <c r="CA24" s="153"/>
      <c r="CB24" s="153"/>
      <c r="CC24" s="153"/>
      <c r="CD24" s="153"/>
      <c r="CE24" s="153"/>
      <c r="CF24" s="153"/>
      <c r="CG24" s="153"/>
      <c r="CH24" s="153"/>
      <c r="CI24" s="153"/>
      <c r="CJ24" s="153"/>
      <c r="CK24" s="153"/>
      <c r="CL24" s="153"/>
      <c r="CM24" s="153"/>
      <c r="CN24" s="153"/>
      <c r="CO24" s="153"/>
      <c r="CP24" s="153"/>
      <c r="CQ24" s="153"/>
      <c r="CR24" s="153"/>
      <c r="CS24" s="153"/>
      <c r="CT24" s="153"/>
      <c r="CU24" s="153"/>
      <c r="CV24" s="153"/>
      <c r="CW24" s="153"/>
      <c r="CX24" s="153"/>
      <c r="CY24" s="153"/>
      <c r="CZ24" s="153"/>
      <c r="DA24" s="153"/>
      <c r="DB24" s="153"/>
      <c r="DC24" s="153"/>
      <c r="DD24" s="153"/>
      <c r="DE24" s="153"/>
      <c r="DF24" s="153"/>
      <c r="DG24" s="153"/>
      <c r="DH24" s="153"/>
      <c r="DI24" s="153"/>
      <c r="DJ24" s="153"/>
      <c r="DK24" s="153"/>
      <c r="DL24" s="153"/>
      <c r="DM24" s="153"/>
      <c r="DN24" s="153"/>
      <c r="DO24" s="153"/>
      <c r="DP24" s="153"/>
      <c r="DQ24" s="153"/>
      <c r="DR24" s="153"/>
      <c r="DS24" s="153"/>
      <c r="DT24" s="153"/>
      <c r="DU24" s="153"/>
      <c r="DV24" s="153"/>
      <c r="DW24" s="153"/>
      <c r="DX24" s="153"/>
      <c r="DY24" s="153"/>
      <c r="DZ24" s="153"/>
      <c r="EA24" s="153"/>
      <c r="EB24" s="153"/>
      <c r="EC24" s="153"/>
      <c r="ED24" s="153"/>
      <c r="EE24" s="153"/>
      <c r="EF24" s="153"/>
      <c r="EG24" s="153"/>
      <c r="EH24" s="153"/>
      <c r="EI24" s="153"/>
      <c r="EJ24" s="153"/>
      <c r="EK24" s="153"/>
      <c r="EL24" s="153"/>
      <c r="EM24" s="153"/>
      <c r="EN24" s="153"/>
      <c r="EO24" s="153"/>
      <c r="EP24" s="153"/>
      <c r="EQ24" s="153"/>
      <c r="ER24" s="153"/>
      <c r="ES24" s="153"/>
      <c r="ET24" s="153"/>
      <c r="EU24" s="153"/>
      <c r="EV24" s="153"/>
      <c r="EW24" s="153"/>
      <c r="EX24" s="153"/>
      <c r="EY24" s="153"/>
      <c r="EZ24" s="153"/>
      <c r="FA24" s="153"/>
      <c r="FB24" s="153"/>
      <c r="FC24" s="153"/>
      <c r="FD24" s="153"/>
      <c r="FE24" s="153"/>
      <c r="FF24" s="153"/>
      <c r="FG24" s="153"/>
      <c r="FH24" s="153"/>
      <c r="FI24" s="153"/>
      <c r="FJ24" s="153"/>
      <c r="FK24" s="153"/>
      <c r="FL24" s="153"/>
      <c r="FM24" s="153"/>
      <c r="FN24" s="153"/>
      <c r="FO24" s="153"/>
      <c r="FP24" s="153"/>
      <c r="FQ24" s="153"/>
      <c r="FR24" s="153"/>
      <c r="FS24" s="153"/>
      <c r="FT24" s="153"/>
      <c r="FU24" s="153"/>
      <c r="FV24" s="153"/>
      <c r="FW24" s="153"/>
      <c r="FX24" s="153"/>
      <c r="FY24" s="153"/>
      <c r="FZ24" s="153"/>
      <c r="GA24" s="153"/>
      <c r="GB24" s="153"/>
      <c r="GC24" s="153"/>
      <c r="GD24" s="153"/>
      <c r="GE24" s="153"/>
      <c r="GF24" s="153"/>
      <c r="GG24" s="153"/>
      <c r="GH24" s="153"/>
      <c r="GI24" s="153"/>
      <c r="GJ24" s="153"/>
      <c r="GK24" s="153"/>
      <c r="GL24" s="153"/>
      <c r="GM24" s="153"/>
      <c r="GN24" s="153"/>
      <c r="GO24" s="153"/>
      <c r="GP24" s="153"/>
    </row>
    <row r="25" spans="2:198" s="150" customFormat="1" ht="30" customHeight="1" x14ac:dyDescent="0.3">
      <c r="BY25" s="153"/>
      <c r="BZ25" s="153"/>
      <c r="CA25" s="153"/>
      <c r="CB25" s="153"/>
      <c r="CC25" s="153"/>
      <c r="CD25" s="153"/>
      <c r="CE25" s="153"/>
      <c r="CF25" s="153"/>
      <c r="CG25" s="153"/>
      <c r="CH25" s="153"/>
      <c r="CI25" s="153"/>
      <c r="CJ25" s="153"/>
      <c r="CK25" s="153"/>
      <c r="CL25" s="153"/>
      <c r="CM25" s="153"/>
      <c r="CN25" s="153"/>
      <c r="CO25" s="153"/>
      <c r="CP25" s="153"/>
      <c r="CQ25" s="153"/>
      <c r="CR25" s="153"/>
      <c r="CS25" s="153"/>
      <c r="CT25" s="153"/>
      <c r="CU25" s="153"/>
      <c r="CV25" s="153"/>
      <c r="CW25" s="153"/>
      <c r="CX25" s="153"/>
      <c r="CY25" s="153"/>
      <c r="CZ25" s="153"/>
      <c r="DA25" s="153"/>
      <c r="DB25" s="153"/>
      <c r="DC25" s="153"/>
      <c r="DD25" s="153"/>
      <c r="DE25" s="153"/>
      <c r="DF25" s="153"/>
      <c r="DG25" s="153"/>
      <c r="DH25" s="153"/>
      <c r="DI25" s="153"/>
      <c r="DJ25" s="153"/>
      <c r="DK25" s="153"/>
      <c r="DL25" s="153"/>
      <c r="DM25" s="153"/>
      <c r="DN25" s="153"/>
      <c r="DO25" s="153"/>
      <c r="DP25" s="153"/>
      <c r="DQ25" s="153"/>
      <c r="DR25" s="153"/>
      <c r="DS25" s="153"/>
      <c r="DT25" s="153"/>
      <c r="DU25" s="153"/>
      <c r="DV25" s="153"/>
      <c r="DW25" s="153"/>
      <c r="DX25" s="153"/>
      <c r="DY25" s="153"/>
      <c r="DZ25" s="153"/>
      <c r="EA25" s="153"/>
      <c r="EB25" s="153"/>
      <c r="EC25" s="153"/>
      <c r="ED25" s="153"/>
      <c r="EE25" s="153"/>
      <c r="EF25" s="153"/>
      <c r="EG25" s="153"/>
      <c r="EH25" s="153"/>
      <c r="EI25" s="153"/>
      <c r="EJ25" s="153"/>
      <c r="EK25" s="153"/>
      <c r="EL25" s="153"/>
      <c r="EM25" s="153"/>
      <c r="EN25" s="153"/>
      <c r="EO25" s="153"/>
      <c r="EP25" s="153"/>
      <c r="EQ25" s="153"/>
      <c r="ER25" s="153"/>
      <c r="ES25" s="153"/>
      <c r="ET25" s="153"/>
      <c r="EU25" s="153"/>
      <c r="EV25" s="153"/>
      <c r="EW25" s="153"/>
      <c r="EX25" s="153"/>
      <c r="EY25" s="153"/>
      <c r="EZ25" s="153"/>
      <c r="FA25" s="153"/>
      <c r="FB25" s="153"/>
      <c r="FC25" s="153"/>
      <c r="FD25" s="153"/>
      <c r="FE25" s="153"/>
      <c r="FF25" s="153"/>
      <c r="FG25" s="153"/>
      <c r="FH25" s="153"/>
      <c r="FI25" s="153"/>
      <c r="FJ25" s="153"/>
      <c r="FK25" s="153"/>
      <c r="FL25" s="153"/>
      <c r="FM25" s="153"/>
      <c r="FN25" s="153"/>
      <c r="FO25" s="153"/>
      <c r="FP25" s="153"/>
      <c r="FQ25" s="153"/>
      <c r="FR25" s="153"/>
      <c r="FS25" s="153"/>
      <c r="FT25" s="153"/>
      <c r="FU25" s="153"/>
      <c r="FV25" s="153"/>
      <c r="FW25" s="153"/>
      <c r="FX25" s="153"/>
      <c r="FY25" s="153"/>
      <c r="FZ25" s="153"/>
      <c r="GA25" s="153"/>
      <c r="GB25" s="153"/>
      <c r="GC25" s="153"/>
      <c r="GD25" s="153"/>
      <c r="GE25" s="153"/>
      <c r="GF25" s="153"/>
      <c r="GG25" s="153"/>
      <c r="GH25" s="153"/>
      <c r="GI25" s="153"/>
      <c r="GJ25" s="153"/>
      <c r="GK25" s="153"/>
      <c r="GL25" s="153"/>
      <c r="GM25" s="153"/>
      <c r="GN25" s="153"/>
      <c r="GO25" s="153"/>
      <c r="GP25" s="153"/>
    </row>
    <row r="26" spans="2:198" s="150" customFormat="1" ht="30" customHeight="1" x14ac:dyDescent="0.3">
      <c r="B26" s="156" t="s">
        <v>20</v>
      </c>
      <c r="C26" s="157"/>
      <c r="D26" s="157"/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BY26" s="153"/>
      <c r="BZ26" s="153"/>
      <c r="CA26" s="153"/>
      <c r="CB26" s="153"/>
      <c r="CC26" s="153"/>
      <c r="CD26" s="153"/>
      <c r="CE26" s="153"/>
      <c r="CF26" s="153"/>
      <c r="CG26" s="153"/>
      <c r="CH26" s="153"/>
      <c r="CI26" s="153"/>
      <c r="CJ26" s="153"/>
      <c r="CK26" s="153"/>
      <c r="CL26" s="153"/>
      <c r="CM26" s="153"/>
      <c r="CN26" s="153"/>
      <c r="CO26" s="153"/>
      <c r="CP26" s="153"/>
      <c r="CQ26" s="153"/>
      <c r="CR26" s="153"/>
      <c r="CS26" s="153"/>
      <c r="CT26" s="153"/>
      <c r="CU26" s="153"/>
      <c r="CV26" s="153"/>
      <c r="CW26" s="153"/>
      <c r="CX26" s="153"/>
      <c r="CY26" s="153"/>
      <c r="CZ26" s="153"/>
      <c r="DA26" s="153"/>
      <c r="DB26" s="153"/>
      <c r="DC26" s="153"/>
      <c r="DD26" s="153"/>
      <c r="DE26" s="153"/>
      <c r="DF26" s="153"/>
      <c r="DG26" s="153"/>
      <c r="DH26" s="153"/>
      <c r="DI26" s="153"/>
      <c r="DJ26" s="153"/>
      <c r="DK26" s="153"/>
      <c r="DL26" s="153"/>
      <c r="DM26" s="153"/>
      <c r="DN26" s="153"/>
      <c r="DO26" s="153"/>
      <c r="DP26" s="153"/>
      <c r="DQ26" s="153"/>
      <c r="DR26" s="153"/>
      <c r="DS26" s="153"/>
      <c r="DT26" s="153"/>
      <c r="DU26" s="153"/>
      <c r="DV26" s="153"/>
      <c r="DW26" s="153"/>
      <c r="DX26" s="153"/>
      <c r="DY26" s="153"/>
      <c r="DZ26" s="153"/>
      <c r="EA26" s="153"/>
      <c r="EB26" s="153"/>
      <c r="EC26" s="153"/>
      <c r="ED26" s="153"/>
      <c r="EE26" s="153"/>
      <c r="EF26" s="153"/>
      <c r="EG26" s="153"/>
      <c r="EH26" s="153"/>
      <c r="EI26" s="153"/>
      <c r="EJ26" s="153"/>
      <c r="EK26" s="153"/>
      <c r="EL26" s="153"/>
      <c r="EM26" s="153"/>
      <c r="EN26" s="153"/>
      <c r="EO26" s="153"/>
      <c r="EP26" s="153"/>
      <c r="EQ26" s="153"/>
      <c r="ER26" s="153"/>
      <c r="ES26" s="153"/>
      <c r="ET26" s="153"/>
      <c r="EU26" s="153"/>
      <c r="EV26" s="153"/>
      <c r="EW26" s="153"/>
      <c r="EX26" s="153"/>
      <c r="EY26" s="153"/>
      <c r="EZ26" s="153"/>
      <c r="FA26" s="153"/>
      <c r="FB26" s="153"/>
      <c r="FC26" s="153"/>
      <c r="FD26" s="153"/>
      <c r="FE26" s="153"/>
      <c r="FF26" s="153"/>
      <c r="FG26" s="153"/>
      <c r="FH26" s="153"/>
      <c r="FI26" s="153"/>
      <c r="FJ26" s="153"/>
      <c r="FK26" s="153"/>
      <c r="FL26" s="153"/>
      <c r="FM26" s="153"/>
      <c r="FN26" s="153"/>
      <c r="FO26" s="153"/>
      <c r="FP26" s="153"/>
      <c r="FQ26" s="153"/>
      <c r="FR26" s="153"/>
      <c r="FS26" s="153"/>
      <c r="FT26" s="153"/>
      <c r="FU26" s="153"/>
      <c r="FV26" s="153"/>
      <c r="FW26" s="153"/>
      <c r="FX26" s="153"/>
      <c r="FY26" s="153"/>
      <c r="FZ26" s="153"/>
      <c r="GA26" s="153"/>
      <c r="GB26" s="153"/>
      <c r="GC26" s="153"/>
      <c r="GD26" s="153"/>
      <c r="GE26" s="153"/>
      <c r="GF26" s="153"/>
      <c r="GG26" s="153"/>
      <c r="GH26" s="153"/>
      <c r="GI26" s="153"/>
      <c r="GJ26" s="153"/>
      <c r="GK26" s="153"/>
      <c r="GL26" s="153"/>
      <c r="GM26" s="153"/>
      <c r="GN26" s="153"/>
      <c r="GO26" s="153"/>
      <c r="GP26" s="153"/>
    </row>
    <row r="27" spans="2:198" s="150" customFormat="1" ht="30" customHeight="1" x14ac:dyDescent="0.3">
      <c r="BY27" s="153"/>
      <c r="BZ27" s="153"/>
      <c r="CA27" s="153"/>
      <c r="CB27" s="153"/>
      <c r="CC27" s="153"/>
      <c r="CD27" s="153"/>
      <c r="CE27" s="153"/>
      <c r="CF27" s="153"/>
      <c r="CG27" s="153"/>
      <c r="CH27" s="153"/>
      <c r="CI27" s="153"/>
      <c r="CJ27" s="153"/>
      <c r="CK27" s="153"/>
      <c r="CL27" s="153"/>
      <c r="CM27" s="153"/>
      <c r="CN27" s="153"/>
      <c r="CO27" s="153"/>
      <c r="CP27" s="153"/>
      <c r="CQ27" s="153"/>
      <c r="CR27" s="153"/>
      <c r="CS27" s="153"/>
      <c r="CT27" s="153"/>
      <c r="CU27" s="153"/>
      <c r="CV27" s="153"/>
      <c r="CW27" s="153"/>
      <c r="CX27" s="153"/>
      <c r="CY27" s="153"/>
      <c r="CZ27" s="153"/>
      <c r="DA27" s="153"/>
      <c r="DB27" s="153"/>
      <c r="DC27" s="153"/>
      <c r="DD27" s="153"/>
      <c r="DE27" s="153"/>
      <c r="DF27" s="153"/>
      <c r="DG27" s="153"/>
      <c r="DH27" s="153"/>
      <c r="DI27" s="153"/>
      <c r="DJ27" s="153"/>
      <c r="DK27" s="153"/>
      <c r="DL27" s="153"/>
      <c r="DM27" s="153"/>
      <c r="DN27" s="153"/>
      <c r="DO27" s="153"/>
      <c r="DP27" s="153"/>
      <c r="DQ27" s="153"/>
      <c r="DR27" s="153"/>
      <c r="DS27" s="153"/>
      <c r="DT27" s="153"/>
      <c r="DU27" s="153"/>
      <c r="DV27" s="153"/>
      <c r="DW27" s="153"/>
      <c r="DX27" s="153"/>
      <c r="DY27" s="153"/>
      <c r="DZ27" s="153"/>
      <c r="EA27" s="153"/>
      <c r="EB27" s="153"/>
      <c r="EC27" s="153"/>
      <c r="ED27" s="153"/>
      <c r="EE27" s="153"/>
      <c r="EF27" s="153"/>
      <c r="EG27" s="153"/>
      <c r="EH27" s="153"/>
      <c r="EI27" s="153"/>
      <c r="EJ27" s="153"/>
      <c r="EK27" s="153"/>
      <c r="EL27" s="153"/>
      <c r="EM27" s="153"/>
      <c r="EN27" s="153"/>
      <c r="EO27" s="153"/>
      <c r="EP27" s="153"/>
      <c r="EQ27" s="153"/>
      <c r="ER27" s="153"/>
      <c r="ES27" s="153"/>
      <c r="ET27" s="153"/>
      <c r="EU27" s="153"/>
      <c r="EV27" s="153"/>
      <c r="EW27" s="153"/>
      <c r="EX27" s="153"/>
      <c r="EY27" s="153"/>
      <c r="EZ27" s="153"/>
      <c r="FA27" s="153"/>
      <c r="FB27" s="153"/>
      <c r="FC27" s="153"/>
      <c r="FD27" s="153"/>
      <c r="FE27" s="153"/>
      <c r="FF27" s="153"/>
      <c r="FG27" s="153"/>
      <c r="FH27" s="153"/>
      <c r="FI27" s="153"/>
      <c r="FJ27" s="153"/>
      <c r="FK27" s="153"/>
      <c r="FL27" s="153"/>
      <c r="FM27" s="153"/>
      <c r="FN27" s="153"/>
      <c r="FO27" s="153"/>
      <c r="FP27" s="153"/>
      <c r="FQ27" s="153"/>
      <c r="FR27" s="153"/>
      <c r="FS27" s="153"/>
      <c r="FT27" s="153"/>
      <c r="FU27" s="153"/>
      <c r="FV27" s="153"/>
      <c r="FW27" s="153"/>
      <c r="FX27" s="153"/>
      <c r="FY27" s="153"/>
      <c r="FZ27" s="153"/>
      <c r="GA27" s="153"/>
      <c r="GB27" s="153"/>
      <c r="GC27" s="153"/>
      <c r="GD27" s="153"/>
      <c r="GE27" s="153"/>
      <c r="GF27" s="153"/>
      <c r="GG27" s="153"/>
      <c r="GH27" s="153"/>
      <c r="GI27" s="153"/>
      <c r="GJ27" s="153"/>
      <c r="GK27" s="153"/>
      <c r="GL27" s="153"/>
      <c r="GM27" s="153"/>
      <c r="GN27" s="153"/>
      <c r="GO27" s="153"/>
      <c r="GP27" s="153"/>
    </row>
    <row r="28" spans="2:198" s="150" customFormat="1" ht="30" customHeight="1" x14ac:dyDescent="0.3">
      <c r="B28" s="158" t="s">
        <v>52</v>
      </c>
      <c r="C28" s="159"/>
      <c r="D28" s="159"/>
      <c r="E28" s="159"/>
      <c r="F28" s="159"/>
      <c r="G28" s="159"/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  <c r="AA28" s="159"/>
      <c r="AB28" s="159"/>
      <c r="AC28" s="159"/>
      <c r="AD28" s="159"/>
      <c r="AE28" s="159"/>
      <c r="BY28" s="153"/>
      <c r="BZ28" s="153"/>
      <c r="CA28" s="153"/>
      <c r="CB28" s="153"/>
      <c r="CC28" s="153"/>
      <c r="CD28" s="153"/>
      <c r="CE28" s="153"/>
      <c r="CF28" s="153"/>
      <c r="CG28" s="153"/>
      <c r="CH28" s="153"/>
      <c r="CI28" s="153"/>
      <c r="CJ28" s="153"/>
      <c r="CK28" s="153"/>
      <c r="CL28" s="153"/>
      <c r="CM28" s="153"/>
      <c r="CN28" s="153"/>
      <c r="CO28" s="153"/>
      <c r="CP28" s="153"/>
      <c r="CQ28" s="153"/>
      <c r="CR28" s="153"/>
      <c r="CS28" s="153"/>
      <c r="CT28" s="153"/>
      <c r="CU28" s="153"/>
      <c r="CV28" s="153"/>
      <c r="CW28" s="153"/>
      <c r="CX28" s="153"/>
      <c r="CY28" s="153"/>
      <c r="CZ28" s="153"/>
      <c r="DA28" s="153"/>
      <c r="DB28" s="153"/>
      <c r="DC28" s="153"/>
      <c r="DD28" s="153"/>
      <c r="DE28" s="153"/>
      <c r="DF28" s="153"/>
      <c r="DG28" s="153"/>
      <c r="DH28" s="153"/>
      <c r="DI28" s="153"/>
      <c r="DJ28" s="153"/>
      <c r="DK28" s="153"/>
      <c r="DL28" s="153"/>
      <c r="DM28" s="153"/>
      <c r="DN28" s="153"/>
      <c r="DO28" s="153"/>
      <c r="DP28" s="153"/>
      <c r="DQ28" s="153"/>
      <c r="DR28" s="153"/>
      <c r="DS28" s="153"/>
      <c r="DT28" s="153"/>
      <c r="DU28" s="153"/>
      <c r="DV28" s="153"/>
      <c r="DW28" s="153"/>
      <c r="DX28" s="153"/>
      <c r="DY28" s="153"/>
      <c r="DZ28" s="153"/>
      <c r="EA28" s="153"/>
      <c r="EB28" s="153"/>
      <c r="EC28" s="153"/>
      <c r="ED28" s="153"/>
      <c r="EE28" s="153"/>
      <c r="EF28" s="153"/>
      <c r="EG28" s="153"/>
      <c r="EH28" s="153"/>
      <c r="EI28" s="153"/>
      <c r="EJ28" s="153"/>
      <c r="EK28" s="153"/>
      <c r="EL28" s="153"/>
      <c r="EM28" s="153"/>
      <c r="EN28" s="153"/>
      <c r="EO28" s="153"/>
      <c r="EP28" s="153"/>
      <c r="EQ28" s="153"/>
      <c r="ER28" s="153"/>
      <c r="ES28" s="153"/>
      <c r="ET28" s="153"/>
      <c r="EU28" s="153"/>
      <c r="EV28" s="153"/>
      <c r="EW28" s="153"/>
      <c r="EX28" s="153"/>
      <c r="EY28" s="153"/>
      <c r="EZ28" s="153"/>
      <c r="FA28" s="153"/>
      <c r="FB28" s="153"/>
      <c r="FC28" s="153"/>
      <c r="FD28" s="153"/>
      <c r="FE28" s="153"/>
      <c r="FF28" s="153"/>
      <c r="FG28" s="153"/>
      <c r="FH28" s="153"/>
      <c r="FI28" s="153"/>
      <c r="FJ28" s="153"/>
      <c r="FK28" s="153"/>
      <c r="FL28" s="153"/>
      <c r="FM28" s="153"/>
      <c r="FN28" s="153"/>
      <c r="FO28" s="153"/>
      <c r="FP28" s="153"/>
      <c r="FQ28" s="153"/>
      <c r="FR28" s="153"/>
      <c r="FS28" s="153"/>
      <c r="FT28" s="153"/>
      <c r="FU28" s="153"/>
      <c r="FV28" s="153"/>
      <c r="FW28" s="153"/>
      <c r="FX28" s="153"/>
      <c r="FY28" s="153"/>
      <c r="FZ28" s="153"/>
      <c r="GA28" s="153"/>
      <c r="GB28" s="153"/>
      <c r="GC28" s="153"/>
      <c r="GD28" s="153"/>
      <c r="GE28" s="153"/>
      <c r="GF28" s="153"/>
      <c r="GG28" s="153"/>
      <c r="GH28" s="153"/>
      <c r="GI28" s="153"/>
      <c r="GJ28" s="153"/>
      <c r="GK28" s="153"/>
      <c r="GL28" s="153"/>
      <c r="GM28" s="153"/>
      <c r="GN28" s="153"/>
      <c r="GO28" s="153"/>
      <c r="GP28" s="153"/>
    </row>
    <row r="29" spans="2:198" s="1" customFormat="1" ht="18" customHeight="1" x14ac:dyDescent="0.15"/>
    <row r="30" spans="2:198" s="1" customFormat="1" ht="18" customHeight="1" x14ac:dyDescent="0.15"/>
    <row r="31" spans="2:198" s="1" customFormat="1" ht="18" customHeight="1" x14ac:dyDescent="0.15">
      <c r="B31" s="40"/>
      <c r="C31" s="10"/>
      <c r="D31" s="12"/>
      <c r="E31" s="40"/>
      <c r="F31" s="7"/>
      <c r="G31" s="8"/>
      <c r="H31" s="9"/>
      <c r="I31" s="40"/>
      <c r="J31" s="40"/>
      <c r="K31" s="40"/>
      <c r="L31" s="40"/>
      <c r="M31" s="10"/>
      <c r="N31" s="12"/>
      <c r="O31" s="40"/>
      <c r="P31" s="7"/>
      <c r="Q31" s="8"/>
      <c r="R31" s="9"/>
      <c r="S31" s="40"/>
      <c r="T31" s="40"/>
      <c r="U31" s="40"/>
      <c r="V31" s="40"/>
      <c r="W31" s="10"/>
      <c r="X31" s="12"/>
      <c r="Y31" s="40"/>
      <c r="Z31" s="7"/>
      <c r="AA31" s="8"/>
      <c r="AB31" s="9"/>
      <c r="AC31" s="40"/>
      <c r="AD31" s="40"/>
      <c r="AE31" s="40"/>
    </row>
    <row r="32" spans="2:198" s="1" customFormat="1" ht="18" customHeight="1" x14ac:dyDescent="0.15">
      <c r="B32" s="43"/>
      <c r="C32" s="19"/>
      <c r="D32" s="21"/>
      <c r="E32" s="43"/>
      <c r="F32" s="16"/>
      <c r="G32" s="17"/>
      <c r="H32" s="18"/>
      <c r="I32" s="43"/>
      <c r="J32" s="43"/>
      <c r="K32" s="43"/>
      <c r="L32" s="43"/>
      <c r="M32" s="19"/>
      <c r="N32" s="21"/>
      <c r="O32" s="43"/>
      <c r="P32" s="16"/>
      <c r="Q32" s="17"/>
      <c r="R32" s="18"/>
      <c r="S32" s="43"/>
      <c r="T32" s="43"/>
      <c r="U32" s="43"/>
      <c r="V32" s="43"/>
      <c r="W32" s="19"/>
      <c r="X32" s="21"/>
      <c r="Y32" s="43"/>
      <c r="Z32" s="16"/>
      <c r="AA32" s="17"/>
      <c r="AB32" s="18"/>
      <c r="AC32" s="43"/>
      <c r="AD32" s="43"/>
      <c r="AE32" s="43"/>
    </row>
    <row r="33" spans="1:31" s="1" customFormat="1" ht="18" customHeight="1" x14ac:dyDescent="0.15">
      <c r="B33" s="44"/>
      <c r="C33" s="28"/>
      <c r="D33" s="30"/>
      <c r="E33" s="44"/>
      <c r="F33" s="25"/>
      <c r="G33" s="26"/>
      <c r="H33" s="27"/>
      <c r="I33" s="44"/>
      <c r="J33" s="44"/>
      <c r="K33" s="44"/>
      <c r="L33" s="44"/>
      <c r="M33" s="28"/>
      <c r="N33" s="30"/>
      <c r="O33" s="44"/>
      <c r="P33" s="25"/>
      <c r="Q33" s="26"/>
      <c r="R33" s="27"/>
      <c r="S33" s="44"/>
      <c r="T33" s="44"/>
      <c r="U33" s="44"/>
      <c r="V33" s="44"/>
      <c r="W33" s="28"/>
      <c r="X33" s="30"/>
      <c r="Y33" s="44"/>
      <c r="Z33" s="25"/>
      <c r="AA33" s="26"/>
      <c r="AB33" s="27"/>
      <c r="AC33" s="44"/>
      <c r="AD33" s="44"/>
      <c r="AE33" s="44"/>
    </row>
    <row r="34" spans="1:31" s="1" customFormat="1" ht="18" customHeight="1" x14ac:dyDescent="0.15"/>
    <row r="35" spans="1:31" s="1" customFormat="1" ht="18" customHeight="1" x14ac:dyDescent="0.2">
      <c r="B35" s="48">
        <v>325</v>
      </c>
      <c r="C35" s="170">
        <v>465</v>
      </c>
      <c r="D35" s="170"/>
      <c r="E35" s="48">
        <v>325</v>
      </c>
      <c r="F35" s="170">
        <v>685</v>
      </c>
      <c r="G35" s="170"/>
      <c r="H35" s="170"/>
      <c r="I35" s="48">
        <v>325</v>
      </c>
      <c r="J35" s="48">
        <v>325</v>
      </c>
      <c r="K35" s="48">
        <v>325</v>
      </c>
      <c r="L35" s="49">
        <v>325</v>
      </c>
      <c r="M35" s="171">
        <v>465</v>
      </c>
      <c r="N35" s="171"/>
      <c r="O35" s="49">
        <v>325</v>
      </c>
      <c r="P35" s="171">
        <v>685</v>
      </c>
      <c r="Q35" s="171"/>
      <c r="R35" s="171"/>
      <c r="S35" s="49">
        <v>325</v>
      </c>
      <c r="T35" s="49">
        <v>325</v>
      </c>
      <c r="U35" s="49">
        <v>325</v>
      </c>
      <c r="V35" s="48">
        <v>325</v>
      </c>
      <c r="W35" s="170">
        <v>465</v>
      </c>
      <c r="X35" s="170"/>
      <c r="Y35" s="48">
        <v>325</v>
      </c>
      <c r="Z35" s="170">
        <v>685</v>
      </c>
      <c r="AA35" s="170"/>
      <c r="AB35" s="170"/>
      <c r="AC35" s="48">
        <v>325</v>
      </c>
      <c r="AD35" s="48">
        <v>325</v>
      </c>
      <c r="AE35" s="48">
        <v>325</v>
      </c>
    </row>
    <row r="36" spans="1:31" s="1" customFormat="1" ht="18" customHeight="1" x14ac:dyDescent="0.2">
      <c r="H36" s="32"/>
      <c r="I36" s="3"/>
      <c r="J36" s="3"/>
    </row>
    <row r="37" spans="1:31" s="1" customFormat="1" ht="18" customHeight="1" x14ac:dyDescent="0.2">
      <c r="B37" s="57"/>
      <c r="C37" s="58"/>
      <c r="D37" s="58"/>
      <c r="E37" s="58"/>
      <c r="F37" s="58"/>
      <c r="G37" s="58"/>
      <c r="H37" s="59"/>
      <c r="I37" s="60"/>
      <c r="J37" s="60"/>
      <c r="K37" s="58"/>
      <c r="L37" s="61"/>
      <c r="R37" s="62"/>
      <c r="S37" s="62"/>
      <c r="T37" s="62"/>
      <c r="U37" s="57"/>
      <c r="V37" s="58"/>
      <c r="W37" s="58"/>
      <c r="X37" s="58"/>
      <c r="Y37" s="58"/>
      <c r="Z37" s="58"/>
      <c r="AA37" s="59"/>
      <c r="AB37" s="60"/>
      <c r="AC37" s="60"/>
      <c r="AD37" s="58"/>
      <c r="AE37" s="61"/>
    </row>
    <row r="38" spans="1:31" s="1" customFormat="1" ht="18" customHeight="1" x14ac:dyDescent="0.2">
      <c r="B38" s="75"/>
      <c r="C38" s="76"/>
      <c r="D38" s="76"/>
      <c r="E38" s="76"/>
      <c r="F38" s="76"/>
      <c r="G38" s="76"/>
      <c r="H38" s="77"/>
      <c r="I38" s="78"/>
      <c r="J38" s="79"/>
      <c r="K38" s="76"/>
      <c r="L38" s="80"/>
      <c r="R38" s="62"/>
      <c r="U38" s="75"/>
      <c r="V38" s="76"/>
      <c r="W38" s="76"/>
      <c r="X38" s="76"/>
      <c r="Y38" s="76"/>
      <c r="Z38" s="76"/>
      <c r="AA38" s="77"/>
      <c r="AB38" s="78"/>
      <c r="AC38" s="79"/>
      <c r="AD38" s="76"/>
      <c r="AE38" s="80"/>
    </row>
    <row r="39" spans="1:31" s="1" customFormat="1" ht="18" customHeight="1" x14ac:dyDescent="0.2">
      <c r="B39" s="92" t="s">
        <v>26</v>
      </c>
      <c r="C39" s="93"/>
      <c r="D39" s="93"/>
      <c r="E39" s="93"/>
      <c r="F39" s="93"/>
      <c r="G39" s="93"/>
      <c r="H39" s="93"/>
      <c r="I39" s="94"/>
      <c r="J39" s="94"/>
      <c r="K39" s="93"/>
      <c r="L39" s="95"/>
      <c r="R39" s="96"/>
      <c r="S39" s="62"/>
      <c r="T39" s="62"/>
      <c r="U39" s="92" t="s">
        <v>26</v>
      </c>
      <c r="V39" s="93"/>
      <c r="W39" s="93"/>
      <c r="X39" s="93"/>
      <c r="Y39" s="93"/>
      <c r="Z39" s="93"/>
      <c r="AA39" s="93"/>
      <c r="AB39" s="94"/>
      <c r="AC39" s="94"/>
      <c r="AD39" s="93"/>
      <c r="AE39" s="95"/>
    </row>
    <row r="40" spans="1:31" s="1" customFormat="1" ht="18" customHeight="1" x14ac:dyDescent="0.2">
      <c r="I40" s="3"/>
      <c r="J40" s="3"/>
    </row>
    <row r="41" spans="1:31" s="1" customFormat="1" ht="18" customHeight="1" x14ac:dyDescent="0.2">
      <c r="I41" s="57"/>
      <c r="J41" s="58"/>
      <c r="K41" s="58"/>
      <c r="L41" s="58"/>
      <c r="M41" s="58"/>
      <c r="N41" s="58"/>
      <c r="O41" s="59"/>
      <c r="P41" s="60"/>
      <c r="Q41" s="60"/>
      <c r="R41" s="58"/>
      <c r="S41" s="61"/>
      <c r="T41" s="57"/>
      <c r="U41" s="58"/>
      <c r="V41" s="58"/>
      <c r="W41" s="58"/>
      <c r="X41" s="58"/>
      <c r="Y41" s="58"/>
      <c r="Z41" s="59"/>
      <c r="AA41" s="60"/>
      <c r="AB41" s="60"/>
      <c r="AC41" s="58"/>
      <c r="AD41" s="61"/>
    </row>
    <row r="42" spans="1:31" s="1" customFormat="1" ht="18" customHeight="1" x14ac:dyDescent="0.2">
      <c r="A42" s="105"/>
      <c r="I42" s="75"/>
      <c r="J42" s="76"/>
      <c r="K42" s="76"/>
      <c r="L42" s="76"/>
      <c r="M42" s="76"/>
      <c r="N42" s="76"/>
      <c r="O42" s="77"/>
      <c r="P42" s="78"/>
      <c r="Q42" s="79"/>
      <c r="R42" s="76"/>
      <c r="S42" s="80"/>
      <c r="T42" s="75"/>
      <c r="U42" s="76"/>
      <c r="V42" s="76"/>
      <c r="W42" s="76"/>
      <c r="X42" s="76"/>
      <c r="Y42" s="76"/>
      <c r="Z42" s="77"/>
      <c r="AA42" s="78"/>
      <c r="AB42" s="79"/>
      <c r="AC42" s="76"/>
      <c r="AD42" s="80"/>
    </row>
    <row r="43" spans="1:31" s="1" customFormat="1" ht="18" customHeight="1" x14ac:dyDescent="0.2">
      <c r="I43" s="92" t="s">
        <v>26</v>
      </c>
      <c r="J43" s="93"/>
      <c r="K43" s="93"/>
      <c r="L43" s="93"/>
      <c r="M43" s="93"/>
      <c r="N43" s="93"/>
      <c r="O43" s="93"/>
      <c r="P43" s="94"/>
      <c r="Q43" s="94"/>
      <c r="R43" s="93"/>
      <c r="S43" s="95"/>
      <c r="T43" s="92" t="s">
        <v>26</v>
      </c>
      <c r="U43" s="93"/>
      <c r="V43" s="93"/>
      <c r="W43" s="93"/>
      <c r="X43" s="93"/>
      <c r="Y43" s="93"/>
      <c r="Z43" s="93"/>
      <c r="AA43" s="94"/>
      <c r="AB43" s="94"/>
      <c r="AC43" s="93"/>
      <c r="AD43" s="95"/>
    </row>
    <row r="44" spans="1:31" s="1" customFormat="1" ht="18" customHeight="1" x14ac:dyDescent="0.2">
      <c r="A44" s="105"/>
      <c r="AB44" s="3"/>
      <c r="AC44" s="110"/>
    </row>
    <row r="45" spans="1:31" s="1" customFormat="1" ht="18" customHeight="1" x14ac:dyDescent="0.2">
      <c r="S45" s="57"/>
      <c r="T45" s="58"/>
      <c r="U45" s="58"/>
      <c r="V45" s="58"/>
      <c r="W45" s="58"/>
      <c r="X45" s="58"/>
      <c r="Y45" s="59"/>
      <c r="Z45" s="60"/>
      <c r="AA45" s="60"/>
      <c r="AB45" s="58"/>
      <c r="AC45" s="61"/>
    </row>
    <row r="46" spans="1:31" s="1" customFormat="1" ht="18" customHeight="1" x14ac:dyDescent="0.2">
      <c r="S46" s="75"/>
      <c r="T46" s="76"/>
      <c r="U46" s="76"/>
      <c r="V46" s="76"/>
      <c r="W46" s="76"/>
      <c r="X46" s="76"/>
      <c r="Y46" s="77"/>
      <c r="Z46" s="78"/>
      <c r="AA46" s="79"/>
      <c r="AB46" s="76"/>
      <c r="AC46" s="80"/>
    </row>
    <row r="47" spans="1:31" s="1" customFormat="1" ht="18" customHeight="1" x14ac:dyDescent="0.2">
      <c r="S47" s="92" t="s">
        <v>26</v>
      </c>
      <c r="T47" s="93"/>
      <c r="U47" s="93"/>
      <c r="V47" s="93"/>
      <c r="W47" s="93"/>
      <c r="X47" s="93"/>
      <c r="Y47" s="93"/>
      <c r="Z47" s="94"/>
      <c r="AA47" s="94"/>
      <c r="AB47" s="93"/>
      <c r="AC47" s="95"/>
    </row>
    <row r="48" spans="1:31" s="1" customFormat="1" ht="18" customHeight="1" x14ac:dyDescent="0.15"/>
    <row r="49" spans="9:31" s="1" customFormat="1" ht="18" customHeight="1" x14ac:dyDescent="0.2">
      <c r="O49" s="57"/>
      <c r="P49" s="58"/>
      <c r="Q49" s="58"/>
      <c r="R49" s="58"/>
      <c r="S49" s="58"/>
      <c r="T49" s="58"/>
      <c r="U49" s="59"/>
      <c r="V49" s="60"/>
      <c r="W49" s="60"/>
      <c r="X49" s="58"/>
      <c r="Y49" s="61"/>
    </row>
    <row r="50" spans="9:31" s="1" customFormat="1" ht="18" customHeight="1" x14ac:dyDescent="0.2">
      <c r="O50" s="75"/>
      <c r="P50" s="76"/>
      <c r="Q50" s="76"/>
      <c r="R50" s="76"/>
      <c r="S50" s="76"/>
      <c r="T50" s="76"/>
      <c r="U50" s="77"/>
      <c r="V50" s="78"/>
      <c r="W50" s="79"/>
      <c r="X50" s="76"/>
      <c r="Y50" s="80"/>
    </row>
    <row r="51" spans="9:31" s="1" customFormat="1" ht="18" customHeight="1" x14ac:dyDescent="0.2">
      <c r="O51" s="92" t="s">
        <v>26</v>
      </c>
      <c r="P51" s="93"/>
      <c r="Q51" s="93"/>
      <c r="R51" s="93"/>
      <c r="S51" s="93"/>
      <c r="T51" s="93"/>
      <c r="U51" s="93"/>
      <c r="V51" s="94"/>
      <c r="W51" s="94"/>
      <c r="X51" s="93"/>
      <c r="Y51" s="95"/>
    </row>
    <row r="52" spans="9:31" s="1" customFormat="1" ht="18" customHeight="1" x14ac:dyDescent="0.15"/>
    <row r="53" spans="9:31" s="1" customFormat="1" ht="18" customHeight="1" x14ac:dyDescent="0.2">
      <c r="L53" s="57"/>
      <c r="M53" s="58"/>
      <c r="N53" s="58"/>
      <c r="O53" s="58"/>
      <c r="P53" s="58"/>
      <c r="Q53" s="58"/>
      <c r="R53" s="59"/>
      <c r="S53" s="60"/>
      <c r="T53" s="60"/>
      <c r="U53" s="58"/>
      <c r="V53" s="61"/>
    </row>
    <row r="54" spans="9:31" s="1" customFormat="1" ht="18" customHeight="1" x14ac:dyDescent="0.2">
      <c r="L54" s="75"/>
      <c r="M54" s="76"/>
      <c r="N54" s="76"/>
      <c r="O54" s="76"/>
      <c r="P54" s="76"/>
      <c r="Q54" s="76"/>
      <c r="R54" s="77"/>
      <c r="S54" s="78"/>
      <c r="T54" s="79"/>
      <c r="U54" s="76"/>
      <c r="V54" s="80"/>
      <c r="AA54" s="32"/>
    </row>
    <row r="55" spans="9:31" s="1" customFormat="1" ht="18" customHeight="1" x14ac:dyDescent="0.2">
      <c r="L55" s="92" t="s">
        <v>26</v>
      </c>
      <c r="M55" s="93"/>
      <c r="N55" s="93"/>
      <c r="O55" s="93"/>
      <c r="P55" s="93"/>
      <c r="Q55" s="93"/>
      <c r="R55" s="93"/>
      <c r="S55" s="94"/>
      <c r="T55" s="94"/>
      <c r="U55" s="93"/>
      <c r="V55" s="95"/>
    </row>
    <row r="56" spans="9:31" s="1" customFormat="1" ht="18" customHeight="1" x14ac:dyDescent="0.15"/>
    <row r="57" spans="9:31" s="1" customFormat="1" ht="18" customHeight="1" x14ac:dyDescent="0.15"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61"/>
    </row>
    <row r="58" spans="9:31" s="1" customFormat="1" ht="18" customHeight="1" x14ac:dyDescent="0.15">
      <c r="J58" s="75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122"/>
      <c r="W58" s="76"/>
      <c r="X58" s="76"/>
      <c r="Y58" s="76"/>
      <c r="Z58" s="76"/>
      <c r="AA58" s="76"/>
      <c r="AB58" s="76"/>
      <c r="AC58" s="76"/>
      <c r="AD58" s="76"/>
      <c r="AE58" s="80"/>
    </row>
    <row r="59" spans="9:31" s="1" customFormat="1" ht="18" customHeight="1" x14ac:dyDescent="0.2">
      <c r="J59" s="92" t="s">
        <v>40</v>
      </c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5"/>
    </row>
    <row r="60" spans="9:31" s="1" customFormat="1" ht="18" customHeight="1" x14ac:dyDescent="0.15"/>
    <row r="61" spans="9:31" s="1" customFormat="1" ht="18" customHeight="1" x14ac:dyDescent="0.15">
      <c r="I61" s="57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61"/>
    </row>
    <row r="62" spans="9:31" s="1" customFormat="1" ht="18" customHeight="1" x14ac:dyDescent="0.15">
      <c r="I62" s="75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122"/>
      <c r="V62" s="76"/>
      <c r="W62" s="76"/>
      <c r="X62" s="76"/>
      <c r="Y62" s="76"/>
      <c r="Z62" s="76"/>
      <c r="AA62" s="76"/>
      <c r="AB62" s="76"/>
      <c r="AC62" s="76"/>
      <c r="AD62" s="80"/>
    </row>
    <row r="63" spans="9:31" s="1" customFormat="1" ht="18" customHeight="1" x14ac:dyDescent="0.2">
      <c r="I63" s="92" t="s">
        <v>40</v>
      </c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5"/>
    </row>
    <row r="64" spans="9:31" s="1" customFormat="1" ht="18" customHeight="1" x14ac:dyDescent="0.15"/>
    <row r="65" spans="2:30" s="1" customFormat="1" ht="18" customHeight="1" x14ac:dyDescent="0.15">
      <c r="B65" s="57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61"/>
    </row>
    <row r="66" spans="2:30" s="1" customFormat="1" ht="18" customHeight="1" x14ac:dyDescent="0.15">
      <c r="B66" s="75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122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80"/>
    </row>
    <row r="67" spans="2:30" s="1" customFormat="1" ht="18" customHeight="1" x14ac:dyDescent="0.2">
      <c r="B67" s="92" t="s">
        <v>43</v>
      </c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5"/>
    </row>
    <row r="68" spans="2:30" s="1" customFormat="1" ht="18" customHeight="1" x14ac:dyDescent="0.15"/>
    <row r="69" spans="2:30" s="1" customFormat="1" ht="18" customHeight="1" x14ac:dyDescent="0.15">
      <c r="U69" s="62"/>
    </row>
    <row r="70" spans="2:30" s="1" customFormat="1" ht="18" customHeight="1" x14ac:dyDescent="0.2">
      <c r="B70" s="50">
        <f>D77</f>
        <v>2775</v>
      </c>
      <c r="C70" s="51" t="s">
        <v>38</v>
      </c>
      <c r="D70" s="50">
        <f>D77</f>
        <v>2775</v>
      </c>
      <c r="E70" s="51" t="s">
        <v>38</v>
      </c>
      <c r="F70" s="50">
        <f>D77</f>
        <v>2775</v>
      </c>
      <c r="G70" s="51" t="s">
        <v>39</v>
      </c>
      <c r="H70" s="50">
        <f>B70+D70+F70</f>
        <v>8325</v>
      </c>
      <c r="I70" s="103" t="s">
        <v>22</v>
      </c>
      <c r="L70" s="103"/>
      <c r="O70" s="62"/>
      <c r="R70" s="62"/>
      <c r="S70" s="62"/>
      <c r="T70" s="62"/>
      <c r="U70" s="62"/>
      <c r="V70" s="62"/>
      <c r="W70" s="62"/>
      <c r="X70" s="96"/>
      <c r="Y70" s="110"/>
      <c r="Z70" s="110"/>
    </row>
    <row r="71" spans="2:30" s="1" customFormat="1" ht="18" customHeight="1" x14ac:dyDescent="0.2">
      <c r="C71" s="62"/>
      <c r="H71" s="107">
        <v>3</v>
      </c>
      <c r="I71" s="32" t="s">
        <v>30</v>
      </c>
      <c r="O71" s="62"/>
      <c r="R71" s="62"/>
      <c r="X71" s="32"/>
      <c r="Y71" s="3"/>
      <c r="Z71" s="110"/>
    </row>
    <row r="72" spans="2:30" s="1" customFormat="1" ht="18" customHeight="1" x14ac:dyDescent="0.2">
      <c r="B72" s="32"/>
      <c r="C72" s="103"/>
      <c r="D72" s="32"/>
      <c r="E72" s="32"/>
      <c r="F72" s="32"/>
      <c r="G72" s="32"/>
      <c r="H72" s="107">
        <v>21</v>
      </c>
      <c r="I72" s="32" t="s">
        <v>32</v>
      </c>
      <c r="R72" s="96"/>
      <c r="S72" s="62"/>
      <c r="T72" s="62"/>
      <c r="U72" s="62"/>
      <c r="V72" s="62"/>
      <c r="W72" s="62"/>
      <c r="X72" s="62"/>
      <c r="Y72" s="110"/>
      <c r="Z72" s="110"/>
    </row>
    <row r="73" spans="2:30" s="1" customFormat="1" ht="18" customHeight="1" x14ac:dyDescent="0.2">
      <c r="B73" s="32"/>
      <c r="C73" s="32"/>
      <c r="D73" s="32"/>
      <c r="E73" s="32"/>
      <c r="F73" s="32"/>
      <c r="G73" s="32"/>
      <c r="H73" s="107">
        <v>21</v>
      </c>
      <c r="I73" s="32" t="s">
        <v>33</v>
      </c>
    </row>
    <row r="74" spans="2:30" s="1" customFormat="1" ht="18" customHeight="1" x14ac:dyDescent="0.15">
      <c r="P74" s="62"/>
      <c r="Q74" s="62"/>
      <c r="R74" s="62"/>
      <c r="S74" s="62"/>
      <c r="T74" s="62"/>
      <c r="U74" s="62"/>
    </row>
    <row r="75" spans="2:30" s="1" customFormat="1" ht="18" customHeight="1" x14ac:dyDescent="0.2">
      <c r="B75" s="32" t="s">
        <v>29</v>
      </c>
      <c r="C75" s="32"/>
      <c r="D75" s="32"/>
      <c r="E75" s="32"/>
      <c r="F75" s="32"/>
      <c r="G75" s="32"/>
      <c r="H75" s="32"/>
      <c r="U75" s="62"/>
    </row>
    <row r="76" spans="2:30" s="1" customFormat="1" ht="18" customHeight="1" x14ac:dyDescent="0.2">
      <c r="B76" s="32"/>
      <c r="C76" s="32"/>
      <c r="D76" s="32"/>
      <c r="E76" s="32"/>
      <c r="F76" s="32"/>
      <c r="G76" s="32"/>
      <c r="H76" s="32"/>
      <c r="Q76" s="62"/>
      <c r="R76" s="62"/>
      <c r="S76" s="62"/>
      <c r="T76" s="62"/>
      <c r="U76" s="62"/>
    </row>
    <row r="77" spans="2:30" s="1" customFormat="1" ht="18" customHeight="1" x14ac:dyDescent="0.2">
      <c r="B77" s="32"/>
      <c r="C77" s="32">
        <v>16</v>
      </c>
      <c r="D77" s="50">
        <f>H7</f>
        <v>2775</v>
      </c>
      <c r="E77" s="32"/>
      <c r="F77" s="108" t="s">
        <v>31</v>
      </c>
      <c r="G77" s="108" t="s">
        <v>22</v>
      </c>
      <c r="H77" s="32"/>
      <c r="P77" s="62"/>
    </row>
    <row r="78" spans="2:30" s="1" customFormat="1" ht="18" customHeight="1" x14ac:dyDescent="0.2">
      <c r="B78" s="32"/>
      <c r="C78" s="32">
        <v>17</v>
      </c>
      <c r="D78" s="133">
        <f>I5</f>
        <v>3100</v>
      </c>
      <c r="E78" s="77"/>
      <c r="F78" s="134">
        <f t="shared" ref="F78:F103" si="0">($D78-$D77)/$D77</f>
        <v>0.11711711711711711</v>
      </c>
      <c r="G78" s="77">
        <f t="shared" ref="G78:G103" si="1">$D78-$D77</f>
        <v>325</v>
      </c>
      <c r="H78" s="77"/>
      <c r="I78" s="135" t="s">
        <v>26</v>
      </c>
      <c r="J78" s="76"/>
      <c r="K78" s="76"/>
      <c r="L78" s="76"/>
      <c r="M78" s="76"/>
      <c r="N78" s="76"/>
      <c r="Q78" s="62"/>
      <c r="R78" s="62"/>
      <c r="S78" s="62"/>
      <c r="T78" s="62"/>
    </row>
    <row r="79" spans="2:30" s="1" customFormat="1" ht="18" customHeight="1" x14ac:dyDescent="0.2">
      <c r="B79" s="32"/>
      <c r="C79" s="32">
        <v>18</v>
      </c>
      <c r="D79" s="50">
        <f>J5</f>
        <v>3240</v>
      </c>
      <c r="E79" s="32"/>
      <c r="F79" s="109">
        <f t="shared" si="0"/>
        <v>4.5161290322580643E-2</v>
      </c>
      <c r="G79" s="32">
        <f t="shared" si="1"/>
        <v>140</v>
      </c>
      <c r="H79" s="32"/>
      <c r="P79" s="62"/>
      <c r="T79" s="62"/>
    </row>
    <row r="80" spans="2:30" s="1" customFormat="1" ht="18" customHeight="1" x14ac:dyDescent="0.2">
      <c r="B80" s="32"/>
      <c r="C80" s="32">
        <v>19</v>
      </c>
      <c r="D80" s="50">
        <f>J7</f>
        <v>3460</v>
      </c>
      <c r="E80" s="32"/>
      <c r="F80" s="109">
        <f t="shared" si="0"/>
        <v>6.7901234567901231E-2</v>
      </c>
      <c r="G80" s="32">
        <f t="shared" si="1"/>
        <v>220</v>
      </c>
      <c r="H80" s="32"/>
      <c r="Q80" s="62"/>
      <c r="R80" s="62"/>
      <c r="S80" s="62"/>
      <c r="T80" s="62"/>
    </row>
    <row r="81" spans="2:14" s="1" customFormat="1" ht="18" customHeight="1" x14ac:dyDescent="0.2">
      <c r="B81" s="32"/>
      <c r="C81" s="32">
        <v>20</v>
      </c>
      <c r="D81" s="50">
        <f>J12</f>
        <v>3565</v>
      </c>
      <c r="E81" s="32"/>
      <c r="F81" s="109">
        <f t="shared" si="0"/>
        <v>3.0346820809248554E-2</v>
      </c>
      <c r="G81" s="32">
        <f t="shared" si="1"/>
        <v>105</v>
      </c>
      <c r="H81" s="32"/>
    </row>
    <row r="82" spans="2:14" s="1" customFormat="1" ht="18" customHeight="1" x14ac:dyDescent="0.2">
      <c r="C82" s="32">
        <v>21</v>
      </c>
      <c r="D82" s="50">
        <f>K5</f>
        <v>3750</v>
      </c>
      <c r="F82" s="109">
        <f t="shared" si="0"/>
        <v>5.1893408134642355E-2</v>
      </c>
      <c r="G82" s="32">
        <f t="shared" si="1"/>
        <v>185</v>
      </c>
      <c r="H82" s="32"/>
    </row>
    <row r="83" spans="2:14" s="1" customFormat="1" ht="18" customHeight="1" x14ac:dyDescent="0.2">
      <c r="B83" s="32"/>
      <c r="C83" s="32">
        <v>22</v>
      </c>
      <c r="D83" s="50">
        <f>J11</f>
        <v>3785</v>
      </c>
      <c r="E83" s="32"/>
      <c r="F83" s="109">
        <f t="shared" si="0"/>
        <v>9.3333333333333341E-3</v>
      </c>
      <c r="G83" s="32">
        <f t="shared" si="1"/>
        <v>35</v>
      </c>
      <c r="H83" s="32"/>
    </row>
    <row r="84" spans="2:14" s="1" customFormat="1" ht="18" customHeight="1" x14ac:dyDescent="0.2">
      <c r="B84" s="32"/>
      <c r="C84" s="32">
        <v>23</v>
      </c>
      <c r="D84" s="50">
        <f>L4</f>
        <v>3890</v>
      </c>
      <c r="F84" s="109">
        <f t="shared" si="0"/>
        <v>2.7741083223249668E-2</v>
      </c>
      <c r="G84" s="32">
        <f t="shared" si="1"/>
        <v>105</v>
      </c>
      <c r="H84" s="32"/>
    </row>
    <row r="85" spans="2:14" s="1" customFormat="1" ht="18" customHeight="1" x14ac:dyDescent="0.2">
      <c r="B85" s="32"/>
      <c r="C85" s="32">
        <v>24</v>
      </c>
      <c r="D85" s="50">
        <f>J8</f>
        <v>4110</v>
      </c>
      <c r="E85" s="32"/>
      <c r="F85" s="109">
        <f t="shared" si="0"/>
        <v>5.6555269922879174E-2</v>
      </c>
      <c r="G85" s="32">
        <f t="shared" si="1"/>
        <v>220</v>
      </c>
      <c r="H85" s="32"/>
    </row>
    <row r="86" spans="2:14" s="1" customFormat="1" ht="18" customHeight="1" x14ac:dyDescent="0.2">
      <c r="C86" s="32">
        <v>25</v>
      </c>
      <c r="D86" s="50">
        <f>M5</f>
        <v>4435</v>
      </c>
      <c r="E86" s="32"/>
      <c r="F86" s="109">
        <f t="shared" si="0"/>
        <v>7.9075425790754258E-2</v>
      </c>
      <c r="G86" s="116">
        <f t="shared" si="1"/>
        <v>325</v>
      </c>
      <c r="H86" s="32"/>
    </row>
    <row r="87" spans="2:14" s="1" customFormat="1" ht="18" customHeight="1" x14ac:dyDescent="0.2">
      <c r="B87" s="32"/>
      <c r="C87" s="32">
        <v>26</v>
      </c>
      <c r="D87" s="50">
        <f>M4</f>
        <v>4575</v>
      </c>
      <c r="E87" s="32"/>
      <c r="F87" s="109">
        <f t="shared" si="0"/>
        <v>3.1567080045095827E-2</v>
      </c>
      <c r="G87" s="32">
        <f t="shared" si="1"/>
        <v>140</v>
      </c>
    </row>
    <row r="88" spans="2:14" s="1" customFormat="1" ht="18" customHeight="1" x14ac:dyDescent="0.2">
      <c r="B88" s="32"/>
      <c r="C88" s="32">
        <v>27</v>
      </c>
      <c r="D88" s="50">
        <f>N5</f>
        <v>4760</v>
      </c>
      <c r="E88" s="32"/>
      <c r="F88" s="109">
        <f t="shared" si="0"/>
        <v>4.0437158469945354E-2</v>
      </c>
      <c r="G88" s="32">
        <f t="shared" si="1"/>
        <v>185</v>
      </c>
      <c r="H88" s="32"/>
    </row>
    <row r="89" spans="2:14" s="1" customFormat="1" ht="18" customHeight="1" x14ac:dyDescent="0.2">
      <c r="C89" s="32">
        <v>28</v>
      </c>
      <c r="D89" s="50">
        <f>N4</f>
        <v>4900</v>
      </c>
      <c r="E89" s="32"/>
      <c r="F89" s="109">
        <f t="shared" si="0"/>
        <v>2.9411764705882353E-2</v>
      </c>
      <c r="G89" s="32">
        <f t="shared" si="1"/>
        <v>140</v>
      </c>
      <c r="H89" s="32"/>
    </row>
    <row r="90" spans="2:14" s="1" customFormat="1" ht="18" customHeight="1" x14ac:dyDescent="0.2">
      <c r="C90" s="32">
        <v>29</v>
      </c>
      <c r="D90" s="50">
        <f>O4</f>
        <v>5225</v>
      </c>
      <c r="E90" s="32"/>
      <c r="F90" s="109">
        <f t="shared" si="0"/>
        <v>6.6326530612244902E-2</v>
      </c>
      <c r="G90" s="116">
        <f t="shared" si="1"/>
        <v>325</v>
      </c>
      <c r="H90" s="32"/>
    </row>
    <row r="91" spans="2:14" s="1" customFormat="1" ht="18" customHeight="1" x14ac:dyDescent="0.2">
      <c r="B91" s="32"/>
      <c r="C91" s="32">
        <v>30</v>
      </c>
      <c r="D91" s="50">
        <f>P4</f>
        <v>5550</v>
      </c>
      <c r="F91" s="109">
        <f t="shared" si="0"/>
        <v>6.2200956937799042E-2</v>
      </c>
      <c r="G91" s="116">
        <f t="shared" si="1"/>
        <v>325</v>
      </c>
      <c r="H91" s="32"/>
    </row>
    <row r="92" spans="2:14" s="1" customFormat="1" ht="18" customHeight="1" x14ac:dyDescent="0.2">
      <c r="B92" s="32"/>
      <c r="C92" s="32">
        <v>31</v>
      </c>
      <c r="D92" s="50">
        <f>Q4</f>
        <v>5875</v>
      </c>
      <c r="F92" s="109">
        <f t="shared" si="0"/>
        <v>5.8558558558558557E-2</v>
      </c>
      <c r="G92" s="116">
        <f t="shared" si="1"/>
        <v>325</v>
      </c>
    </row>
    <row r="93" spans="2:14" s="1" customFormat="1" ht="18" customHeight="1" x14ac:dyDescent="0.2">
      <c r="C93" s="32">
        <v>32</v>
      </c>
      <c r="D93" s="50">
        <f>S8</f>
        <v>6200</v>
      </c>
      <c r="F93" s="109">
        <f t="shared" si="0"/>
        <v>5.5319148936170209E-2</v>
      </c>
      <c r="G93" s="32">
        <f t="shared" si="1"/>
        <v>325</v>
      </c>
    </row>
    <row r="94" spans="2:14" s="1" customFormat="1" ht="18" customHeight="1" x14ac:dyDescent="0.2">
      <c r="B94" s="32"/>
      <c r="C94" s="32">
        <v>33</v>
      </c>
      <c r="D94" s="133">
        <f>R4</f>
        <v>6340</v>
      </c>
      <c r="E94" s="76"/>
      <c r="F94" s="134">
        <f t="shared" si="0"/>
        <v>2.2580645161290321E-2</v>
      </c>
      <c r="G94" s="77">
        <f t="shared" si="1"/>
        <v>140</v>
      </c>
      <c r="H94" s="76"/>
      <c r="I94" s="135" t="s">
        <v>40</v>
      </c>
      <c r="J94" s="76"/>
      <c r="K94" s="76"/>
      <c r="L94" s="76"/>
      <c r="M94" s="76"/>
      <c r="N94" s="76"/>
    </row>
    <row r="95" spans="2:14" s="1" customFormat="1" ht="18" customHeight="1" x14ac:dyDescent="0.2">
      <c r="B95" s="32"/>
      <c r="C95" s="32">
        <v>34</v>
      </c>
      <c r="D95" s="50">
        <f>Q5</f>
        <v>6525</v>
      </c>
      <c r="F95" s="109">
        <f t="shared" si="0"/>
        <v>2.9179810725552049E-2</v>
      </c>
      <c r="G95" s="32">
        <f t="shared" si="1"/>
        <v>185</v>
      </c>
    </row>
    <row r="96" spans="2:14" s="1" customFormat="1" ht="18" customHeight="1" x14ac:dyDescent="0.2">
      <c r="C96" s="32">
        <v>35</v>
      </c>
      <c r="D96" s="50">
        <f>S4</f>
        <v>6665</v>
      </c>
      <c r="F96" s="109">
        <f t="shared" si="0"/>
        <v>2.1455938697318006E-2</v>
      </c>
      <c r="G96" s="32">
        <f t="shared" si="1"/>
        <v>140</v>
      </c>
    </row>
    <row r="97" spans="3:14" s="1" customFormat="1" ht="18" customHeight="1" x14ac:dyDescent="0.2">
      <c r="C97" s="32">
        <v>36</v>
      </c>
      <c r="D97" s="50">
        <f>Q6</f>
        <v>6885</v>
      </c>
      <c r="F97" s="109">
        <f t="shared" si="0"/>
        <v>3.3008252063015754E-2</v>
      </c>
      <c r="G97" s="32">
        <f t="shared" si="1"/>
        <v>220</v>
      </c>
    </row>
    <row r="98" spans="3:14" s="1" customFormat="1" ht="18" customHeight="1" x14ac:dyDescent="0.2">
      <c r="C98" s="32">
        <v>37</v>
      </c>
      <c r="D98" s="120">
        <f>S5</f>
        <v>7210</v>
      </c>
      <c r="E98" s="123"/>
      <c r="F98" s="121">
        <f t="shared" si="0"/>
        <v>4.7204066811909952E-2</v>
      </c>
      <c r="G98" s="116">
        <f t="shared" si="1"/>
        <v>325</v>
      </c>
    </row>
    <row r="99" spans="3:14" s="1" customFormat="1" ht="18" customHeight="1" x14ac:dyDescent="0.2">
      <c r="C99" s="32">
        <v>38</v>
      </c>
      <c r="D99" s="50">
        <f>T4</f>
        <v>7350</v>
      </c>
      <c r="F99" s="109">
        <f t="shared" si="0"/>
        <v>1.9417475728155338E-2</v>
      </c>
      <c r="G99" s="32">
        <f t="shared" si="1"/>
        <v>140</v>
      </c>
    </row>
    <row r="100" spans="3:14" s="1" customFormat="1" ht="18" customHeight="1" x14ac:dyDescent="0.2">
      <c r="C100" s="32">
        <v>39</v>
      </c>
      <c r="D100" s="50">
        <f>R5</f>
        <v>7535</v>
      </c>
      <c r="F100" s="109">
        <f t="shared" si="0"/>
        <v>2.5170068027210883E-2</v>
      </c>
      <c r="G100" s="32">
        <f t="shared" si="1"/>
        <v>185</v>
      </c>
    </row>
    <row r="101" spans="3:14" s="1" customFormat="1" ht="18" customHeight="1" x14ac:dyDescent="0.2">
      <c r="C101" s="32">
        <v>40</v>
      </c>
      <c r="D101" s="50">
        <f>P6</f>
        <v>7675</v>
      </c>
      <c r="F101" s="109">
        <f t="shared" si="0"/>
        <v>1.8579960185799601E-2</v>
      </c>
      <c r="G101" s="32">
        <f t="shared" si="1"/>
        <v>140</v>
      </c>
    </row>
    <row r="102" spans="3:14" s="1" customFormat="1" ht="18" customHeight="1" x14ac:dyDescent="0.2">
      <c r="C102" s="32">
        <v>41</v>
      </c>
      <c r="D102" s="120">
        <f>U4</f>
        <v>8000</v>
      </c>
      <c r="E102" s="123"/>
      <c r="F102" s="121">
        <f t="shared" si="0"/>
        <v>4.2345276872964167E-2</v>
      </c>
      <c r="G102" s="116">
        <f t="shared" si="1"/>
        <v>325</v>
      </c>
    </row>
    <row r="103" spans="3:14" s="1" customFormat="1" ht="18" customHeight="1" x14ac:dyDescent="0.2">
      <c r="C103" s="32">
        <v>42</v>
      </c>
      <c r="D103" s="133">
        <f>V4</f>
        <v>8325</v>
      </c>
      <c r="E103" s="76"/>
      <c r="F103" s="134">
        <f t="shared" si="0"/>
        <v>4.0625000000000001E-2</v>
      </c>
      <c r="G103" s="77">
        <f t="shared" si="1"/>
        <v>325</v>
      </c>
      <c r="H103" s="76"/>
      <c r="I103" s="135" t="s">
        <v>48</v>
      </c>
      <c r="J103" s="76"/>
      <c r="K103" s="76"/>
      <c r="L103" s="76"/>
      <c r="M103" s="76"/>
      <c r="N103" s="76"/>
    </row>
    <row r="104" spans="3:14" s="1" customFormat="1" ht="18" customHeight="1" x14ac:dyDescent="0.15"/>
    <row r="105" spans="3:14" s="1" customFormat="1" ht="18" customHeight="1" x14ac:dyDescent="0.2">
      <c r="C105" s="32">
        <f>C103</f>
        <v>42</v>
      </c>
      <c r="D105" s="32" t="s">
        <v>49</v>
      </c>
    </row>
    <row r="106" spans="3:14" s="1" customFormat="1" ht="18" customHeight="1" x14ac:dyDescent="0.15"/>
    <row r="107" spans="3:14" s="1" customFormat="1" ht="18" customHeight="1" x14ac:dyDescent="0.15"/>
    <row r="108" spans="3:14" s="1" customFormat="1" ht="18" customHeight="1" x14ac:dyDescent="0.15"/>
    <row r="109" spans="3:14" s="1" customFormat="1" ht="18" customHeight="1" x14ac:dyDescent="0.15"/>
    <row r="110" spans="3:14" s="1" customFormat="1" ht="18" customHeight="1" x14ac:dyDescent="0.15"/>
    <row r="111" spans="3:14" s="1" customFormat="1" ht="18" customHeight="1" x14ac:dyDescent="0.15"/>
    <row r="112" spans="3:14" s="1" customFormat="1" ht="18" customHeight="1" x14ac:dyDescent="0.15"/>
    <row r="113" s="1" customFormat="1" ht="18" customHeight="1" x14ac:dyDescent="0.15"/>
    <row r="114" s="1" customFormat="1" ht="18" customHeight="1" x14ac:dyDescent="0.15"/>
    <row r="115" s="1" customFormat="1" x14ac:dyDescent="0.15"/>
    <row r="116" s="1" customFormat="1" ht="18" customHeight="1" x14ac:dyDescent="0.15"/>
    <row r="117" s="1" customFormat="1" x14ac:dyDescent="0.15"/>
    <row r="118" s="1" customFormat="1" ht="18" customHeight="1" x14ac:dyDescent="0.15"/>
    <row r="119" s="1" customFormat="1" x14ac:dyDescent="0.15"/>
    <row r="120" s="1" customFormat="1" x14ac:dyDescent="0.15"/>
    <row r="154" s="1" customFormat="1" ht="18" customHeight="1" x14ac:dyDescent="0.15"/>
    <row r="155" s="1" customFormat="1" ht="18" customHeight="1" x14ac:dyDescent="0.15"/>
    <row r="156" s="1" customFormat="1" ht="18" customHeight="1" x14ac:dyDescent="0.15"/>
    <row r="157" s="1" customFormat="1" ht="18" customHeight="1" x14ac:dyDescent="0.15"/>
    <row r="158" s="1" customFormat="1" ht="18" customHeight="1" x14ac:dyDescent="0.15"/>
    <row r="159" s="1" customFormat="1" ht="18" customHeight="1" x14ac:dyDescent="0.15"/>
    <row r="160" s="1" customFormat="1" ht="18" customHeight="1" x14ac:dyDescent="0.15"/>
  </sheetData>
  <mergeCells count="7">
    <mergeCell ref="B21:AE22"/>
    <mergeCell ref="C35:D35"/>
    <mergeCell ref="F35:H35"/>
    <mergeCell ref="M35:N35"/>
    <mergeCell ref="P35:R35"/>
    <mergeCell ref="W35:X35"/>
    <mergeCell ref="Z35:AB35"/>
  </mergeCells>
  <pageMargins left="0.25" right="0.25" top="0.61111111111111105" bottom="0.61111111111111105" header="0.3" footer="0.3"/>
  <pageSetup paperSize="9" scale="32" orientation="portrait" useFirstPageNumber="1" horizontalDpi="300" verticalDpi="300"/>
  <headerFooter differentFirst="1">
    <oddHeader>&amp;C&amp;A</oddHeader>
    <oddFooter>&amp;CPage &amp;P</oddFooter>
  </headerFooter>
  <colBreaks count="1" manualBreakCount="1">
    <brk id="2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F159"/>
  <sheetViews>
    <sheetView view="pageBreakPreview" topLeftCell="A13" zoomScale="60" zoomScaleNormal="50" workbookViewId="0">
      <selection activeCell="B17" sqref="B17"/>
    </sheetView>
  </sheetViews>
  <sheetFormatPr baseColWidth="10" defaultColWidth="3.1640625" defaultRowHeight="13" x14ac:dyDescent="0.15"/>
  <cols>
    <col min="1" max="21" width="9.6640625" style="1" customWidth="1"/>
    <col min="22" max="22" width="17.1640625" style="1" customWidth="1"/>
    <col min="23" max="58" width="9.6640625" style="1" customWidth="1"/>
  </cols>
  <sheetData>
    <row r="1" spans="1:22" s="1" customFormat="1" ht="18" hidden="1" customHeight="1" x14ac:dyDescent="0.15"/>
    <row r="2" spans="1:22" s="1" customFormat="1" ht="18" hidden="1" customHeight="1" x14ac:dyDescent="0.15">
      <c r="B2" s="1">
        <f>SUM(D2:Q2)</f>
        <v>5550</v>
      </c>
      <c r="D2" s="1">
        <v>325</v>
      </c>
      <c r="E2" s="1">
        <v>465</v>
      </c>
      <c r="F2" s="1">
        <v>325</v>
      </c>
      <c r="G2" s="1">
        <v>685</v>
      </c>
      <c r="H2" s="1">
        <v>325</v>
      </c>
      <c r="I2" s="1">
        <v>325</v>
      </c>
      <c r="J2" s="1">
        <v>325</v>
      </c>
      <c r="K2" s="1">
        <v>325</v>
      </c>
      <c r="L2" s="1">
        <v>465</v>
      </c>
      <c r="M2" s="1">
        <v>325</v>
      </c>
      <c r="N2" s="1">
        <v>685</v>
      </c>
      <c r="O2" s="1">
        <v>325</v>
      </c>
      <c r="P2" s="1">
        <v>325</v>
      </c>
      <c r="Q2" s="1">
        <v>325</v>
      </c>
    </row>
    <row r="3" spans="1:22" s="1" customFormat="1" ht="18" hidden="1" customHeight="1" x14ac:dyDescent="0.15"/>
    <row r="4" spans="1:22" s="1" customFormat="1" ht="18" hidden="1" customHeight="1" x14ac:dyDescent="0.15">
      <c r="D4" s="1">
        <f>SUM(H2:I2)</f>
        <v>650</v>
      </c>
      <c r="E4" s="1">
        <f>SUM(H2:J2)</f>
        <v>975</v>
      </c>
      <c r="F4" s="1">
        <f>SUM(D2:G2)</f>
        <v>1800</v>
      </c>
      <c r="G4" s="1">
        <f>SUM(D2:H2)</f>
        <v>2125</v>
      </c>
      <c r="H4" s="1">
        <f>SUM(D2:I2)</f>
        <v>2450</v>
      </c>
      <c r="I4" s="1">
        <f>SUM(D2:J2)</f>
        <v>2775</v>
      </c>
      <c r="J4" s="1">
        <f>SUM(D2:K2)</f>
        <v>3100</v>
      </c>
      <c r="K4" s="1">
        <f>SUM(D2:L2)</f>
        <v>3565</v>
      </c>
      <c r="L4" s="1">
        <f>SUM(D2:M2)</f>
        <v>3890</v>
      </c>
      <c r="M4" s="1">
        <f>SUM(D2:N2)</f>
        <v>4575</v>
      </c>
      <c r="N4" s="1">
        <f>SUM(D2:O2)</f>
        <v>4900</v>
      </c>
      <c r="O4" s="1">
        <f>SUM(D2:P2)</f>
        <v>5225</v>
      </c>
      <c r="P4" s="1">
        <f>SUM(D2:Q2)</f>
        <v>5550</v>
      </c>
    </row>
    <row r="5" spans="1:22" s="1" customFormat="1" ht="18" hidden="1" customHeight="1" x14ac:dyDescent="0.15">
      <c r="D5" s="1">
        <f>SUM(F2:G2)</f>
        <v>1010</v>
      </c>
      <c r="E5" s="1">
        <f>SUM(G2:I2)</f>
        <v>1335</v>
      </c>
      <c r="F5" s="1">
        <f>SUM(E2:H2)</f>
        <v>1800</v>
      </c>
      <c r="G5" s="1">
        <f>SUM(E2:I2)</f>
        <v>2125</v>
      </c>
      <c r="H5" s="1">
        <f>SUM(D2:I2)</f>
        <v>2450</v>
      </c>
      <c r="I5" s="1">
        <f>SUM(D2:K2)</f>
        <v>3100</v>
      </c>
      <c r="J5" s="1">
        <f>SUM(E2:L2)</f>
        <v>3240</v>
      </c>
      <c r="K5" s="1">
        <f>SUM(I2:R2)</f>
        <v>3425</v>
      </c>
      <c r="L5" s="1">
        <f>SUM(I2:Q2)</f>
        <v>3425</v>
      </c>
      <c r="M5" s="1">
        <f>SUM(G2:Q2)</f>
        <v>4435</v>
      </c>
      <c r="N5" s="1">
        <f>SUM(F2:Q2)</f>
        <v>4760</v>
      </c>
      <c r="O5" s="1">
        <f>SUM(E2:Q2)</f>
        <v>5225</v>
      </c>
      <c r="P5" s="1">
        <f>SUM(D2:Q2)</f>
        <v>5550</v>
      </c>
    </row>
    <row r="6" spans="1:22" s="1" customFormat="1" ht="18" hidden="1" customHeight="1" x14ac:dyDescent="0.15">
      <c r="D6" s="1">
        <f>SUM(D2:E2)</f>
        <v>790</v>
      </c>
      <c r="E6" s="1">
        <f>SUM(E2:G2)</f>
        <v>1475</v>
      </c>
      <c r="F6" s="1">
        <f>SUM(G2:J2)</f>
        <v>1660</v>
      </c>
      <c r="G6" s="1">
        <f>SUM(E3:I3)</f>
        <v>0</v>
      </c>
      <c r="H6" s="1">
        <f>SUM(D2:I2)</f>
        <v>2450</v>
      </c>
      <c r="I6" s="1">
        <f>SUM(G2:L2)</f>
        <v>2450</v>
      </c>
      <c r="J6" s="1">
        <f>SUM(F2:M2)</f>
        <v>3100</v>
      </c>
      <c r="L6" s="1">
        <f>SUM(L2:Q2)</f>
        <v>2450</v>
      </c>
    </row>
    <row r="7" spans="1:22" s="1" customFormat="1" ht="18" hidden="1" customHeight="1" x14ac:dyDescent="0.15">
      <c r="D7" s="1">
        <f>SUM(I2:J2)</f>
        <v>650</v>
      </c>
      <c r="E7" s="1">
        <f>SUM(D2:F2)</f>
        <v>1115</v>
      </c>
      <c r="F7" s="1">
        <f>SUM(D2:G2)</f>
        <v>1800</v>
      </c>
      <c r="G7" s="1">
        <f>SUM(E4:I4)</f>
        <v>10125</v>
      </c>
      <c r="H7" s="1">
        <f>SUM(D2:J2)</f>
        <v>2775</v>
      </c>
      <c r="J7" s="1">
        <f>SUM(G2:N2)</f>
        <v>3460</v>
      </c>
    </row>
    <row r="8" spans="1:22" s="1" customFormat="1" ht="18" hidden="1" customHeight="1" x14ac:dyDescent="0.15">
      <c r="D8" s="1">
        <f>SUM(D2:E2)</f>
        <v>790</v>
      </c>
      <c r="E8" s="1">
        <f>SUM(H2:J2)</f>
        <v>975</v>
      </c>
      <c r="F8" s="1">
        <f>SUM(E2:H2)</f>
        <v>1800</v>
      </c>
      <c r="G8" s="1">
        <f>SUM(E5:I5)</f>
        <v>10810</v>
      </c>
      <c r="J8" s="1">
        <f>SUM(G2:P2)</f>
        <v>4110</v>
      </c>
      <c r="M8" s="1">
        <f>SUM(E2:M2)</f>
        <v>3565</v>
      </c>
    </row>
    <row r="9" spans="1:22" s="1" customFormat="1" ht="18" hidden="1" customHeight="1" x14ac:dyDescent="0.15">
      <c r="D9" s="1">
        <f>SUM(J2)</f>
        <v>325</v>
      </c>
      <c r="F9" s="1">
        <f>SUM(F2:I2)</f>
        <v>1660</v>
      </c>
      <c r="G9" s="1">
        <f>SUM(E6:I6)</f>
        <v>8035</v>
      </c>
      <c r="J9" s="1">
        <f>SUM(H2:P2)</f>
        <v>3425</v>
      </c>
    </row>
    <row r="10" spans="1:22" s="1" customFormat="1" ht="18" hidden="1" customHeight="1" x14ac:dyDescent="0.15">
      <c r="A10" s="1">
        <v>2099</v>
      </c>
      <c r="J10" s="1">
        <f>SUM(G2:O2)</f>
        <v>3785</v>
      </c>
    </row>
    <row r="11" spans="1:22" s="1" customFormat="1" ht="18" hidden="1" customHeight="1" x14ac:dyDescent="0.15">
      <c r="A11" s="1">
        <v>3401</v>
      </c>
      <c r="J11" s="1">
        <f>SUM(F2:N2)</f>
        <v>3785</v>
      </c>
      <c r="L11" s="1">
        <f>SUM(H2:P2)</f>
        <v>3425</v>
      </c>
      <c r="M11" s="1">
        <f>SUM(D2:N2)</f>
        <v>4575</v>
      </c>
    </row>
    <row r="12" spans="1:22" s="1" customFormat="1" ht="18" hidden="1" customHeight="1" x14ac:dyDescent="0.15">
      <c r="A12" s="1">
        <v>4313</v>
      </c>
      <c r="J12" s="1">
        <f>SUM(D2:L2)</f>
        <v>3565</v>
      </c>
    </row>
    <row r="13" spans="1:22" s="1" customFormat="1" ht="18" customHeight="1" x14ac:dyDescent="0.15"/>
    <row r="14" spans="1:22" s="1" customFormat="1" ht="18" customHeight="1" x14ac:dyDescent="0.2">
      <c r="B14" s="36" t="s">
        <v>11</v>
      </c>
      <c r="C14" s="37"/>
      <c r="D14" s="37"/>
      <c r="E14" s="37"/>
      <c r="F14" s="37"/>
      <c r="G14" s="37"/>
      <c r="H14" s="37"/>
      <c r="I14" s="37"/>
      <c r="J14" s="37"/>
      <c r="K14" s="37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</row>
    <row r="15" spans="1:22" s="1" customFormat="1" ht="18" customHeight="1" x14ac:dyDescent="0.2">
      <c r="B15" s="37" t="s">
        <v>12</v>
      </c>
      <c r="C15" s="37"/>
      <c r="D15" s="37"/>
      <c r="E15" s="37"/>
      <c r="F15" s="37"/>
      <c r="G15" s="37"/>
      <c r="H15" s="37"/>
      <c r="I15" s="37"/>
      <c r="J15" s="37"/>
      <c r="K15" s="37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</row>
    <row r="16" spans="1:22" s="1" customFormat="1" ht="18" customHeight="1" x14ac:dyDescent="0.2">
      <c r="B16" s="37" t="s">
        <v>13</v>
      </c>
      <c r="C16" s="37"/>
      <c r="D16" s="37"/>
      <c r="E16" s="37"/>
      <c r="F16" s="37"/>
      <c r="G16" s="37"/>
      <c r="H16" s="37"/>
      <c r="I16" s="37"/>
      <c r="J16" s="37"/>
      <c r="K16" s="37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</row>
    <row r="17" spans="2:22" s="1" customFormat="1" ht="18" customHeight="1" x14ac:dyDescent="0.2">
      <c r="B17" s="38" t="s">
        <v>84</v>
      </c>
      <c r="C17" s="37"/>
      <c r="D17" s="37"/>
      <c r="E17" s="37"/>
      <c r="F17" s="37"/>
      <c r="G17" s="37"/>
      <c r="H17" s="37"/>
      <c r="I17" s="37"/>
      <c r="J17" s="37"/>
      <c r="K17" s="37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</row>
    <row r="18" spans="2:22" s="1" customFormat="1" ht="18" customHeight="1" x14ac:dyDescent="0.2">
      <c r="B18" s="37" t="s">
        <v>16</v>
      </c>
      <c r="C18" s="37"/>
      <c r="D18" s="37"/>
      <c r="E18" s="37"/>
      <c r="F18" s="37"/>
      <c r="G18" s="37"/>
      <c r="H18" s="37"/>
      <c r="I18" s="37"/>
      <c r="J18" s="37"/>
      <c r="K18" s="37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</row>
    <row r="19" spans="2:22" s="1" customFormat="1" ht="18" customHeight="1" x14ac:dyDescent="0.2"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</row>
    <row r="20" spans="2:22" s="1" customFormat="1" ht="18" customHeight="1" x14ac:dyDescent="0.15">
      <c r="B20" s="173" t="s">
        <v>18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</row>
    <row r="21" spans="2:22" s="1" customFormat="1" ht="18" customHeight="1" x14ac:dyDescent="0.15"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  <c r="R21" s="173"/>
      <c r="S21" s="173"/>
      <c r="T21" s="173"/>
      <c r="U21" s="173"/>
      <c r="V21" s="173"/>
    </row>
    <row r="22" spans="2:22" s="1" customFormat="1" ht="18" customHeight="1" x14ac:dyDescent="0.2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</row>
    <row r="23" spans="2:22" s="1" customFormat="1" ht="18" customHeight="1" x14ac:dyDescent="0.2">
      <c r="B23" s="39" t="s">
        <v>19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</row>
    <row r="24" spans="2:22" s="1" customFormat="1" ht="18" customHeight="1" x14ac:dyDescent="0.2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</row>
    <row r="25" spans="2:22" s="1" customFormat="1" ht="18" customHeight="1" x14ac:dyDescent="0.2">
      <c r="B25" s="142" t="s">
        <v>20</v>
      </c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</row>
    <row r="26" spans="2:22" s="1" customFormat="1" ht="18" customHeight="1" x14ac:dyDescent="0.2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</row>
    <row r="27" spans="2:22" s="1" customFormat="1" ht="18" customHeight="1" x14ac:dyDescent="0.2">
      <c r="B27" s="144" t="s">
        <v>53</v>
      </c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5"/>
      <c r="N27" s="145"/>
      <c r="O27" s="145"/>
      <c r="P27" s="145"/>
      <c r="Q27" s="145"/>
      <c r="R27" s="145"/>
      <c r="S27" s="145"/>
      <c r="T27" s="145"/>
      <c r="U27" s="145"/>
      <c r="V27" s="145"/>
    </row>
    <row r="28" spans="2:22" s="1" customFormat="1" ht="18" customHeight="1" x14ac:dyDescent="0.15"/>
    <row r="29" spans="2:22" s="1" customFormat="1" ht="18" customHeight="1" x14ac:dyDescent="0.15"/>
    <row r="30" spans="2:22" s="1" customFormat="1" ht="18" customHeight="1" x14ac:dyDescent="0.15">
      <c r="B30" s="40"/>
      <c r="C30" s="10"/>
      <c r="D30" s="12"/>
      <c r="E30" s="40"/>
      <c r="F30" s="7"/>
      <c r="G30" s="8"/>
      <c r="H30" s="9"/>
      <c r="I30" s="40"/>
      <c r="J30" s="40"/>
      <c r="K30" s="40"/>
      <c r="L30" s="40"/>
      <c r="M30" s="10"/>
      <c r="N30" s="12"/>
      <c r="O30" s="40"/>
      <c r="P30" s="7"/>
      <c r="Q30" s="8"/>
      <c r="R30" s="9"/>
      <c r="S30" s="40"/>
      <c r="T30" s="40"/>
      <c r="U30" s="40"/>
    </row>
    <row r="31" spans="2:22" s="1" customFormat="1" ht="18" customHeight="1" x14ac:dyDescent="0.15">
      <c r="B31" s="43"/>
      <c r="C31" s="19"/>
      <c r="D31" s="21"/>
      <c r="E31" s="43"/>
      <c r="F31" s="16"/>
      <c r="G31" s="17"/>
      <c r="H31" s="18"/>
      <c r="I31" s="43"/>
      <c r="J31" s="43"/>
      <c r="K31" s="43"/>
      <c r="L31" s="43"/>
      <c r="M31" s="19"/>
      <c r="N31" s="21"/>
      <c r="O31" s="43"/>
      <c r="P31" s="16"/>
      <c r="Q31" s="17"/>
      <c r="R31" s="18"/>
      <c r="S31" s="43"/>
      <c r="T31" s="43"/>
      <c r="U31" s="43"/>
    </row>
    <row r="32" spans="2:22" s="1" customFormat="1" ht="18" customHeight="1" x14ac:dyDescent="0.15">
      <c r="B32" s="44"/>
      <c r="C32" s="28"/>
      <c r="D32" s="30"/>
      <c r="E32" s="44"/>
      <c r="F32" s="25"/>
      <c r="G32" s="26"/>
      <c r="H32" s="27"/>
      <c r="I32" s="44"/>
      <c r="J32" s="44"/>
      <c r="K32" s="44"/>
      <c r="L32" s="44"/>
      <c r="M32" s="28"/>
      <c r="N32" s="30"/>
      <c r="O32" s="44"/>
      <c r="P32" s="25"/>
      <c r="Q32" s="26"/>
      <c r="R32" s="27"/>
      <c r="S32" s="44"/>
      <c r="T32" s="44"/>
      <c r="U32" s="44"/>
    </row>
    <row r="33" spans="1:21" s="1" customFormat="1" ht="18" customHeight="1" x14ac:dyDescent="0.15"/>
    <row r="34" spans="1:21" s="1" customFormat="1" ht="18" customHeight="1" x14ac:dyDescent="0.2">
      <c r="B34" s="48">
        <v>325</v>
      </c>
      <c r="C34" s="170">
        <v>465</v>
      </c>
      <c r="D34" s="170"/>
      <c r="E34" s="48">
        <v>325</v>
      </c>
      <c r="F34" s="170">
        <v>685</v>
      </c>
      <c r="G34" s="170"/>
      <c r="H34" s="170"/>
      <c r="I34" s="48">
        <v>325</v>
      </c>
      <c r="J34" s="48">
        <v>325</v>
      </c>
      <c r="K34" s="48">
        <v>325</v>
      </c>
      <c r="L34" s="49">
        <v>325</v>
      </c>
      <c r="M34" s="171">
        <v>465</v>
      </c>
      <c r="N34" s="171"/>
      <c r="O34" s="49">
        <v>325</v>
      </c>
      <c r="P34" s="171">
        <v>685</v>
      </c>
      <c r="Q34" s="171"/>
      <c r="R34" s="171"/>
      <c r="S34" s="49">
        <v>325</v>
      </c>
      <c r="T34" s="49">
        <v>325</v>
      </c>
      <c r="U34" s="49">
        <v>325</v>
      </c>
    </row>
    <row r="35" spans="1:21" s="1" customFormat="1" ht="18" customHeight="1" x14ac:dyDescent="0.2">
      <c r="H35" s="32"/>
      <c r="I35" s="3"/>
      <c r="J35" s="3"/>
    </row>
    <row r="36" spans="1:21" s="1" customFormat="1" ht="18" customHeight="1" x14ac:dyDescent="0.2">
      <c r="C36" s="63"/>
      <c r="D36" s="64"/>
      <c r="E36" s="64"/>
      <c r="F36" s="64"/>
      <c r="G36" s="64"/>
      <c r="H36" s="64"/>
      <c r="I36" s="65"/>
      <c r="J36" s="66"/>
      <c r="M36" s="63"/>
      <c r="N36" s="64"/>
      <c r="O36" s="64"/>
      <c r="P36" s="64"/>
      <c r="Q36" s="64"/>
      <c r="R36" s="64"/>
      <c r="S36" s="65"/>
      <c r="T36" s="66"/>
    </row>
    <row r="37" spans="1:21" s="1" customFormat="1" ht="18" customHeight="1" x14ac:dyDescent="0.2">
      <c r="C37" s="81"/>
      <c r="D37" s="82"/>
      <c r="E37" s="82"/>
      <c r="F37" s="82"/>
      <c r="G37" s="82"/>
      <c r="H37" s="82"/>
      <c r="I37" s="83"/>
      <c r="J37" s="84"/>
      <c r="M37" s="81"/>
      <c r="N37" s="82"/>
      <c r="O37" s="82"/>
      <c r="P37" s="82"/>
      <c r="Q37" s="82"/>
      <c r="R37" s="82"/>
      <c r="S37" s="83"/>
      <c r="T37" s="84"/>
    </row>
    <row r="38" spans="1:21" s="1" customFormat="1" ht="18" customHeight="1" x14ac:dyDescent="0.2">
      <c r="C38" s="97" t="s">
        <v>27</v>
      </c>
      <c r="D38" s="98"/>
      <c r="E38" s="98"/>
      <c r="F38" s="98"/>
      <c r="G38" s="98"/>
      <c r="H38" s="98"/>
      <c r="I38" s="98"/>
      <c r="J38" s="99"/>
      <c r="M38" s="97" t="s">
        <v>27</v>
      </c>
      <c r="N38" s="98"/>
      <c r="O38" s="98"/>
      <c r="P38" s="98"/>
      <c r="Q38" s="98"/>
      <c r="R38" s="98"/>
      <c r="S38" s="98"/>
      <c r="T38" s="99"/>
    </row>
    <row r="39" spans="1:21" s="1" customFormat="1" ht="18" customHeight="1" x14ac:dyDescent="0.2">
      <c r="I39" s="3"/>
      <c r="J39" s="3"/>
    </row>
    <row r="40" spans="1:21" s="1" customFormat="1" ht="18" customHeight="1" x14ac:dyDescent="0.2">
      <c r="B40" s="63"/>
      <c r="C40" s="64"/>
      <c r="D40" s="64"/>
      <c r="E40" s="64"/>
      <c r="F40" s="64"/>
      <c r="G40" s="64"/>
      <c r="H40" s="65"/>
      <c r="I40" s="66"/>
      <c r="L40" s="63"/>
      <c r="M40" s="64"/>
      <c r="N40" s="64"/>
      <c r="O40" s="64"/>
      <c r="P40" s="64"/>
      <c r="Q40" s="64"/>
      <c r="R40" s="65"/>
      <c r="S40" s="66"/>
    </row>
    <row r="41" spans="1:21" s="1" customFormat="1" ht="18" customHeight="1" x14ac:dyDescent="0.2">
      <c r="A41" s="105"/>
      <c r="B41" s="81"/>
      <c r="C41" s="82"/>
      <c r="D41" s="82"/>
      <c r="E41" s="82"/>
      <c r="F41" s="82"/>
      <c r="G41" s="82"/>
      <c r="H41" s="83"/>
      <c r="I41" s="84"/>
      <c r="L41" s="81"/>
      <c r="M41" s="82"/>
      <c r="N41" s="82"/>
      <c r="O41" s="82"/>
      <c r="P41" s="82"/>
      <c r="Q41" s="82"/>
      <c r="R41" s="83"/>
      <c r="S41" s="84"/>
    </row>
    <row r="42" spans="1:21" s="1" customFormat="1" ht="18" customHeight="1" x14ac:dyDescent="0.2">
      <c r="B42" s="97" t="s">
        <v>27</v>
      </c>
      <c r="C42" s="98"/>
      <c r="D42" s="98"/>
      <c r="E42" s="98"/>
      <c r="F42" s="98"/>
      <c r="G42" s="98"/>
      <c r="H42" s="98"/>
      <c r="I42" s="99"/>
      <c r="L42" s="97" t="s">
        <v>27</v>
      </c>
      <c r="M42" s="98"/>
      <c r="N42" s="98"/>
      <c r="O42" s="98"/>
      <c r="P42" s="98"/>
      <c r="Q42" s="98"/>
      <c r="R42" s="98"/>
      <c r="S42" s="99"/>
    </row>
    <row r="43" spans="1:21" s="1" customFormat="1" ht="18" customHeight="1" x14ac:dyDescent="0.2">
      <c r="A43" s="105"/>
    </row>
    <row r="44" spans="1:21" s="1" customFormat="1" ht="18" customHeight="1" x14ac:dyDescent="0.2">
      <c r="K44" s="63"/>
      <c r="L44" s="64"/>
      <c r="M44" s="64"/>
      <c r="N44" s="64"/>
      <c r="O44" s="64"/>
      <c r="P44" s="64"/>
      <c r="Q44" s="65"/>
      <c r="R44" s="66"/>
    </row>
    <row r="45" spans="1:21" s="1" customFormat="1" ht="18" customHeight="1" x14ac:dyDescent="0.2">
      <c r="K45" s="81"/>
      <c r="L45" s="82"/>
      <c r="M45" s="82"/>
      <c r="N45" s="82"/>
      <c r="O45" s="82"/>
      <c r="P45" s="82"/>
      <c r="Q45" s="83"/>
      <c r="R45" s="84"/>
    </row>
    <row r="46" spans="1:21" s="1" customFormat="1" ht="18" customHeight="1" x14ac:dyDescent="0.2">
      <c r="K46" s="97" t="s">
        <v>27</v>
      </c>
      <c r="L46" s="98"/>
      <c r="M46" s="98"/>
      <c r="N46" s="98"/>
      <c r="O46" s="98"/>
      <c r="P46" s="98"/>
      <c r="Q46" s="98"/>
      <c r="R46" s="99"/>
    </row>
    <row r="47" spans="1:21" s="1" customFormat="1" ht="18" customHeight="1" x14ac:dyDescent="0.15"/>
    <row r="48" spans="1:21" s="1" customFormat="1" ht="18" customHeight="1" x14ac:dyDescent="0.15">
      <c r="J48" s="63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117"/>
    </row>
    <row r="49" spans="5:21" s="1" customFormat="1" ht="18" customHeight="1" x14ac:dyDescent="0.15">
      <c r="J49" s="81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118"/>
    </row>
    <row r="50" spans="5:21" s="1" customFormat="1" ht="18" customHeight="1" x14ac:dyDescent="0.2">
      <c r="J50" s="97" t="s">
        <v>37</v>
      </c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119"/>
    </row>
    <row r="51" spans="5:21" s="1" customFormat="1" ht="18" customHeight="1" x14ac:dyDescent="0.15"/>
    <row r="52" spans="5:21" s="1" customFormat="1" ht="18" customHeight="1" x14ac:dyDescent="0.15">
      <c r="I52" s="63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117"/>
    </row>
    <row r="53" spans="5:21" s="1" customFormat="1" ht="18" customHeight="1" x14ac:dyDescent="0.15">
      <c r="I53" s="81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118"/>
    </row>
    <row r="54" spans="5:21" s="1" customFormat="1" ht="18" customHeight="1" x14ac:dyDescent="0.2">
      <c r="I54" s="97" t="s">
        <v>37</v>
      </c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119"/>
    </row>
    <row r="55" spans="5:21" s="1" customFormat="1" ht="18" customHeight="1" x14ac:dyDescent="0.15"/>
    <row r="56" spans="5:21" s="1" customFormat="1" ht="18" customHeight="1" x14ac:dyDescent="0.15">
      <c r="F56" s="63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117"/>
    </row>
    <row r="57" spans="5:21" s="1" customFormat="1" ht="18" customHeight="1" x14ac:dyDescent="0.15">
      <c r="F57" s="81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118"/>
    </row>
    <row r="58" spans="5:21" s="1" customFormat="1" ht="18" customHeight="1" x14ac:dyDescent="0.2">
      <c r="F58" s="97" t="s">
        <v>41</v>
      </c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119"/>
    </row>
    <row r="59" spans="5:21" s="1" customFormat="1" ht="18" customHeight="1" x14ac:dyDescent="0.15"/>
    <row r="60" spans="5:21" s="1" customFormat="1" ht="18" customHeight="1" x14ac:dyDescent="0.15">
      <c r="E60" s="63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117"/>
    </row>
    <row r="61" spans="5:21" s="1" customFormat="1" ht="18" customHeight="1" x14ac:dyDescent="0.15">
      <c r="E61" s="81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118"/>
    </row>
    <row r="62" spans="5:21" s="1" customFormat="1" ht="18" customHeight="1" x14ac:dyDescent="0.2">
      <c r="E62" s="97" t="s">
        <v>41</v>
      </c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119"/>
    </row>
    <row r="63" spans="5:21" s="1" customFormat="1" ht="18" customHeight="1" x14ac:dyDescent="0.15"/>
    <row r="64" spans="5:21" s="1" customFormat="1" ht="18" customHeight="1" x14ac:dyDescent="0.15"/>
    <row r="65" spans="3:15" s="1" customFormat="1" ht="18" customHeight="1" x14ac:dyDescent="0.2">
      <c r="C65" s="50">
        <f>E74</f>
        <v>2775</v>
      </c>
      <c r="D65" s="51" t="s">
        <v>38</v>
      </c>
      <c r="E65" s="50">
        <f>E74</f>
        <v>2775</v>
      </c>
      <c r="F65" s="51" t="s">
        <v>39</v>
      </c>
      <c r="G65" s="50">
        <f>B2</f>
        <v>5550</v>
      </c>
      <c r="H65" s="103" t="s">
        <v>22</v>
      </c>
    </row>
    <row r="66" spans="3:15" s="1" customFormat="1" ht="18" customHeight="1" x14ac:dyDescent="0.2">
      <c r="C66" s="32"/>
      <c r="D66" s="32"/>
      <c r="E66" s="32"/>
      <c r="F66" s="32"/>
      <c r="G66" s="107">
        <v>2</v>
      </c>
      <c r="H66" s="32" t="s">
        <v>30</v>
      </c>
    </row>
    <row r="67" spans="3:15" s="1" customFormat="1" ht="18" customHeight="1" x14ac:dyDescent="0.2">
      <c r="C67" s="32"/>
      <c r="D67" s="103"/>
      <c r="E67" s="32"/>
      <c r="F67" s="32"/>
      <c r="G67" s="107">
        <v>14</v>
      </c>
      <c r="H67" s="32" t="s">
        <v>32</v>
      </c>
    </row>
    <row r="68" spans="3:15" s="1" customFormat="1" ht="18" customHeight="1" x14ac:dyDescent="0.2">
      <c r="C68" s="32"/>
      <c r="D68" s="32"/>
      <c r="E68" s="32"/>
      <c r="F68" s="32"/>
      <c r="G68" s="107">
        <v>14</v>
      </c>
      <c r="H68" s="32" t="s">
        <v>33</v>
      </c>
    </row>
    <row r="69" spans="3:15" s="1" customFormat="1" ht="18" customHeight="1" x14ac:dyDescent="0.15"/>
    <row r="70" spans="3:15" s="1" customFormat="1" ht="18" customHeight="1" x14ac:dyDescent="0.2">
      <c r="C70" s="32" t="s">
        <v>29</v>
      </c>
      <c r="D70" s="32"/>
      <c r="E70" s="32"/>
      <c r="F70" s="32"/>
      <c r="G70" s="32"/>
      <c r="H70" s="32"/>
      <c r="I70" s="32"/>
    </row>
    <row r="71" spans="3:15" s="1" customFormat="1" ht="18" customHeight="1" x14ac:dyDescent="0.2">
      <c r="C71" s="32"/>
      <c r="D71" s="32"/>
      <c r="E71" s="32"/>
      <c r="F71" s="32"/>
      <c r="G71" s="32"/>
      <c r="H71" s="32"/>
      <c r="I71" s="32"/>
    </row>
    <row r="72" spans="3:15" s="1" customFormat="1" ht="18" customHeight="1" x14ac:dyDescent="0.2">
      <c r="C72" s="32"/>
      <c r="D72" s="50">
        <v>14</v>
      </c>
      <c r="E72" s="127">
        <v>2125</v>
      </c>
      <c r="F72" s="127"/>
      <c r="G72" s="128">
        <v>7.0528967254408104E-2</v>
      </c>
      <c r="H72" s="127">
        <v>140</v>
      </c>
      <c r="I72" s="82"/>
      <c r="J72" s="129" t="s">
        <v>27</v>
      </c>
      <c r="K72" s="82"/>
      <c r="L72" s="82"/>
      <c r="M72" s="82"/>
      <c r="N72" s="82"/>
      <c r="O72" s="82"/>
    </row>
    <row r="73" spans="3:15" s="1" customFormat="1" ht="18" customHeight="1" x14ac:dyDescent="0.2">
      <c r="C73" s="32"/>
      <c r="D73" s="50">
        <v>15</v>
      </c>
      <c r="E73" s="50">
        <v>2450</v>
      </c>
      <c r="F73" s="50"/>
      <c r="G73" s="109">
        <v>0.152941176470588</v>
      </c>
      <c r="H73" s="120">
        <v>325</v>
      </c>
    </row>
    <row r="74" spans="3:15" s="1" customFormat="1" ht="18" customHeight="1" x14ac:dyDescent="0.2">
      <c r="C74" s="32"/>
      <c r="D74" s="32">
        <v>16</v>
      </c>
      <c r="E74" s="50">
        <f>H7</f>
        <v>2775</v>
      </c>
      <c r="F74" s="32"/>
      <c r="G74" s="108" t="s">
        <v>31</v>
      </c>
      <c r="H74" s="108" t="s">
        <v>22</v>
      </c>
      <c r="I74" s="32"/>
    </row>
    <row r="75" spans="3:15" s="1" customFormat="1" ht="18" customHeight="1" x14ac:dyDescent="0.2">
      <c r="C75" s="32"/>
      <c r="D75" s="32">
        <v>17</v>
      </c>
      <c r="E75" s="50">
        <f>I5</f>
        <v>3100</v>
      </c>
      <c r="F75" s="32"/>
      <c r="G75" s="109">
        <f t="shared" ref="G75:G88" si="0">($E75-$E74)/$E74</f>
        <v>0.11711711711711711</v>
      </c>
      <c r="H75" s="32">
        <f t="shared" ref="H75:H88" si="1">$E75-$E74</f>
        <v>325</v>
      </c>
      <c r="I75" s="32"/>
    </row>
    <row r="76" spans="3:15" s="1" customFormat="1" ht="18" customHeight="1" x14ac:dyDescent="0.2">
      <c r="C76" s="32"/>
      <c r="D76" s="32">
        <v>18</v>
      </c>
      <c r="E76" s="50">
        <f>J5</f>
        <v>3240</v>
      </c>
      <c r="F76" s="32"/>
      <c r="G76" s="109">
        <f t="shared" si="0"/>
        <v>4.5161290322580643E-2</v>
      </c>
      <c r="H76" s="32">
        <f t="shared" si="1"/>
        <v>140</v>
      </c>
      <c r="I76" s="32"/>
    </row>
    <row r="77" spans="3:15" s="1" customFormat="1" ht="18" customHeight="1" x14ac:dyDescent="0.2">
      <c r="C77" s="32"/>
      <c r="D77" s="32">
        <v>19</v>
      </c>
      <c r="E77" s="127">
        <f>K5</f>
        <v>3425</v>
      </c>
      <c r="F77" s="83"/>
      <c r="G77" s="128">
        <f t="shared" si="0"/>
        <v>5.7098765432098762E-2</v>
      </c>
      <c r="H77" s="83">
        <f t="shared" si="1"/>
        <v>185</v>
      </c>
      <c r="I77" s="83"/>
      <c r="J77" s="129" t="s">
        <v>37</v>
      </c>
      <c r="K77" s="82"/>
      <c r="L77" s="82"/>
      <c r="M77" s="82"/>
      <c r="N77" s="82"/>
      <c r="O77" s="82"/>
    </row>
    <row r="78" spans="3:15" s="1" customFormat="1" ht="18" customHeight="1" x14ac:dyDescent="0.2">
      <c r="C78" s="32"/>
      <c r="D78" s="32">
        <v>20</v>
      </c>
      <c r="E78" s="50">
        <f>J7</f>
        <v>3460</v>
      </c>
      <c r="F78" s="32"/>
      <c r="G78" s="109">
        <f t="shared" si="0"/>
        <v>1.0218978102189781E-2</v>
      </c>
      <c r="H78" s="32">
        <f t="shared" si="1"/>
        <v>35</v>
      </c>
      <c r="I78" s="32"/>
    </row>
    <row r="79" spans="3:15" s="1" customFormat="1" ht="18" customHeight="1" x14ac:dyDescent="0.2">
      <c r="C79" s="32"/>
      <c r="D79" s="32">
        <v>21</v>
      </c>
      <c r="E79" s="50">
        <f>J12</f>
        <v>3565</v>
      </c>
      <c r="G79" s="109">
        <f t="shared" si="0"/>
        <v>3.0346820809248554E-2</v>
      </c>
      <c r="H79" s="32">
        <f t="shared" si="1"/>
        <v>105</v>
      </c>
    </row>
    <row r="80" spans="3:15" s="1" customFormat="1" ht="18" customHeight="1" x14ac:dyDescent="0.2">
      <c r="C80" s="32"/>
      <c r="D80" s="32">
        <v>22</v>
      </c>
      <c r="E80" s="50">
        <f>J11</f>
        <v>3785</v>
      </c>
      <c r="F80" s="32"/>
      <c r="G80" s="109">
        <f t="shared" si="0"/>
        <v>6.1711079943899017E-2</v>
      </c>
      <c r="H80" s="32">
        <f t="shared" si="1"/>
        <v>220</v>
      </c>
      <c r="I80" s="32"/>
    </row>
    <row r="81" spans="2:15" s="1" customFormat="1" ht="18" customHeight="1" x14ac:dyDescent="0.2">
      <c r="C81" s="32"/>
      <c r="D81" s="32">
        <v>23</v>
      </c>
      <c r="E81" s="50">
        <f>L4</f>
        <v>3890</v>
      </c>
      <c r="G81" s="109">
        <f t="shared" si="0"/>
        <v>2.7741083223249668E-2</v>
      </c>
      <c r="H81" s="32">
        <f t="shared" si="1"/>
        <v>105</v>
      </c>
      <c r="I81" s="32"/>
    </row>
    <row r="82" spans="2:15" s="1" customFormat="1" ht="18" customHeight="1" x14ac:dyDescent="0.2">
      <c r="D82" s="32">
        <v>24</v>
      </c>
      <c r="E82" s="50">
        <f>J8</f>
        <v>4110</v>
      </c>
      <c r="F82" s="32"/>
      <c r="G82" s="109">
        <f t="shared" si="0"/>
        <v>5.6555269922879174E-2</v>
      </c>
      <c r="H82" s="32">
        <f t="shared" si="1"/>
        <v>220</v>
      </c>
      <c r="I82" s="32"/>
    </row>
    <row r="83" spans="2:15" s="1" customFormat="1" ht="18" customHeight="1" x14ac:dyDescent="0.2">
      <c r="B83" s="32"/>
      <c r="C83" s="32"/>
      <c r="D83" s="32">
        <v>25</v>
      </c>
      <c r="E83" s="127">
        <f>M5</f>
        <v>4435</v>
      </c>
      <c r="F83" s="83"/>
      <c r="G83" s="128">
        <f t="shared" si="0"/>
        <v>7.9075425790754258E-2</v>
      </c>
      <c r="H83" s="83">
        <f t="shared" si="1"/>
        <v>325</v>
      </c>
      <c r="I83" s="83"/>
      <c r="J83" s="129" t="s">
        <v>41</v>
      </c>
      <c r="K83" s="82"/>
      <c r="L83" s="82"/>
      <c r="M83" s="82"/>
      <c r="N83" s="82"/>
      <c r="O83" s="82"/>
    </row>
    <row r="84" spans="2:15" s="1" customFormat="1" ht="18" customHeight="1" x14ac:dyDescent="0.2">
      <c r="C84" s="32"/>
      <c r="D84" s="32">
        <v>26</v>
      </c>
      <c r="E84" s="50">
        <f>M4</f>
        <v>4575</v>
      </c>
      <c r="F84" s="32"/>
      <c r="G84" s="109">
        <f t="shared" si="0"/>
        <v>3.1567080045095827E-2</v>
      </c>
      <c r="H84" s="32">
        <f t="shared" si="1"/>
        <v>140</v>
      </c>
    </row>
    <row r="85" spans="2:15" s="1" customFormat="1" ht="18" customHeight="1" x14ac:dyDescent="0.2">
      <c r="D85" s="32">
        <v>27</v>
      </c>
      <c r="E85" s="50">
        <f>N5</f>
        <v>4760</v>
      </c>
      <c r="F85" s="32"/>
      <c r="G85" s="109">
        <f t="shared" si="0"/>
        <v>4.0437158469945354E-2</v>
      </c>
      <c r="H85" s="32">
        <f t="shared" si="1"/>
        <v>185</v>
      </c>
      <c r="I85" s="32"/>
    </row>
    <row r="86" spans="2:15" s="1" customFormat="1" ht="18" customHeight="1" x14ac:dyDescent="0.2">
      <c r="D86" s="32">
        <v>28</v>
      </c>
      <c r="E86" s="50">
        <f>N4</f>
        <v>4900</v>
      </c>
      <c r="F86" s="32"/>
      <c r="G86" s="109">
        <f t="shared" si="0"/>
        <v>2.9411764705882353E-2</v>
      </c>
      <c r="H86" s="32">
        <f t="shared" si="1"/>
        <v>140</v>
      </c>
      <c r="I86" s="32"/>
    </row>
    <row r="87" spans="2:15" s="1" customFormat="1" ht="18" customHeight="1" x14ac:dyDescent="0.2">
      <c r="C87" s="32"/>
      <c r="D87" s="32">
        <v>29</v>
      </c>
      <c r="E87" s="50">
        <f>O4</f>
        <v>5225</v>
      </c>
      <c r="F87" s="32"/>
      <c r="G87" s="109">
        <f t="shared" si="0"/>
        <v>6.6326530612244902E-2</v>
      </c>
      <c r="H87" s="116">
        <f t="shared" si="1"/>
        <v>325</v>
      </c>
      <c r="I87" s="32"/>
    </row>
    <row r="88" spans="2:15" s="1" customFormat="1" ht="18" customHeight="1" x14ac:dyDescent="0.2">
      <c r="D88" s="32">
        <v>30</v>
      </c>
      <c r="E88" s="50">
        <f>P4</f>
        <v>5550</v>
      </c>
      <c r="G88" s="109">
        <f t="shared" si="0"/>
        <v>6.2200956937799042E-2</v>
      </c>
      <c r="H88" s="116">
        <f t="shared" si="1"/>
        <v>325</v>
      </c>
      <c r="I88" s="32"/>
    </row>
    <row r="89" spans="2:15" s="1" customFormat="1" ht="18" customHeight="1" x14ac:dyDescent="0.15"/>
    <row r="90" spans="2:15" s="1" customFormat="1" ht="18" customHeight="1" x14ac:dyDescent="0.2">
      <c r="D90" s="32">
        <f>D88</f>
        <v>30</v>
      </c>
      <c r="E90" s="32" t="s">
        <v>45</v>
      </c>
    </row>
    <row r="91" spans="2:15" s="1" customFormat="1" ht="18" customHeight="1" x14ac:dyDescent="0.15"/>
    <row r="92" spans="2:15" s="1" customFormat="1" ht="18" customHeight="1" x14ac:dyDescent="0.15"/>
    <row r="93" spans="2:15" s="1" customFormat="1" ht="18" customHeight="1" x14ac:dyDescent="0.15"/>
    <row r="94" spans="2:15" s="1" customFormat="1" ht="18" customHeight="1" x14ac:dyDescent="0.15"/>
    <row r="95" spans="2:15" s="1" customFormat="1" ht="18" customHeight="1" x14ac:dyDescent="0.15"/>
    <row r="96" spans="2:15" s="1" customFormat="1" ht="18" customHeight="1" x14ac:dyDescent="0.15"/>
    <row r="97" s="1" customFormat="1" ht="18" customHeight="1" x14ac:dyDescent="0.15"/>
    <row r="98" s="1" customFormat="1" ht="18" customHeight="1" x14ac:dyDescent="0.15"/>
    <row r="99" s="1" customFormat="1" ht="18" customHeight="1" x14ac:dyDescent="0.15"/>
    <row r="100" s="1" customFormat="1" ht="18" customHeight="1" x14ac:dyDescent="0.15"/>
    <row r="101" s="1" customFormat="1" ht="18" customHeight="1" x14ac:dyDescent="0.15"/>
    <row r="102" s="1" customFormat="1" ht="18" customHeight="1" x14ac:dyDescent="0.15"/>
    <row r="103" s="1" customFormat="1" ht="18" customHeight="1" x14ac:dyDescent="0.15"/>
    <row r="104" s="1" customFormat="1" ht="18" customHeight="1" x14ac:dyDescent="0.15"/>
    <row r="105" s="1" customFormat="1" ht="18" customHeight="1" x14ac:dyDescent="0.15"/>
    <row r="106" s="1" customFormat="1" ht="18" customHeight="1" x14ac:dyDescent="0.15"/>
    <row r="107" s="1" customFormat="1" ht="18" customHeight="1" x14ac:dyDescent="0.15"/>
    <row r="108" s="1" customFormat="1" ht="18" customHeight="1" x14ac:dyDescent="0.15"/>
    <row r="109" s="1" customFormat="1" ht="18" customHeight="1" x14ac:dyDescent="0.15"/>
    <row r="110" s="1" customFormat="1" ht="18" customHeight="1" x14ac:dyDescent="0.15"/>
    <row r="111" s="1" customFormat="1" ht="18" customHeight="1" x14ac:dyDescent="0.15"/>
    <row r="112" s="1" customFormat="1" ht="18" customHeight="1" x14ac:dyDescent="0.15"/>
    <row r="113" s="1" customFormat="1" ht="18" customHeight="1" x14ac:dyDescent="0.15"/>
    <row r="114" s="1" customFormat="1" x14ac:dyDescent="0.15"/>
    <row r="115" s="1" customFormat="1" ht="18" customHeight="1" x14ac:dyDescent="0.15"/>
    <row r="116" s="1" customFormat="1" x14ac:dyDescent="0.15"/>
    <row r="117" s="1" customFormat="1" ht="18" customHeight="1" x14ac:dyDescent="0.15"/>
    <row r="118" s="1" customFormat="1" x14ac:dyDescent="0.15"/>
    <row r="119" s="1" customFormat="1" x14ac:dyDescent="0.15"/>
    <row r="153" s="1" customFormat="1" ht="18" customHeight="1" x14ac:dyDescent="0.15"/>
    <row r="154" s="1" customFormat="1" ht="18" customHeight="1" x14ac:dyDescent="0.15"/>
    <row r="155" s="1" customFormat="1" ht="18" customHeight="1" x14ac:dyDescent="0.15"/>
    <row r="156" s="1" customFormat="1" ht="18" customHeight="1" x14ac:dyDescent="0.15"/>
    <row r="157" s="1" customFormat="1" ht="18" customHeight="1" x14ac:dyDescent="0.15"/>
    <row r="158" s="1" customFormat="1" ht="18" customHeight="1" x14ac:dyDescent="0.15"/>
    <row r="159" s="1" customFormat="1" ht="18" customHeight="1" x14ac:dyDescent="0.15"/>
  </sheetData>
  <mergeCells count="5">
    <mergeCell ref="B20:V21"/>
    <mergeCell ref="C34:D34"/>
    <mergeCell ref="F34:H34"/>
    <mergeCell ref="M34:N34"/>
    <mergeCell ref="P34:R34"/>
  </mergeCells>
  <pageMargins left="0.25" right="0.25" top="0.61111111111111105" bottom="0.61111111111111105" header="0.3" footer="0.3"/>
  <pageSetup paperSize="9" scale="43" orientation="portrait" useFirstPageNumber="1" horizontalDpi="300" verticalDpi="300"/>
  <headerFooter differentFirst="1"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O204"/>
  <sheetViews>
    <sheetView view="pageBreakPreview" topLeftCell="A57" zoomScale="60" zoomScaleNormal="60" workbookViewId="0">
      <selection activeCell="B62" sqref="B62"/>
    </sheetView>
  </sheetViews>
  <sheetFormatPr baseColWidth="10" defaultColWidth="3.1640625" defaultRowHeight="13" x14ac:dyDescent="0.15"/>
  <cols>
    <col min="1" max="23" width="9.6640625" style="1" customWidth="1"/>
    <col min="24" max="24" width="0.5" style="1" customWidth="1"/>
    <col min="25" max="67" width="9.6640625" style="1" customWidth="1"/>
  </cols>
  <sheetData>
    <row r="1" hidden="1" x14ac:dyDescent="0.15"/>
    <row r="2" hidden="1" x14ac:dyDescent="0.15"/>
    <row r="3" hidden="1" x14ac:dyDescent="0.15"/>
    <row r="4" hidden="1" x14ac:dyDescent="0.15"/>
    <row r="5" hidden="1" x14ac:dyDescent="0.15"/>
    <row r="6" hidden="1" x14ac:dyDescent="0.15"/>
    <row r="7" hidden="1" x14ac:dyDescent="0.15"/>
    <row r="8" hidden="1" x14ac:dyDescent="0.15"/>
    <row r="9" ht="18" hidden="1" customHeight="1" x14ac:dyDescent="0.15"/>
    <row r="10" ht="18" hidden="1" customHeight="1" x14ac:dyDescent="0.15"/>
    <row r="11" ht="18" hidden="1" customHeight="1" x14ac:dyDescent="0.15"/>
    <row r="12" ht="18" hidden="1" customHeight="1" x14ac:dyDescent="0.15"/>
    <row r="13" ht="18" hidden="1" customHeight="1" x14ac:dyDescent="0.15"/>
    <row r="14" ht="18" hidden="1" customHeight="1" x14ac:dyDescent="0.15"/>
    <row r="15" ht="18" hidden="1" customHeight="1" x14ac:dyDescent="0.15"/>
    <row r="16" ht="18" hidden="1" customHeight="1" x14ac:dyDescent="0.15"/>
    <row r="17" hidden="1" x14ac:dyDescent="0.15"/>
    <row r="18" ht="18" hidden="1" customHeight="1" x14ac:dyDescent="0.15"/>
    <row r="19" ht="18" hidden="1" customHeight="1" x14ac:dyDescent="0.15"/>
    <row r="20" ht="18" hidden="1" customHeight="1" x14ac:dyDescent="0.15"/>
    <row r="21" ht="18" hidden="1" customHeight="1" x14ac:dyDescent="0.15"/>
    <row r="22" ht="18" hidden="1" customHeight="1" x14ac:dyDescent="0.15"/>
    <row r="23" ht="18" hidden="1" customHeight="1" x14ac:dyDescent="0.15"/>
    <row r="24" ht="18" hidden="1" customHeight="1" x14ac:dyDescent="0.15"/>
    <row r="25" ht="18" hidden="1" customHeight="1" x14ac:dyDescent="0.15"/>
    <row r="26" hidden="1" x14ac:dyDescent="0.15"/>
    <row r="27" ht="18" hidden="1" customHeight="1" x14ac:dyDescent="0.15"/>
    <row r="28" hidden="1" x14ac:dyDescent="0.15"/>
    <row r="29" ht="18" hidden="1" customHeight="1" x14ac:dyDescent="0.15"/>
    <row r="30" ht="18" hidden="1" customHeight="1" x14ac:dyDescent="0.15"/>
    <row r="31" ht="18" hidden="1" customHeight="1" x14ac:dyDescent="0.15"/>
    <row r="32" ht="18" hidden="1" customHeight="1" x14ac:dyDescent="0.15"/>
    <row r="33" spans="3:18" ht="18" hidden="1" customHeight="1" x14ac:dyDescent="0.15"/>
    <row r="34" spans="3:18" ht="18" hidden="1" customHeight="1" x14ac:dyDescent="0.15"/>
    <row r="35" spans="3:18" ht="18" hidden="1" customHeight="1" x14ac:dyDescent="0.15"/>
    <row r="36" spans="3:18" ht="18" hidden="1" customHeight="1" x14ac:dyDescent="0.15"/>
    <row r="37" spans="3:18" ht="18" hidden="1" customHeight="1" x14ac:dyDescent="0.15"/>
    <row r="38" spans="3:18" hidden="1" x14ac:dyDescent="0.15"/>
    <row r="39" spans="3:18" ht="18" hidden="1" customHeight="1" x14ac:dyDescent="0.15"/>
    <row r="40" spans="3:18" hidden="1" x14ac:dyDescent="0.15"/>
    <row r="41" spans="3:18" ht="18" hidden="1" customHeight="1" x14ac:dyDescent="0.15"/>
    <row r="42" spans="3:18" ht="18" hidden="1" customHeight="1" x14ac:dyDescent="0.15"/>
    <row r="43" spans="3:18" ht="18" hidden="1" customHeight="1" x14ac:dyDescent="0.15"/>
    <row r="44" spans="3:18" ht="18" hidden="1" customHeight="1" x14ac:dyDescent="0.15"/>
    <row r="45" spans="3:18" ht="18" hidden="1" customHeight="1" x14ac:dyDescent="0.15"/>
    <row r="46" spans="3:18" ht="18" hidden="1" customHeight="1" x14ac:dyDescent="0.15">
      <c r="C46" s="1">
        <f>SUM(E46:R46)</f>
        <v>5550</v>
      </c>
      <c r="E46" s="1">
        <v>325</v>
      </c>
      <c r="F46" s="1">
        <v>465</v>
      </c>
      <c r="G46" s="1">
        <v>325</v>
      </c>
      <c r="H46" s="1">
        <v>685</v>
      </c>
      <c r="I46" s="1">
        <v>325</v>
      </c>
      <c r="J46" s="1">
        <v>325</v>
      </c>
      <c r="K46" s="1">
        <v>325</v>
      </c>
      <c r="L46" s="1">
        <v>325</v>
      </c>
      <c r="M46" s="1">
        <v>465</v>
      </c>
      <c r="N46" s="1">
        <v>325</v>
      </c>
      <c r="O46" s="1">
        <v>685</v>
      </c>
      <c r="P46" s="1">
        <v>325</v>
      </c>
      <c r="Q46" s="1">
        <v>325</v>
      </c>
      <c r="R46" s="1">
        <v>325</v>
      </c>
    </row>
    <row r="47" spans="3:18" ht="18" hidden="1" customHeight="1" x14ac:dyDescent="0.15"/>
    <row r="48" spans="3:18" ht="18" hidden="1" customHeight="1" x14ac:dyDescent="0.15">
      <c r="E48" s="1">
        <f>SUM(I46:J46)</f>
        <v>650</v>
      </c>
      <c r="F48" s="1">
        <f>SUM(I46:K46)</f>
        <v>975</v>
      </c>
      <c r="G48" s="1">
        <f>SUM(E46:H46)</f>
        <v>1800</v>
      </c>
      <c r="H48" s="1">
        <f>SUM(E46:I46)</f>
        <v>2125</v>
      </c>
      <c r="I48" s="1">
        <f>SUM(E46:J46)</f>
        <v>2450</v>
      </c>
      <c r="J48" s="1">
        <f>SUM(E46:K46)</f>
        <v>2775</v>
      </c>
      <c r="K48" s="1">
        <f>SUM(E46:L46)</f>
        <v>3100</v>
      </c>
      <c r="L48" s="1">
        <f>SUM(E46:M46)</f>
        <v>3565</v>
      </c>
      <c r="M48" s="1">
        <f>SUM(E46:N46)</f>
        <v>3890</v>
      </c>
      <c r="N48" s="1">
        <f>SUM(E46:O46)</f>
        <v>4575</v>
      </c>
      <c r="O48" s="1">
        <f>SUM(E46:P46)</f>
        <v>4900</v>
      </c>
      <c r="P48" s="1">
        <f>SUM(E46:Q46)</f>
        <v>5225</v>
      </c>
      <c r="Q48" s="1">
        <f>SUM(E46:R46)</f>
        <v>5550</v>
      </c>
    </row>
    <row r="49" spans="2:22" ht="18" hidden="1" customHeight="1" x14ac:dyDescent="0.15">
      <c r="E49" s="1">
        <f>SUM(G46:H46)</f>
        <v>1010</v>
      </c>
      <c r="F49" s="1">
        <f>SUM(H46:J46)</f>
        <v>1335</v>
      </c>
      <c r="G49" s="1">
        <f>SUM(F46:I46)</f>
        <v>1800</v>
      </c>
      <c r="H49" s="1">
        <f>SUM(F46:J46)</f>
        <v>2125</v>
      </c>
      <c r="I49" s="1">
        <f>SUM(E46:J46)</f>
        <v>2450</v>
      </c>
      <c r="J49" s="1">
        <f>SUM(E46:L46)</f>
        <v>3100</v>
      </c>
      <c r="K49" s="1">
        <f>SUM(F46:M46)</f>
        <v>3240</v>
      </c>
      <c r="L49" s="1">
        <f>SUM(J46:S46)</f>
        <v>3425</v>
      </c>
      <c r="M49" s="1">
        <f>SUM(J46:R46)</f>
        <v>3425</v>
      </c>
      <c r="N49" s="1">
        <f>SUM(H46:R46)</f>
        <v>4435</v>
      </c>
      <c r="O49" s="1">
        <f>SUM(G46:R46)</f>
        <v>4760</v>
      </c>
      <c r="P49" s="1">
        <f>SUM(F46:R46)</f>
        <v>5225</v>
      </c>
      <c r="Q49" s="1">
        <f>SUM(E46:R46)</f>
        <v>5550</v>
      </c>
    </row>
    <row r="50" spans="2:22" ht="18" hidden="1" customHeight="1" x14ac:dyDescent="0.15">
      <c r="E50" s="1">
        <f>SUM(E46:F46)</f>
        <v>790</v>
      </c>
      <c r="F50" s="1">
        <f>SUM(F46:H46)</f>
        <v>1475</v>
      </c>
      <c r="G50" s="1">
        <f>SUM(H46:K46)</f>
        <v>1660</v>
      </c>
      <c r="H50" s="1">
        <f>SUM(F47:J47)</f>
        <v>0</v>
      </c>
      <c r="I50" s="1">
        <f>SUM(E46:J46)</f>
        <v>2450</v>
      </c>
      <c r="J50" s="1">
        <f>SUM(H46:M46)</f>
        <v>2450</v>
      </c>
      <c r="K50" s="1">
        <f>SUM(G46:N46)</f>
        <v>3100</v>
      </c>
      <c r="M50" s="1">
        <f>SUM(M46:R46)</f>
        <v>2450</v>
      </c>
    </row>
    <row r="51" spans="2:22" ht="18" hidden="1" customHeight="1" x14ac:dyDescent="0.15">
      <c r="E51" s="1">
        <f>SUM(J46:K46)</f>
        <v>650</v>
      </c>
      <c r="F51" s="1">
        <f>SUM(E46:G46)</f>
        <v>1115</v>
      </c>
      <c r="G51" s="1">
        <f>SUM(E46:H46)</f>
        <v>1800</v>
      </c>
      <c r="H51" s="1">
        <f>SUM(F48:J48)</f>
        <v>10125</v>
      </c>
      <c r="I51" s="1">
        <f>SUM(E46:K46)</f>
        <v>2775</v>
      </c>
      <c r="K51" s="1">
        <f>SUM(H46:O46)</f>
        <v>3460</v>
      </c>
    </row>
    <row r="52" spans="2:22" ht="18" hidden="1" customHeight="1" x14ac:dyDescent="0.15">
      <c r="E52" s="1">
        <f>SUM(E46:F46)</f>
        <v>790</v>
      </c>
      <c r="F52" s="1">
        <f>SUM(I46:K46)</f>
        <v>975</v>
      </c>
      <c r="G52" s="1">
        <f>SUM(F46:I46)</f>
        <v>1800</v>
      </c>
      <c r="H52" s="1">
        <f>SUM(F49:J49)</f>
        <v>10810</v>
      </c>
      <c r="K52" s="1">
        <f>SUM(H46:Q46)</f>
        <v>4110</v>
      </c>
      <c r="N52" s="1">
        <f>SUM(F46:N46)</f>
        <v>3565</v>
      </c>
    </row>
    <row r="53" spans="2:22" ht="18" hidden="1" customHeight="1" x14ac:dyDescent="0.15">
      <c r="E53" s="1">
        <f>SUM(K46)</f>
        <v>325</v>
      </c>
      <c r="G53" s="1">
        <f>SUM(G46:J46)</f>
        <v>1660</v>
      </c>
      <c r="H53" s="1">
        <f>SUM(F50:J50)</f>
        <v>8035</v>
      </c>
      <c r="K53" s="1">
        <f>SUM(I46:Q46)</f>
        <v>3425</v>
      </c>
    </row>
    <row r="54" spans="2:22" ht="18" hidden="1" customHeight="1" x14ac:dyDescent="0.15">
      <c r="B54" s="1">
        <v>2099</v>
      </c>
      <c r="K54" s="1">
        <f>SUM(H46:P46)</f>
        <v>3785</v>
      </c>
    </row>
    <row r="55" spans="2:22" ht="18" hidden="1" customHeight="1" x14ac:dyDescent="0.15">
      <c r="B55" s="1">
        <v>3401</v>
      </c>
      <c r="K55" s="1">
        <f>SUM(G46:O46)</f>
        <v>3785</v>
      </c>
      <c r="M55" s="1">
        <f>SUM(I46:Q46)</f>
        <v>3425</v>
      </c>
      <c r="N55" s="1">
        <f>SUM(E46:O46)</f>
        <v>4575</v>
      </c>
    </row>
    <row r="56" spans="2:22" ht="18" hidden="1" customHeight="1" x14ac:dyDescent="0.15">
      <c r="B56" s="1">
        <v>4313</v>
      </c>
      <c r="K56" s="1">
        <f>SUM(E46:M46)</f>
        <v>3565</v>
      </c>
    </row>
    <row r="57" spans="2:22" ht="18" customHeight="1" x14ac:dyDescent="0.15"/>
    <row r="58" spans="2:22" s="1" customFormat="1" ht="18" customHeight="1" x14ac:dyDescent="0.2">
      <c r="B58" s="36" t="s">
        <v>11</v>
      </c>
      <c r="C58" s="37"/>
      <c r="D58" s="37"/>
      <c r="E58" s="37"/>
      <c r="F58" s="37"/>
      <c r="G58" s="37"/>
      <c r="H58" s="37"/>
      <c r="I58" s="37"/>
      <c r="J58" s="37"/>
      <c r="K58" s="37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</row>
    <row r="59" spans="2:22" s="1" customFormat="1" ht="18" customHeight="1" x14ac:dyDescent="0.2">
      <c r="B59" s="37" t="s">
        <v>12</v>
      </c>
      <c r="C59" s="37"/>
      <c r="D59" s="37"/>
      <c r="E59" s="37"/>
      <c r="F59" s="37"/>
      <c r="G59" s="37"/>
      <c r="H59" s="37"/>
      <c r="I59" s="37"/>
      <c r="J59" s="37"/>
      <c r="K59" s="37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</row>
    <row r="60" spans="2:22" s="1" customFormat="1" ht="18" customHeight="1" x14ac:dyDescent="0.2">
      <c r="B60" s="37" t="s">
        <v>13</v>
      </c>
      <c r="C60" s="37"/>
      <c r="D60" s="37"/>
      <c r="E60" s="37"/>
      <c r="F60" s="37"/>
      <c r="G60" s="37"/>
      <c r="H60" s="37"/>
      <c r="I60" s="37"/>
      <c r="J60" s="37"/>
      <c r="K60" s="37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</row>
    <row r="61" spans="2:22" s="1" customFormat="1" ht="18" customHeight="1" x14ac:dyDescent="0.2">
      <c r="B61" s="38" t="s">
        <v>85</v>
      </c>
      <c r="C61" s="37"/>
      <c r="D61" s="37"/>
      <c r="E61" s="37"/>
      <c r="F61" s="37"/>
      <c r="G61" s="37"/>
      <c r="H61" s="37"/>
      <c r="I61" s="37"/>
      <c r="J61" s="37"/>
      <c r="K61" s="37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</row>
    <row r="62" spans="2:22" s="1" customFormat="1" ht="18" customHeight="1" x14ac:dyDescent="0.2">
      <c r="B62" s="37" t="s">
        <v>16</v>
      </c>
      <c r="C62" s="37"/>
      <c r="D62" s="37"/>
      <c r="E62" s="37"/>
      <c r="F62" s="37"/>
      <c r="G62" s="37"/>
      <c r="H62" s="37"/>
      <c r="I62" s="37"/>
      <c r="J62" s="37"/>
      <c r="K62" s="37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</row>
    <row r="63" spans="2:22" s="1" customFormat="1" ht="18" customHeight="1" x14ac:dyDescent="0.2"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</row>
    <row r="64" spans="2:22" s="1" customFormat="1" ht="18" customHeight="1" x14ac:dyDescent="0.15">
      <c r="B64" s="173" t="s">
        <v>18</v>
      </c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3"/>
      <c r="R64" s="173"/>
      <c r="S64" s="173"/>
      <c r="T64" s="173"/>
      <c r="U64" s="173"/>
      <c r="V64" s="173"/>
    </row>
    <row r="65" spans="2:25" s="1" customFormat="1" ht="18" customHeight="1" x14ac:dyDescent="0.15">
      <c r="B65" s="173"/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3"/>
      <c r="R65" s="173"/>
      <c r="S65" s="173"/>
      <c r="T65" s="173"/>
      <c r="U65" s="173"/>
      <c r="V65" s="173"/>
    </row>
    <row r="66" spans="2:25" s="1" customFormat="1" ht="18" customHeight="1" x14ac:dyDescent="0.2"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</row>
    <row r="67" spans="2:25" s="1" customFormat="1" ht="18" customHeight="1" x14ac:dyDescent="0.2">
      <c r="B67" s="39" t="s">
        <v>19</v>
      </c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</row>
    <row r="68" spans="2:25" s="1" customFormat="1" ht="18" customHeight="1" x14ac:dyDescent="0.2"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</row>
    <row r="69" spans="2:25" s="1" customFormat="1" ht="18" customHeight="1" x14ac:dyDescent="0.2">
      <c r="B69" s="142" t="s">
        <v>20</v>
      </c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</row>
    <row r="70" spans="2:25" s="1" customFormat="1" ht="18" customHeight="1" x14ac:dyDescent="0.2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</row>
    <row r="71" spans="2:25" s="1" customFormat="1" ht="18" customHeight="1" x14ac:dyDescent="0.2">
      <c r="B71" s="144" t="s">
        <v>54</v>
      </c>
      <c r="C71" s="145"/>
      <c r="D71" s="145"/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  <c r="Y71" s="145"/>
    </row>
    <row r="72" spans="2:25" ht="18" customHeight="1" x14ac:dyDescent="0.15"/>
    <row r="73" spans="2:25" ht="18" customHeight="1" x14ac:dyDescent="0.15"/>
    <row r="74" spans="2:25" ht="18" customHeight="1" x14ac:dyDescent="0.15"/>
    <row r="75" spans="2:25" ht="18" customHeight="1" x14ac:dyDescent="0.15">
      <c r="C75" s="40"/>
      <c r="D75" s="10"/>
      <c r="E75" s="12"/>
      <c r="F75" s="40"/>
      <c r="G75" s="7"/>
      <c r="H75" s="8"/>
      <c r="I75" s="9"/>
      <c r="J75" s="40"/>
      <c r="K75" s="40"/>
      <c r="L75" s="40"/>
      <c r="M75" s="40"/>
      <c r="N75" s="10"/>
      <c r="O75" s="12"/>
      <c r="P75" s="40"/>
      <c r="Q75" s="7"/>
      <c r="R75" s="8"/>
      <c r="S75" s="9"/>
      <c r="T75" s="40"/>
      <c r="U75" s="40"/>
      <c r="V75" s="40"/>
    </row>
    <row r="76" spans="2:25" ht="18" customHeight="1" x14ac:dyDescent="0.15">
      <c r="C76" s="43"/>
      <c r="D76" s="19"/>
      <c r="E76" s="21"/>
      <c r="F76" s="43"/>
      <c r="G76" s="16"/>
      <c r="H76" s="17"/>
      <c r="I76" s="18"/>
      <c r="J76" s="43"/>
      <c r="K76" s="43"/>
      <c r="L76" s="43"/>
      <c r="M76" s="43"/>
      <c r="N76" s="19"/>
      <c r="O76" s="21"/>
      <c r="P76" s="43"/>
      <c r="Q76" s="16"/>
      <c r="R76" s="17"/>
      <c r="S76" s="18"/>
      <c r="T76" s="43"/>
      <c r="U76" s="43"/>
      <c r="V76" s="43"/>
    </row>
    <row r="77" spans="2:25" ht="18" customHeight="1" x14ac:dyDescent="0.15">
      <c r="C77" s="44"/>
      <c r="D77" s="28"/>
      <c r="E77" s="30"/>
      <c r="F77" s="44"/>
      <c r="G77" s="25"/>
      <c r="H77" s="26"/>
      <c r="I77" s="27"/>
      <c r="J77" s="44"/>
      <c r="K77" s="44"/>
      <c r="L77" s="44"/>
      <c r="M77" s="44"/>
      <c r="N77" s="28"/>
      <c r="O77" s="30"/>
      <c r="P77" s="44"/>
      <c r="Q77" s="25"/>
      <c r="R77" s="26"/>
      <c r="S77" s="27"/>
      <c r="T77" s="44"/>
      <c r="U77" s="44"/>
      <c r="V77" s="44"/>
    </row>
    <row r="78" spans="2:25" ht="18" customHeight="1" x14ac:dyDescent="0.15"/>
    <row r="79" spans="2:25" ht="18" customHeight="1" x14ac:dyDescent="0.2">
      <c r="C79" s="48">
        <v>325</v>
      </c>
      <c r="D79" s="170">
        <v>465</v>
      </c>
      <c r="E79" s="170"/>
      <c r="F79" s="48">
        <v>325</v>
      </c>
      <c r="G79" s="170">
        <v>685</v>
      </c>
      <c r="H79" s="170"/>
      <c r="I79" s="170"/>
      <c r="J79" s="48">
        <v>325</v>
      </c>
      <c r="K79" s="48">
        <v>325</v>
      </c>
      <c r="L79" s="48">
        <v>325</v>
      </c>
      <c r="M79" s="49">
        <v>325</v>
      </c>
      <c r="N79" s="171">
        <v>465</v>
      </c>
      <c r="O79" s="171"/>
      <c r="P79" s="49">
        <v>325</v>
      </c>
      <c r="Q79" s="171">
        <v>685</v>
      </c>
      <c r="R79" s="171"/>
      <c r="S79" s="171"/>
      <c r="T79" s="49">
        <v>325</v>
      </c>
      <c r="U79" s="49">
        <v>325</v>
      </c>
      <c r="V79" s="49">
        <v>325</v>
      </c>
    </row>
    <row r="80" spans="2:25" ht="18" customHeight="1" x14ac:dyDescent="0.2">
      <c r="I80" s="32"/>
      <c r="J80" s="3"/>
      <c r="K80" s="3"/>
    </row>
    <row r="81" spans="2:22" ht="18" customHeight="1" x14ac:dyDescent="0.2">
      <c r="C81" s="40"/>
      <c r="D81" s="63"/>
      <c r="E81" s="64"/>
      <c r="F81" s="64"/>
      <c r="G81" s="64"/>
      <c r="H81" s="64"/>
      <c r="I81" s="64"/>
      <c r="J81" s="65"/>
      <c r="K81" s="66"/>
      <c r="L81" s="40"/>
      <c r="M81" s="40"/>
      <c r="N81" s="63"/>
      <c r="O81" s="64"/>
      <c r="P81" s="64"/>
      <c r="Q81" s="64"/>
      <c r="R81" s="64"/>
      <c r="S81" s="64"/>
      <c r="T81" s="65"/>
      <c r="U81" s="66"/>
      <c r="V81" s="40"/>
    </row>
    <row r="82" spans="2:22" ht="18" customHeight="1" x14ac:dyDescent="0.2">
      <c r="C82" s="43"/>
      <c r="D82" s="81"/>
      <c r="E82" s="82"/>
      <c r="F82" s="82"/>
      <c r="G82" s="82"/>
      <c r="H82" s="82"/>
      <c r="I82" s="82"/>
      <c r="J82" s="83"/>
      <c r="K82" s="84"/>
      <c r="L82" s="43"/>
      <c r="M82" s="43"/>
      <c r="N82" s="81"/>
      <c r="O82" s="82"/>
      <c r="P82" s="82"/>
      <c r="Q82" s="82"/>
      <c r="R82" s="82"/>
      <c r="S82" s="82"/>
      <c r="T82" s="83"/>
      <c r="U82" s="84"/>
      <c r="V82" s="43"/>
    </row>
    <row r="83" spans="2:22" ht="18" customHeight="1" x14ac:dyDescent="0.2">
      <c r="C83" s="44"/>
      <c r="D83" s="97" t="s">
        <v>27</v>
      </c>
      <c r="E83" s="98"/>
      <c r="F83" s="98"/>
      <c r="G83" s="98"/>
      <c r="H83" s="98"/>
      <c r="I83" s="98"/>
      <c r="J83" s="98"/>
      <c r="K83" s="99"/>
      <c r="L83" s="44"/>
      <c r="M83" s="44"/>
      <c r="N83" s="97" t="s">
        <v>27</v>
      </c>
      <c r="O83" s="98"/>
      <c r="P83" s="98"/>
      <c r="Q83" s="98"/>
      <c r="R83" s="98"/>
      <c r="S83" s="98"/>
      <c r="T83" s="98"/>
      <c r="U83" s="99"/>
      <c r="V83" s="44"/>
    </row>
    <row r="84" spans="2:22" ht="18" customHeight="1" x14ac:dyDescent="0.2">
      <c r="J84" s="3"/>
      <c r="K84" s="3"/>
    </row>
    <row r="85" spans="2:22" ht="18" customHeight="1" x14ac:dyDescent="0.2">
      <c r="C85" s="63"/>
      <c r="D85" s="64"/>
      <c r="E85" s="64"/>
      <c r="F85" s="64"/>
      <c r="G85" s="64"/>
      <c r="H85" s="64"/>
      <c r="I85" s="65"/>
      <c r="J85" s="66"/>
      <c r="K85" s="40"/>
      <c r="L85" s="40"/>
      <c r="M85" s="63"/>
      <c r="N85" s="64"/>
      <c r="O85" s="64"/>
      <c r="P85" s="64"/>
      <c r="Q85" s="64"/>
      <c r="R85" s="64"/>
      <c r="S85" s="65"/>
      <c r="T85" s="66"/>
      <c r="U85" s="40"/>
      <c r="V85" s="40"/>
    </row>
    <row r="86" spans="2:22" ht="18" customHeight="1" x14ac:dyDescent="0.2">
      <c r="B86" s="105"/>
      <c r="C86" s="81"/>
      <c r="D86" s="82"/>
      <c r="E86" s="82"/>
      <c r="F86" s="82"/>
      <c r="G86" s="82"/>
      <c r="H86" s="82"/>
      <c r="I86" s="83"/>
      <c r="J86" s="84"/>
      <c r="K86" s="43"/>
      <c r="L86" s="43"/>
      <c r="M86" s="81"/>
      <c r="N86" s="82"/>
      <c r="O86" s="82"/>
      <c r="P86" s="82"/>
      <c r="Q86" s="82"/>
      <c r="R86" s="82"/>
      <c r="S86" s="83"/>
      <c r="T86" s="84"/>
      <c r="U86" s="43"/>
      <c r="V86" s="43"/>
    </row>
    <row r="87" spans="2:22" ht="18" customHeight="1" x14ac:dyDescent="0.2">
      <c r="C87" s="97" t="s">
        <v>27</v>
      </c>
      <c r="D87" s="98"/>
      <c r="E87" s="98"/>
      <c r="F87" s="98"/>
      <c r="G87" s="98"/>
      <c r="H87" s="98"/>
      <c r="I87" s="98"/>
      <c r="J87" s="99"/>
      <c r="K87" s="44"/>
      <c r="L87" s="44"/>
      <c r="M87" s="97" t="s">
        <v>27</v>
      </c>
      <c r="N87" s="98"/>
      <c r="O87" s="98"/>
      <c r="P87" s="98"/>
      <c r="Q87" s="98"/>
      <c r="R87" s="98"/>
      <c r="S87" s="98"/>
      <c r="T87" s="99"/>
      <c r="U87" s="44"/>
      <c r="V87" s="44"/>
    </row>
    <row r="88" spans="2:22" ht="18" customHeight="1" x14ac:dyDescent="0.2">
      <c r="B88" s="105"/>
    </row>
    <row r="89" spans="2:22" ht="18" customHeight="1" x14ac:dyDescent="0.2">
      <c r="C89" s="40"/>
      <c r="D89" s="10"/>
      <c r="E89" s="12"/>
      <c r="F89" s="40"/>
      <c r="G89" s="7"/>
      <c r="H89" s="8"/>
      <c r="I89" s="9"/>
      <c r="J89" s="40"/>
      <c r="K89" s="40"/>
      <c r="L89" s="63"/>
      <c r="M89" s="64"/>
      <c r="N89" s="64"/>
      <c r="O89" s="64"/>
      <c r="P89" s="64"/>
      <c r="Q89" s="64"/>
      <c r="R89" s="65"/>
      <c r="S89" s="66"/>
      <c r="T89" s="40"/>
      <c r="U89" s="40"/>
      <c r="V89" s="40"/>
    </row>
    <row r="90" spans="2:22" ht="18" customHeight="1" x14ac:dyDescent="0.2">
      <c r="C90" s="43"/>
      <c r="D90" s="19"/>
      <c r="E90" s="21"/>
      <c r="F90" s="43"/>
      <c r="G90" s="16"/>
      <c r="H90" s="17"/>
      <c r="I90" s="18"/>
      <c r="J90" s="43"/>
      <c r="K90" s="43"/>
      <c r="L90" s="81"/>
      <c r="M90" s="82"/>
      <c r="N90" s="82"/>
      <c r="O90" s="82"/>
      <c r="P90" s="82"/>
      <c r="Q90" s="82"/>
      <c r="R90" s="83"/>
      <c r="S90" s="84"/>
      <c r="T90" s="43"/>
      <c r="U90" s="43"/>
      <c r="V90" s="43"/>
    </row>
    <row r="91" spans="2:22" ht="18" customHeight="1" x14ac:dyDescent="0.2">
      <c r="C91" s="44"/>
      <c r="D91" s="28"/>
      <c r="E91" s="30"/>
      <c r="F91" s="44"/>
      <c r="G91" s="25"/>
      <c r="H91" s="26"/>
      <c r="I91" s="27"/>
      <c r="J91" s="44"/>
      <c r="K91" s="44"/>
      <c r="L91" s="97" t="s">
        <v>27</v>
      </c>
      <c r="M91" s="98"/>
      <c r="N91" s="98"/>
      <c r="O91" s="98"/>
      <c r="P91" s="98"/>
      <c r="Q91" s="98"/>
      <c r="R91" s="98"/>
      <c r="S91" s="99"/>
      <c r="T91" s="44"/>
      <c r="U91" s="44"/>
      <c r="V91" s="44"/>
    </row>
    <row r="92" spans="2:22" ht="18" customHeight="1" x14ac:dyDescent="0.15"/>
    <row r="93" spans="2:22" ht="18" customHeight="1" x14ac:dyDescent="0.15">
      <c r="C93" s="40"/>
      <c r="D93" s="10"/>
      <c r="E93" s="12"/>
      <c r="F93" s="40"/>
      <c r="G93" s="7"/>
      <c r="H93" s="8"/>
      <c r="I93" s="9"/>
      <c r="J93" s="40"/>
      <c r="K93" s="63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117"/>
    </row>
    <row r="94" spans="2:22" ht="18" customHeight="1" x14ac:dyDescent="0.15">
      <c r="C94" s="43"/>
      <c r="D94" s="19"/>
      <c r="E94" s="21"/>
      <c r="F94" s="43"/>
      <c r="G94" s="16"/>
      <c r="H94" s="17"/>
      <c r="I94" s="18"/>
      <c r="J94" s="43"/>
      <c r="K94" s="81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118"/>
    </row>
    <row r="95" spans="2:22" ht="18" customHeight="1" x14ac:dyDescent="0.2">
      <c r="C95" s="44"/>
      <c r="D95" s="28"/>
      <c r="E95" s="30"/>
      <c r="F95" s="44"/>
      <c r="G95" s="25"/>
      <c r="H95" s="26"/>
      <c r="I95" s="27"/>
      <c r="J95" s="44"/>
      <c r="K95" s="97" t="s">
        <v>37</v>
      </c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119"/>
    </row>
    <row r="96" spans="2:22" ht="18" customHeight="1" x14ac:dyDescent="0.15"/>
    <row r="97" spans="3:22" ht="18" customHeight="1" x14ac:dyDescent="0.15">
      <c r="C97" s="40"/>
      <c r="D97" s="10"/>
      <c r="E97" s="12"/>
      <c r="F97" s="40"/>
      <c r="G97" s="7"/>
      <c r="H97" s="8"/>
      <c r="I97" s="9"/>
      <c r="J97" s="63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117"/>
      <c r="V97" s="40"/>
    </row>
    <row r="98" spans="3:22" ht="18" customHeight="1" x14ac:dyDescent="0.15">
      <c r="C98" s="43"/>
      <c r="D98" s="19"/>
      <c r="E98" s="21"/>
      <c r="F98" s="43"/>
      <c r="G98" s="16"/>
      <c r="H98" s="17"/>
      <c r="I98" s="18"/>
      <c r="J98" s="81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118"/>
      <c r="V98" s="43"/>
    </row>
    <row r="99" spans="3:22" ht="18" customHeight="1" x14ac:dyDescent="0.2">
      <c r="C99" s="44"/>
      <c r="D99" s="28"/>
      <c r="E99" s="30"/>
      <c r="F99" s="44"/>
      <c r="G99" s="25"/>
      <c r="H99" s="26"/>
      <c r="I99" s="27"/>
      <c r="J99" s="97" t="s">
        <v>37</v>
      </c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119"/>
      <c r="V99" s="44"/>
    </row>
    <row r="100" spans="3:22" ht="18" customHeight="1" x14ac:dyDescent="0.15"/>
    <row r="101" spans="3:22" ht="18" customHeight="1" x14ac:dyDescent="0.15">
      <c r="C101" s="40"/>
      <c r="D101" s="10"/>
      <c r="E101" s="12"/>
      <c r="F101" s="40"/>
      <c r="G101" s="63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117"/>
    </row>
    <row r="102" spans="3:22" ht="18" customHeight="1" x14ac:dyDescent="0.15">
      <c r="C102" s="43"/>
      <c r="D102" s="19"/>
      <c r="E102" s="21"/>
      <c r="F102" s="43"/>
      <c r="G102" s="81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118"/>
    </row>
    <row r="103" spans="3:22" ht="18" customHeight="1" x14ac:dyDescent="0.2">
      <c r="C103" s="44"/>
      <c r="D103" s="28"/>
      <c r="E103" s="30"/>
      <c r="F103" s="44"/>
      <c r="G103" s="97" t="s">
        <v>41</v>
      </c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119"/>
    </row>
    <row r="104" spans="3:22" ht="18" customHeight="1" x14ac:dyDescent="0.15"/>
    <row r="105" spans="3:22" ht="18" customHeight="1" x14ac:dyDescent="0.15">
      <c r="C105" s="40"/>
      <c r="D105" s="10"/>
      <c r="E105" s="12"/>
      <c r="F105" s="63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117"/>
      <c r="V105" s="40"/>
    </row>
    <row r="106" spans="3:22" ht="18" customHeight="1" x14ac:dyDescent="0.15">
      <c r="C106" s="43"/>
      <c r="D106" s="19"/>
      <c r="E106" s="21"/>
      <c r="F106" s="81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118"/>
      <c r="V106" s="43"/>
    </row>
    <row r="107" spans="3:22" ht="18" customHeight="1" x14ac:dyDescent="0.2">
      <c r="C107" s="44"/>
      <c r="D107" s="28"/>
      <c r="E107" s="30"/>
      <c r="F107" s="97" t="s">
        <v>41</v>
      </c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119"/>
      <c r="V107" s="44"/>
    </row>
    <row r="108" spans="3:22" ht="18" customHeight="1" x14ac:dyDescent="0.15"/>
    <row r="109" spans="3:22" ht="18" customHeight="1" x14ac:dyDescent="0.15"/>
    <row r="110" spans="3:22" ht="18" customHeight="1" x14ac:dyDescent="0.2">
      <c r="D110" s="50">
        <f>F119</f>
        <v>2775</v>
      </c>
      <c r="E110" s="51" t="s">
        <v>38</v>
      </c>
      <c r="F110" s="50">
        <f>F119</f>
        <v>2775</v>
      </c>
      <c r="G110" s="51" t="s">
        <v>39</v>
      </c>
      <c r="H110" s="50">
        <f>C46</f>
        <v>5550</v>
      </c>
      <c r="I110" s="103" t="s">
        <v>22</v>
      </c>
    </row>
    <row r="111" spans="3:22" ht="18" customHeight="1" x14ac:dyDescent="0.2">
      <c r="D111" s="32"/>
      <c r="E111" s="32"/>
      <c r="F111" s="32"/>
      <c r="G111" s="32"/>
      <c r="H111" s="107">
        <v>2</v>
      </c>
      <c r="I111" s="32" t="s">
        <v>30</v>
      </c>
    </row>
    <row r="112" spans="3:22" ht="18" customHeight="1" x14ac:dyDescent="0.2">
      <c r="D112" s="32"/>
      <c r="E112" s="103"/>
      <c r="F112" s="32"/>
      <c r="G112" s="32"/>
      <c r="H112" s="107">
        <v>14</v>
      </c>
      <c r="I112" s="32" t="s">
        <v>32</v>
      </c>
    </row>
    <row r="113" spans="3:16" ht="18" customHeight="1" x14ac:dyDescent="0.2">
      <c r="D113" s="32"/>
      <c r="E113" s="32"/>
      <c r="F113" s="32"/>
      <c r="G113" s="32"/>
      <c r="H113" s="107">
        <v>14</v>
      </c>
      <c r="I113" s="32" t="s">
        <v>33</v>
      </c>
    </row>
    <row r="114" spans="3:16" ht="18" customHeight="1" x14ac:dyDescent="0.15"/>
    <row r="115" spans="3:16" ht="18" customHeight="1" x14ac:dyDescent="0.2">
      <c r="D115" s="32" t="s">
        <v>29</v>
      </c>
      <c r="E115" s="32"/>
      <c r="F115" s="32"/>
      <c r="G115" s="32"/>
      <c r="H115" s="32"/>
      <c r="I115" s="32"/>
      <c r="J115" s="32"/>
    </row>
    <row r="116" spans="3:16" ht="18" customHeight="1" x14ac:dyDescent="0.2">
      <c r="D116" s="32"/>
      <c r="E116" s="32"/>
      <c r="F116" s="32"/>
      <c r="G116" s="32"/>
      <c r="H116" s="32"/>
      <c r="I116" s="32"/>
      <c r="J116" s="32"/>
    </row>
    <row r="117" spans="3:16" ht="18" customHeight="1" x14ac:dyDescent="0.2">
      <c r="D117" s="32"/>
      <c r="E117" s="50">
        <v>14</v>
      </c>
      <c r="F117" s="127">
        <v>2125</v>
      </c>
      <c r="G117" s="83"/>
      <c r="H117" s="128">
        <v>7.0528967254408104E-2</v>
      </c>
      <c r="I117" s="127">
        <v>140</v>
      </c>
      <c r="J117" s="82"/>
      <c r="K117" s="129" t="s">
        <v>27</v>
      </c>
      <c r="L117" s="82"/>
      <c r="M117" s="82"/>
      <c r="N117" s="82"/>
      <c r="O117" s="82"/>
      <c r="P117" s="82"/>
    </row>
    <row r="118" spans="3:16" ht="18" customHeight="1" x14ac:dyDescent="0.2">
      <c r="D118" s="32"/>
      <c r="E118" s="50">
        <v>15</v>
      </c>
      <c r="F118" s="50">
        <v>2450</v>
      </c>
      <c r="G118" s="32"/>
      <c r="H118" s="109">
        <v>0.152941176470588</v>
      </c>
      <c r="I118" s="120">
        <v>325</v>
      </c>
    </row>
    <row r="119" spans="3:16" ht="18" customHeight="1" x14ac:dyDescent="0.2">
      <c r="D119" s="32"/>
      <c r="E119" s="32">
        <v>16</v>
      </c>
      <c r="F119" s="50">
        <f>I51</f>
        <v>2775</v>
      </c>
      <c r="G119" s="32"/>
      <c r="H119" s="108" t="s">
        <v>31</v>
      </c>
      <c r="I119" s="108" t="s">
        <v>22</v>
      </c>
      <c r="J119" s="32"/>
    </row>
    <row r="120" spans="3:16" ht="18" customHeight="1" x14ac:dyDescent="0.2">
      <c r="D120" s="32"/>
      <c r="E120" s="32">
        <v>17</v>
      </c>
      <c r="F120" s="50">
        <f>J49</f>
        <v>3100</v>
      </c>
      <c r="G120" s="32"/>
      <c r="H120" s="109">
        <f t="shared" ref="H120:H133" si="0">($F120-$F119)/$F119</f>
        <v>0.11711711711711711</v>
      </c>
      <c r="I120" s="32">
        <f t="shared" ref="I120:I133" si="1">$F120-$F119</f>
        <v>325</v>
      </c>
      <c r="J120" s="32"/>
    </row>
    <row r="121" spans="3:16" ht="18" customHeight="1" x14ac:dyDescent="0.2">
      <c r="D121" s="32"/>
      <c r="E121" s="32">
        <v>18</v>
      </c>
      <c r="F121" s="50">
        <f>K49</f>
        <v>3240</v>
      </c>
      <c r="G121" s="32"/>
      <c r="H121" s="109">
        <f t="shared" si="0"/>
        <v>4.5161290322580643E-2</v>
      </c>
      <c r="I121" s="32">
        <f t="shared" si="1"/>
        <v>140</v>
      </c>
      <c r="J121" s="32"/>
    </row>
    <row r="122" spans="3:16" ht="18" customHeight="1" x14ac:dyDescent="0.2">
      <c r="D122" s="32"/>
      <c r="E122" s="32">
        <v>19</v>
      </c>
      <c r="F122" s="127">
        <f>L49</f>
        <v>3425</v>
      </c>
      <c r="G122" s="83"/>
      <c r="H122" s="128">
        <f t="shared" si="0"/>
        <v>5.7098765432098762E-2</v>
      </c>
      <c r="I122" s="83">
        <f t="shared" si="1"/>
        <v>185</v>
      </c>
      <c r="J122" s="83"/>
      <c r="K122" s="129" t="s">
        <v>37</v>
      </c>
      <c r="L122" s="82"/>
      <c r="M122" s="82"/>
      <c r="N122" s="82"/>
      <c r="O122" s="82"/>
      <c r="P122" s="82"/>
    </row>
    <row r="123" spans="3:16" ht="18" customHeight="1" x14ac:dyDescent="0.2">
      <c r="D123" s="32"/>
      <c r="E123" s="32">
        <v>20</v>
      </c>
      <c r="F123" s="50">
        <f>K51</f>
        <v>3460</v>
      </c>
      <c r="G123" s="32"/>
      <c r="H123" s="109">
        <f t="shared" si="0"/>
        <v>1.0218978102189781E-2</v>
      </c>
      <c r="I123" s="32">
        <f t="shared" si="1"/>
        <v>35</v>
      </c>
      <c r="J123" s="32"/>
    </row>
    <row r="124" spans="3:16" ht="18" customHeight="1" x14ac:dyDescent="0.2">
      <c r="D124" s="32"/>
      <c r="E124" s="32">
        <v>21</v>
      </c>
      <c r="F124" s="50">
        <f>K56</f>
        <v>3565</v>
      </c>
      <c r="H124" s="109">
        <f t="shared" si="0"/>
        <v>3.0346820809248554E-2</v>
      </c>
      <c r="I124" s="32">
        <f t="shared" si="1"/>
        <v>105</v>
      </c>
    </row>
    <row r="125" spans="3:16" ht="18" customHeight="1" x14ac:dyDescent="0.2">
      <c r="D125" s="32"/>
      <c r="E125" s="32">
        <v>22</v>
      </c>
      <c r="F125" s="50">
        <f>K55</f>
        <v>3785</v>
      </c>
      <c r="G125" s="32"/>
      <c r="H125" s="109">
        <f t="shared" si="0"/>
        <v>6.1711079943899017E-2</v>
      </c>
      <c r="I125" s="32">
        <f t="shared" si="1"/>
        <v>220</v>
      </c>
      <c r="J125" s="32"/>
    </row>
    <row r="126" spans="3:16" ht="18" customHeight="1" x14ac:dyDescent="0.2">
      <c r="D126" s="32"/>
      <c r="E126" s="32">
        <v>23</v>
      </c>
      <c r="F126" s="50">
        <f>M48</f>
        <v>3890</v>
      </c>
      <c r="H126" s="109">
        <f t="shared" si="0"/>
        <v>2.7741083223249668E-2</v>
      </c>
      <c r="I126" s="32">
        <f t="shared" si="1"/>
        <v>105</v>
      </c>
      <c r="J126" s="32"/>
    </row>
    <row r="127" spans="3:16" ht="18" customHeight="1" x14ac:dyDescent="0.2">
      <c r="E127" s="32">
        <v>24</v>
      </c>
      <c r="F127" s="50">
        <f>K52</f>
        <v>4110</v>
      </c>
      <c r="G127" s="32"/>
      <c r="H127" s="109">
        <f t="shared" si="0"/>
        <v>5.6555269922879174E-2</v>
      </c>
      <c r="I127" s="32">
        <f t="shared" si="1"/>
        <v>220</v>
      </c>
      <c r="J127" s="32"/>
    </row>
    <row r="128" spans="3:16" ht="18" customHeight="1" x14ac:dyDescent="0.2">
      <c r="C128" s="32"/>
      <c r="D128" s="32"/>
      <c r="E128" s="32">
        <v>25</v>
      </c>
      <c r="F128" s="127">
        <f>N49</f>
        <v>4435</v>
      </c>
      <c r="G128" s="83"/>
      <c r="H128" s="128">
        <f t="shared" si="0"/>
        <v>7.9075425790754258E-2</v>
      </c>
      <c r="I128" s="83">
        <f t="shared" si="1"/>
        <v>325</v>
      </c>
      <c r="J128" s="83"/>
      <c r="K128" s="129" t="s">
        <v>41</v>
      </c>
      <c r="L128" s="82"/>
      <c r="M128" s="82"/>
      <c r="N128" s="82"/>
      <c r="O128" s="82"/>
      <c r="P128" s="82"/>
    </row>
    <row r="129" spans="4:10" ht="18" customHeight="1" x14ac:dyDescent="0.2">
      <c r="D129" s="32"/>
      <c r="E129" s="32">
        <v>26</v>
      </c>
      <c r="F129" s="50">
        <f>N48</f>
        <v>4575</v>
      </c>
      <c r="G129" s="32"/>
      <c r="H129" s="109">
        <f t="shared" si="0"/>
        <v>3.1567080045095827E-2</v>
      </c>
      <c r="I129" s="32">
        <f t="shared" si="1"/>
        <v>140</v>
      </c>
    </row>
    <row r="130" spans="4:10" ht="18" customHeight="1" x14ac:dyDescent="0.2">
      <c r="E130" s="32">
        <v>27</v>
      </c>
      <c r="F130" s="50">
        <f>O49</f>
        <v>4760</v>
      </c>
      <c r="G130" s="32"/>
      <c r="H130" s="109">
        <f t="shared" si="0"/>
        <v>4.0437158469945354E-2</v>
      </c>
      <c r="I130" s="32">
        <f t="shared" si="1"/>
        <v>185</v>
      </c>
      <c r="J130" s="32"/>
    </row>
    <row r="131" spans="4:10" ht="18" customHeight="1" x14ac:dyDescent="0.2">
      <c r="E131" s="32">
        <v>28</v>
      </c>
      <c r="F131" s="50">
        <f>O48</f>
        <v>4900</v>
      </c>
      <c r="G131" s="32"/>
      <c r="H131" s="109">
        <f t="shared" si="0"/>
        <v>2.9411764705882353E-2</v>
      </c>
      <c r="I131" s="32">
        <f t="shared" si="1"/>
        <v>140</v>
      </c>
      <c r="J131" s="32"/>
    </row>
    <row r="132" spans="4:10" ht="18" customHeight="1" x14ac:dyDescent="0.2">
      <c r="D132" s="32"/>
      <c r="E132" s="32">
        <v>29</v>
      </c>
      <c r="F132" s="50">
        <f>P48</f>
        <v>5225</v>
      </c>
      <c r="G132" s="32"/>
      <c r="H132" s="109">
        <f t="shared" si="0"/>
        <v>6.6326530612244902E-2</v>
      </c>
      <c r="I132" s="116">
        <f t="shared" si="1"/>
        <v>325</v>
      </c>
      <c r="J132" s="32"/>
    </row>
    <row r="133" spans="4:10" ht="18" customHeight="1" x14ac:dyDescent="0.2">
      <c r="E133" s="32">
        <v>30</v>
      </c>
      <c r="F133" s="50">
        <f>Q48</f>
        <v>5550</v>
      </c>
      <c r="H133" s="109">
        <f t="shared" si="0"/>
        <v>6.2200956937799042E-2</v>
      </c>
      <c r="I133" s="116">
        <f t="shared" si="1"/>
        <v>325</v>
      </c>
      <c r="J133" s="32"/>
    </row>
    <row r="134" spans="4:10" ht="18" customHeight="1" x14ac:dyDescent="0.15"/>
    <row r="135" spans="4:10" ht="18" customHeight="1" x14ac:dyDescent="0.2">
      <c r="E135" s="32">
        <f>E133</f>
        <v>30</v>
      </c>
      <c r="F135" s="32" t="s">
        <v>45</v>
      </c>
    </row>
    <row r="136" spans="4:10" ht="18" customHeight="1" x14ac:dyDescent="0.15"/>
    <row r="137" spans="4:10" ht="18" customHeight="1" x14ac:dyDescent="0.15"/>
    <row r="138" spans="4:10" ht="18" customHeight="1" x14ac:dyDescent="0.15"/>
    <row r="139" spans="4:10" ht="18" customHeight="1" x14ac:dyDescent="0.15"/>
    <row r="140" spans="4:10" ht="18" customHeight="1" x14ac:dyDescent="0.15"/>
    <row r="141" spans="4:10" ht="18" customHeight="1" x14ac:dyDescent="0.15"/>
    <row r="142" spans="4:10" ht="18" customHeight="1" x14ac:dyDescent="0.15"/>
    <row r="143" spans="4:10" ht="18" customHeight="1" x14ac:dyDescent="0.15"/>
    <row r="144" spans="4:10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60" ht="18" customHeight="1" x14ac:dyDescent="0.15"/>
    <row r="162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</sheetData>
  <mergeCells count="5">
    <mergeCell ref="B64:V65"/>
    <mergeCell ref="D79:E79"/>
    <mergeCell ref="G79:I79"/>
    <mergeCell ref="N79:O79"/>
    <mergeCell ref="Q79:S79"/>
  </mergeCells>
  <pageMargins left="0.25" right="0.25" top="0.61111111111111105" bottom="0.61111111111111105" header="0.3" footer="0.3"/>
  <pageSetup paperSize="9" scale="42" orientation="portrait" useFirstPageNumber="1" horizontalDpi="300" verticalDpi="300"/>
  <headerFooter differentFirst="1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N159"/>
  <sheetViews>
    <sheetView view="pageBreakPreview" topLeftCell="A19" zoomScale="60" zoomScaleNormal="70" workbookViewId="0">
      <selection activeCell="B16" sqref="B16"/>
    </sheetView>
  </sheetViews>
  <sheetFormatPr baseColWidth="10" defaultColWidth="3.1640625" defaultRowHeight="13" x14ac:dyDescent="0.15"/>
  <cols>
    <col min="1" max="66" width="9.6640625" style="1" customWidth="1"/>
  </cols>
  <sheetData>
    <row r="1" spans="2:22" ht="18" hidden="1" customHeight="1" x14ac:dyDescent="0.15">
      <c r="C1" s="1">
        <f>SUM(E1:R1)</f>
        <v>5550</v>
      </c>
      <c r="E1" s="1">
        <v>325</v>
      </c>
      <c r="F1" s="1">
        <v>465</v>
      </c>
      <c r="G1" s="1">
        <v>325</v>
      </c>
      <c r="H1" s="1">
        <v>685</v>
      </c>
      <c r="I1" s="1">
        <v>325</v>
      </c>
      <c r="J1" s="1">
        <v>325</v>
      </c>
      <c r="K1" s="1">
        <v>325</v>
      </c>
      <c r="L1" s="1">
        <v>325</v>
      </c>
      <c r="M1" s="1">
        <v>465</v>
      </c>
      <c r="N1" s="1">
        <v>325</v>
      </c>
      <c r="O1" s="1">
        <v>685</v>
      </c>
      <c r="P1" s="1">
        <v>325</v>
      </c>
      <c r="Q1" s="1">
        <v>325</v>
      </c>
      <c r="R1" s="1">
        <v>325</v>
      </c>
    </row>
    <row r="2" spans="2:22" ht="18" hidden="1" customHeight="1" x14ac:dyDescent="0.15"/>
    <row r="3" spans="2:22" ht="18" hidden="1" customHeight="1" x14ac:dyDescent="0.15">
      <c r="E3" s="1">
        <f>SUM(I1:J1)</f>
        <v>650</v>
      </c>
      <c r="F3" s="1">
        <f>SUM(I1:K1)</f>
        <v>975</v>
      </c>
      <c r="G3" s="1">
        <f>SUM(E1:H1)</f>
        <v>1800</v>
      </c>
      <c r="H3" s="1">
        <f>SUM(E1:I1)</f>
        <v>2125</v>
      </c>
      <c r="I3" s="35">
        <f>SUM(E1:J1)</f>
        <v>2450</v>
      </c>
      <c r="J3" s="1">
        <f>SUM(E1:K1)</f>
        <v>2775</v>
      </c>
      <c r="K3" s="1">
        <f>SUM(E1:L1)</f>
        <v>3100</v>
      </c>
      <c r="L3" s="1">
        <f>SUM(E1:M1)</f>
        <v>3565</v>
      </c>
      <c r="M3" s="1">
        <f>SUM(E1:N1)</f>
        <v>3890</v>
      </c>
      <c r="N3" s="1">
        <f>SUM(E1:O1)</f>
        <v>4575</v>
      </c>
      <c r="O3" s="1">
        <f>SUM(E1:P1)</f>
        <v>4900</v>
      </c>
      <c r="P3" s="1">
        <f>SUM(E1:Q1)</f>
        <v>5225</v>
      </c>
      <c r="Q3" s="1">
        <f>SUM(E1:R1)</f>
        <v>5550</v>
      </c>
    </row>
    <row r="4" spans="2:22" ht="18" hidden="1" customHeight="1" x14ac:dyDescent="0.15">
      <c r="E4" s="1">
        <f>SUM(G1:H1)</f>
        <v>1010</v>
      </c>
      <c r="F4" s="1">
        <f>SUM(H1:J1)</f>
        <v>1335</v>
      </c>
      <c r="G4" s="1">
        <f>SUM(F1:I1)</f>
        <v>1800</v>
      </c>
      <c r="H4" s="1">
        <f>SUM(F1:J1)</f>
        <v>2125</v>
      </c>
      <c r="I4" s="1">
        <f>SUM(E2:J2)</f>
        <v>0</v>
      </c>
      <c r="J4" s="1">
        <f>SUM(E1:L1)</f>
        <v>3100</v>
      </c>
      <c r="K4" s="1">
        <f>SUM(F1:M1)</f>
        <v>3240</v>
      </c>
      <c r="L4" s="1">
        <f>SUM(J1:S1)</f>
        <v>3425</v>
      </c>
      <c r="M4" s="1">
        <f>SUM(J1:R1)</f>
        <v>3425</v>
      </c>
      <c r="N4" s="1">
        <f>SUM(H1:R1)</f>
        <v>4435</v>
      </c>
      <c r="O4" s="1">
        <f>SUM(G1:R1)</f>
        <v>4760</v>
      </c>
      <c r="P4" s="1">
        <f>SUM(F1:R1)</f>
        <v>5225</v>
      </c>
      <c r="Q4" s="1">
        <f>SUM(E1:R1)</f>
        <v>5550</v>
      </c>
    </row>
    <row r="5" spans="2:22" ht="18" hidden="1" customHeight="1" x14ac:dyDescent="0.15">
      <c r="E5" s="1">
        <f>SUM(E1:F1)</f>
        <v>790</v>
      </c>
      <c r="F5" s="1">
        <f>SUM(F1:H1)</f>
        <v>1475</v>
      </c>
      <c r="G5" s="1">
        <f>SUM(H1:K1)</f>
        <v>1660</v>
      </c>
      <c r="H5" s="1">
        <f>SUM(F2:J2)</f>
        <v>0</v>
      </c>
      <c r="I5" s="1">
        <f>SUM(E3:J3)</f>
        <v>10775</v>
      </c>
      <c r="J5" s="1">
        <f>SUM(H1:M1)</f>
        <v>2450</v>
      </c>
      <c r="K5" s="1">
        <f>SUM(G1:N1)</f>
        <v>3100</v>
      </c>
      <c r="M5" s="1">
        <f>SUM(M1:R1)</f>
        <v>2450</v>
      </c>
    </row>
    <row r="6" spans="2:22" ht="18" hidden="1" customHeight="1" x14ac:dyDescent="0.15">
      <c r="E6" s="1">
        <f>SUM(J1:K1)</f>
        <v>650</v>
      </c>
      <c r="F6" s="1">
        <f>SUM(E1:G1)</f>
        <v>1115</v>
      </c>
      <c r="G6" s="1">
        <f>SUM(E1:H1)</f>
        <v>1800</v>
      </c>
      <c r="H6" s="1">
        <f>SUM(F3:J3)</f>
        <v>10125</v>
      </c>
      <c r="I6" s="1">
        <f>SUM(E4:J4)</f>
        <v>9370</v>
      </c>
      <c r="K6" s="1">
        <f>SUM(H1:O1)</f>
        <v>3460</v>
      </c>
    </row>
    <row r="7" spans="2:22" ht="18" hidden="1" customHeight="1" x14ac:dyDescent="0.15">
      <c r="E7" s="1">
        <f>SUM(E1:F1)</f>
        <v>790</v>
      </c>
      <c r="F7" s="1">
        <f>SUM(I1:K1)</f>
        <v>975</v>
      </c>
      <c r="G7" s="1">
        <f>SUM(F1:I1)</f>
        <v>1800</v>
      </c>
      <c r="H7" s="1">
        <f>SUM(F4:J4)</f>
        <v>8360</v>
      </c>
      <c r="K7" s="1">
        <f>SUM(H1:Q1)</f>
        <v>4110</v>
      </c>
      <c r="M7" s="35">
        <f>SUM(M1:R1)</f>
        <v>2450</v>
      </c>
      <c r="N7" s="1">
        <f>SUM(F1:N1)</f>
        <v>3565</v>
      </c>
    </row>
    <row r="8" spans="2:22" ht="18" hidden="1" customHeight="1" x14ac:dyDescent="0.15">
      <c r="E8" s="1">
        <f>SUM(K1)</f>
        <v>325</v>
      </c>
      <c r="G8" s="1">
        <f>SUM(G1:J1)</f>
        <v>1660</v>
      </c>
      <c r="H8" s="1">
        <f>SUM(F5:J5)</f>
        <v>16360</v>
      </c>
      <c r="K8" s="1">
        <f>SUM(H2:Q2)</f>
        <v>0</v>
      </c>
    </row>
    <row r="9" spans="2:22" ht="18" hidden="1" customHeight="1" x14ac:dyDescent="0.15">
      <c r="B9" s="1">
        <v>1131</v>
      </c>
      <c r="K9" s="1">
        <f>SUM(H3:Q3)</f>
        <v>38155</v>
      </c>
    </row>
    <row r="10" spans="2:22" ht="18" hidden="1" customHeight="1" x14ac:dyDescent="0.15">
      <c r="B10" s="1">
        <v>2583</v>
      </c>
      <c r="I10" s="1">
        <f>SUM(O1:P1)</f>
        <v>1010</v>
      </c>
      <c r="K10" s="1">
        <f>SUM(H4:Q4)</f>
        <v>35285</v>
      </c>
      <c r="M10" s="1">
        <f>SUM(I1:Q1)</f>
        <v>3425</v>
      </c>
      <c r="N10" s="1">
        <f>SUM(E1:O1)</f>
        <v>4575</v>
      </c>
    </row>
    <row r="11" spans="2:22" ht="18" hidden="1" customHeight="1" x14ac:dyDescent="0.15">
      <c r="B11" s="1">
        <v>4070</v>
      </c>
      <c r="K11" s="1">
        <f>SUM(H5:Q5)</f>
        <v>18775</v>
      </c>
      <c r="M11" s="1">
        <f>SUM(H1:Q1)</f>
        <v>4110</v>
      </c>
    </row>
    <row r="12" spans="2:22" ht="18" customHeight="1" x14ac:dyDescent="0.15"/>
    <row r="13" spans="2:22" s="1" customFormat="1" ht="18" customHeight="1" x14ac:dyDescent="0.2">
      <c r="B13" s="36" t="s">
        <v>11</v>
      </c>
      <c r="C13" s="37"/>
      <c r="D13" s="37"/>
      <c r="E13" s="37"/>
      <c r="F13" s="37"/>
      <c r="G13" s="37"/>
      <c r="H13" s="37"/>
      <c r="I13" s="37"/>
      <c r="J13" s="37"/>
      <c r="K13" s="37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</row>
    <row r="14" spans="2:22" s="1" customFormat="1" ht="18" customHeight="1" x14ac:dyDescent="0.2">
      <c r="B14" s="37" t="s">
        <v>12</v>
      </c>
      <c r="C14" s="37"/>
      <c r="D14" s="37"/>
      <c r="E14" s="37"/>
      <c r="F14" s="37"/>
      <c r="G14" s="37"/>
      <c r="H14" s="37"/>
      <c r="I14" s="37"/>
      <c r="J14" s="37"/>
      <c r="K14" s="37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</row>
    <row r="15" spans="2:22" s="1" customFormat="1" ht="18" customHeight="1" x14ac:dyDescent="0.2">
      <c r="B15" s="37" t="s">
        <v>13</v>
      </c>
      <c r="C15" s="37"/>
      <c r="D15" s="37"/>
      <c r="E15" s="37"/>
      <c r="F15" s="37"/>
      <c r="G15" s="37"/>
      <c r="H15" s="37"/>
      <c r="I15" s="37"/>
      <c r="J15" s="37"/>
      <c r="K15" s="37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</row>
    <row r="16" spans="2:22" s="1" customFormat="1" ht="18" customHeight="1" x14ac:dyDescent="0.2">
      <c r="B16" s="38" t="s">
        <v>84</v>
      </c>
      <c r="C16" s="37"/>
      <c r="D16" s="37"/>
      <c r="E16" s="37"/>
      <c r="F16" s="37"/>
      <c r="G16" s="37"/>
      <c r="H16" s="37"/>
      <c r="I16" s="37"/>
      <c r="J16" s="37"/>
      <c r="K16" s="37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</row>
    <row r="17" spans="2:25" s="1" customFormat="1" ht="18" customHeight="1" x14ac:dyDescent="0.2">
      <c r="B17" s="37" t="s">
        <v>16</v>
      </c>
      <c r="C17" s="37"/>
      <c r="D17" s="37"/>
      <c r="E17" s="37"/>
      <c r="F17" s="37"/>
      <c r="G17" s="37"/>
      <c r="H17" s="37"/>
      <c r="I17" s="37"/>
      <c r="J17" s="37"/>
      <c r="K17" s="37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</row>
    <row r="18" spans="2:25" s="1" customFormat="1" ht="18" customHeight="1" x14ac:dyDescent="0.2"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</row>
    <row r="19" spans="2:25" s="1" customFormat="1" ht="18" customHeight="1" x14ac:dyDescent="0.15">
      <c r="B19" s="173" t="s">
        <v>18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</row>
    <row r="20" spans="2:25" s="1" customFormat="1" ht="18" customHeight="1" x14ac:dyDescent="0.15">
      <c r="B20" s="173"/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</row>
    <row r="21" spans="2:25" s="1" customFormat="1" ht="18" customHeight="1" x14ac:dyDescent="0.2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</row>
    <row r="22" spans="2:25" s="1" customFormat="1" ht="18" customHeight="1" x14ac:dyDescent="0.2">
      <c r="B22" s="39" t="s">
        <v>19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</row>
    <row r="23" spans="2:25" s="1" customFormat="1" ht="18" customHeight="1" x14ac:dyDescent="0.2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</row>
    <row r="24" spans="2:25" s="1" customFormat="1" ht="18" customHeight="1" x14ac:dyDescent="0.2">
      <c r="B24" s="142" t="s">
        <v>20</v>
      </c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</row>
    <row r="25" spans="2:25" s="1" customFormat="1" ht="18" customHeight="1" x14ac:dyDescent="0.2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</row>
    <row r="26" spans="2:25" s="1" customFormat="1" ht="18" customHeight="1" x14ac:dyDescent="0.2">
      <c r="B26" s="144" t="s">
        <v>55</v>
      </c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5"/>
      <c r="N26" s="145"/>
      <c r="O26" s="145"/>
      <c r="P26" s="145"/>
      <c r="Q26" s="145"/>
      <c r="R26" s="145"/>
      <c r="S26" s="145"/>
      <c r="T26" s="145"/>
      <c r="U26" s="145"/>
      <c r="V26" s="145"/>
      <c r="W26" s="145"/>
      <c r="X26" s="145"/>
      <c r="Y26" s="145"/>
    </row>
    <row r="27" spans="2:25" ht="18" customHeight="1" x14ac:dyDescent="0.15"/>
    <row r="28" spans="2:25" ht="18" customHeight="1" x14ac:dyDescent="0.15"/>
    <row r="29" spans="2:25" ht="18" customHeight="1" x14ac:dyDescent="0.15"/>
    <row r="30" spans="2:25" ht="18" customHeight="1" x14ac:dyDescent="0.15">
      <c r="C30" s="40"/>
      <c r="D30" s="10"/>
      <c r="E30" s="12"/>
      <c r="F30" s="40"/>
      <c r="G30" s="7"/>
      <c r="H30" s="8"/>
      <c r="I30" s="9"/>
      <c r="J30" s="40"/>
      <c r="K30" s="40"/>
      <c r="L30" s="40"/>
      <c r="M30" s="40"/>
      <c r="N30" s="10"/>
      <c r="O30" s="12"/>
      <c r="P30" s="40"/>
      <c r="Q30" s="7"/>
      <c r="R30" s="8"/>
      <c r="S30" s="9"/>
      <c r="T30" s="40"/>
      <c r="U30" s="40"/>
      <c r="V30" s="40"/>
    </row>
    <row r="31" spans="2:25" ht="18" customHeight="1" x14ac:dyDescent="0.15">
      <c r="C31" s="43"/>
      <c r="D31" s="19"/>
      <c r="E31" s="21"/>
      <c r="F31" s="43"/>
      <c r="G31" s="16"/>
      <c r="H31" s="17"/>
      <c r="I31" s="18"/>
      <c r="J31" s="43"/>
      <c r="K31" s="43"/>
      <c r="L31" s="43"/>
      <c r="M31" s="43"/>
      <c r="N31" s="19"/>
      <c r="O31" s="21"/>
      <c r="P31" s="43"/>
      <c r="Q31" s="16"/>
      <c r="R31" s="17"/>
      <c r="S31" s="18"/>
      <c r="T31" s="43"/>
      <c r="U31" s="43"/>
      <c r="V31" s="43"/>
    </row>
    <row r="32" spans="2:25" ht="18" customHeight="1" x14ac:dyDescent="0.15">
      <c r="C32" s="44"/>
      <c r="D32" s="28"/>
      <c r="E32" s="30"/>
      <c r="F32" s="44"/>
      <c r="G32" s="25"/>
      <c r="H32" s="26"/>
      <c r="I32" s="27"/>
      <c r="J32" s="44"/>
      <c r="K32" s="44"/>
      <c r="L32" s="44"/>
      <c r="M32" s="44"/>
      <c r="N32" s="28"/>
      <c r="O32" s="30"/>
      <c r="P32" s="44"/>
      <c r="Q32" s="25"/>
      <c r="R32" s="26"/>
      <c r="S32" s="27"/>
      <c r="T32" s="44"/>
      <c r="U32" s="44"/>
      <c r="V32" s="44"/>
    </row>
    <row r="33" spans="3:22" ht="18" customHeight="1" x14ac:dyDescent="0.15"/>
    <row r="34" spans="3:22" ht="18" customHeight="1" x14ac:dyDescent="0.2">
      <c r="C34" s="48">
        <v>325</v>
      </c>
      <c r="D34" s="170">
        <v>465</v>
      </c>
      <c r="E34" s="170"/>
      <c r="F34" s="48">
        <v>325</v>
      </c>
      <c r="G34" s="170">
        <v>685</v>
      </c>
      <c r="H34" s="170"/>
      <c r="I34" s="170"/>
      <c r="J34" s="48">
        <v>325</v>
      </c>
      <c r="K34" s="48">
        <v>325</v>
      </c>
      <c r="L34" s="48">
        <v>325</v>
      </c>
      <c r="M34" s="49">
        <v>325</v>
      </c>
      <c r="N34" s="171">
        <v>465</v>
      </c>
      <c r="O34" s="171"/>
      <c r="P34" s="49">
        <v>325</v>
      </c>
      <c r="Q34" s="171">
        <v>685</v>
      </c>
      <c r="R34" s="171"/>
      <c r="S34" s="171"/>
      <c r="T34" s="49">
        <v>325</v>
      </c>
      <c r="U34" s="49">
        <v>325</v>
      </c>
      <c r="V34" s="49">
        <v>325</v>
      </c>
    </row>
    <row r="35" spans="3:22" ht="18" customHeight="1" x14ac:dyDescent="0.2">
      <c r="I35" s="32"/>
      <c r="J35" s="3"/>
      <c r="K35" s="3"/>
    </row>
    <row r="36" spans="3:22" ht="18" customHeight="1" x14ac:dyDescent="0.15">
      <c r="C36" s="67"/>
      <c r="D36" s="68"/>
      <c r="E36" s="68"/>
      <c r="F36" s="69"/>
      <c r="L36" s="67"/>
      <c r="M36" s="68"/>
      <c r="N36" s="68"/>
      <c r="O36" s="69"/>
    </row>
    <row r="37" spans="3:22" ht="18" customHeight="1" x14ac:dyDescent="0.2">
      <c r="C37" s="85" t="s">
        <v>23</v>
      </c>
      <c r="D37" s="86"/>
      <c r="E37" s="86"/>
      <c r="F37" s="87"/>
      <c r="L37" s="85" t="s">
        <v>23</v>
      </c>
      <c r="M37" s="86"/>
      <c r="N37" s="86"/>
      <c r="O37" s="87"/>
    </row>
    <row r="38" spans="3:22" ht="18" customHeight="1" x14ac:dyDescent="0.2">
      <c r="C38" s="100" t="s">
        <v>28</v>
      </c>
      <c r="D38" s="101"/>
      <c r="E38" s="101"/>
      <c r="F38" s="102"/>
      <c r="L38" s="100" t="s">
        <v>28</v>
      </c>
      <c r="M38" s="101"/>
      <c r="N38" s="101"/>
      <c r="O38" s="102"/>
    </row>
    <row r="39" spans="3:22" ht="18" customHeight="1" x14ac:dyDescent="0.15"/>
    <row r="40" spans="3:22" ht="18" customHeight="1" x14ac:dyDescent="0.15">
      <c r="M40" s="67"/>
      <c r="N40" s="68"/>
      <c r="O40" s="68"/>
      <c r="P40" s="69"/>
    </row>
    <row r="41" spans="3:22" ht="18" customHeight="1" x14ac:dyDescent="0.2">
      <c r="M41" s="85" t="s">
        <v>23</v>
      </c>
      <c r="N41" s="86"/>
      <c r="O41" s="86"/>
      <c r="P41" s="87"/>
    </row>
    <row r="42" spans="3:22" ht="18" customHeight="1" x14ac:dyDescent="0.2">
      <c r="M42" s="100" t="s">
        <v>28</v>
      </c>
      <c r="N42" s="101"/>
      <c r="O42" s="101"/>
      <c r="P42" s="102"/>
    </row>
    <row r="43" spans="3:22" ht="18" customHeight="1" x14ac:dyDescent="0.15"/>
    <row r="44" spans="3:22" ht="18" customHeight="1" x14ac:dyDescent="0.15">
      <c r="C44" s="67"/>
      <c r="D44" s="68"/>
      <c r="E44" s="68"/>
      <c r="F44" s="68"/>
      <c r="G44" s="68"/>
      <c r="H44" s="68"/>
      <c r="I44" s="68"/>
      <c r="J44" s="68"/>
      <c r="K44" s="69"/>
      <c r="M44" s="67"/>
      <c r="N44" s="68"/>
      <c r="O44" s="68"/>
      <c r="P44" s="68"/>
      <c r="Q44" s="68"/>
      <c r="R44" s="68"/>
      <c r="S44" s="68"/>
      <c r="T44" s="68"/>
      <c r="U44" s="69"/>
    </row>
    <row r="45" spans="3:22" ht="18" customHeight="1" x14ac:dyDescent="0.15">
      <c r="C45" s="113"/>
      <c r="D45" s="86"/>
      <c r="E45" s="86"/>
      <c r="F45" s="86"/>
      <c r="G45" s="86"/>
      <c r="H45" s="86"/>
      <c r="I45" s="86"/>
      <c r="J45" s="86"/>
      <c r="K45" s="87"/>
      <c r="M45" s="113"/>
      <c r="N45" s="86"/>
      <c r="O45" s="86"/>
      <c r="P45" s="86"/>
      <c r="Q45" s="86"/>
      <c r="R45" s="86"/>
      <c r="S45" s="86"/>
      <c r="T45" s="86"/>
      <c r="U45" s="87"/>
    </row>
    <row r="46" spans="3:22" ht="18" customHeight="1" x14ac:dyDescent="0.2">
      <c r="C46" s="115" t="s">
        <v>35</v>
      </c>
      <c r="D46" s="101"/>
      <c r="E46" s="101"/>
      <c r="F46" s="101"/>
      <c r="G46" s="101"/>
      <c r="H46" s="101"/>
      <c r="I46" s="101"/>
      <c r="J46" s="101"/>
      <c r="K46" s="102"/>
      <c r="M46" s="115" t="s">
        <v>35</v>
      </c>
      <c r="N46" s="101"/>
      <c r="O46" s="101"/>
      <c r="P46" s="101"/>
      <c r="Q46" s="101"/>
      <c r="R46" s="101"/>
      <c r="S46" s="101"/>
      <c r="T46" s="101"/>
      <c r="U46" s="102"/>
    </row>
    <row r="47" spans="3:22" ht="18" customHeight="1" x14ac:dyDescent="0.15"/>
    <row r="48" spans="3:22" ht="18" customHeight="1" x14ac:dyDescent="0.15">
      <c r="L48" s="67"/>
      <c r="M48" s="68"/>
      <c r="N48" s="68"/>
      <c r="O48" s="68"/>
      <c r="P48" s="68"/>
      <c r="Q48" s="68"/>
      <c r="R48" s="68"/>
      <c r="S48" s="68"/>
      <c r="T48" s="69"/>
    </row>
    <row r="49" spans="6:22" ht="18" customHeight="1" x14ac:dyDescent="0.15">
      <c r="L49" s="113"/>
      <c r="M49" s="86"/>
      <c r="N49" s="86"/>
      <c r="O49" s="86"/>
      <c r="P49" s="86"/>
      <c r="Q49" s="86"/>
      <c r="R49" s="86"/>
      <c r="S49" s="86"/>
      <c r="T49" s="87"/>
    </row>
    <row r="50" spans="6:22" ht="18" customHeight="1" x14ac:dyDescent="0.2">
      <c r="L50" s="115" t="s">
        <v>35</v>
      </c>
      <c r="M50" s="101"/>
      <c r="N50" s="101"/>
      <c r="O50" s="101"/>
      <c r="P50" s="101"/>
      <c r="Q50" s="101"/>
      <c r="R50" s="101"/>
      <c r="S50" s="101"/>
      <c r="T50" s="102"/>
    </row>
    <row r="51" spans="6:22" ht="18" customHeight="1" x14ac:dyDescent="0.15"/>
    <row r="52" spans="6:22" ht="18" customHeight="1" x14ac:dyDescent="0.15">
      <c r="K52" s="67"/>
      <c r="L52" s="68"/>
      <c r="M52" s="68"/>
      <c r="N52" s="68"/>
      <c r="O52" s="68"/>
      <c r="P52" s="68"/>
      <c r="Q52" s="68"/>
      <c r="R52" s="68"/>
      <c r="S52" s="69"/>
    </row>
    <row r="53" spans="6:22" ht="18" customHeight="1" x14ac:dyDescent="0.15">
      <c r="K53" s="113"/>
      <c r="L53" s="86"/>
      <c r="M53" s="86"/>
      <c r="N53" s="86"/>
      <c r="O53" s="86"/>
      <c r="P53" s="86"/>
      <c r="Q53" s="86"/>
      <c r="R53" s="86"/>
      <c r="S53" s="87"/>
    </row>
    <row r="54" spans="6:22" ht="18" customHeight="1" x14ac:dyDescent="0.2">
      <c r="K54" s="115" t="s">
        <v>35</v>
      </c>
      <c r="L54" s="101"/>
      <c r="M54" s="101"/>
      <c r="N54" s="101"/>
      <c r="O54" s="101"/>
      <c r="P54" s="101"/>
      <c r="Q54" s="101"/>
      <c r="R54" s="101"/>
      <c r="S54" s="102"/>
    </row>
    <row r="55" spans="6:22" ht="18" customHeight="1" x14ac:dyDescent="0.15"/>
    <row r="56" spans="6:22" ht="18" customHeight="1" x14ac:dyDescent="0.15">
      <c r="N56" s="67"/>
      <c r="O56" s="68"/>
      <c r="P56" s="68"/>
      <c r="Q56" s="68"/>
      <c r="R56" s="68"/>
      <c r="S56" s="68"/>
      <c r="T56" s="68"/>
      <c r="U56" s="68"/>
      <c r="V56" s="69"/>
    </row>
    <row r="57" spans="6:22" ht="18" customHeight="1" x14ac:dyDescent="0.15">
      <c r="N57" s="113"/>
      <c r="O57" s="86"/>
      <c r="P57" s="86"/>
      <c r="Q57" s="86"/>
      <c r="R57" s="86"/>
      <c r="S57" s="86"/>
      <c r="T57" s="86"/>
      <c r="U57" s="86"/>
      <c r="V57" s="87"/>
    </row>
    <row r="58" spans="6:22" ht="18" customHeight="1" x14ac:dyDescent="0.2">
      <c r="N58" s="115" t="s">
        <v>35</v>
      </c>
      <c r="O58" s="101"/>
      <c r="P58" s="101"/>
      <c r="Q58" s="101"/>
      <c r="R58" s="101"/>
      <c r="S58" s="101"/>
      <c r="T58" s="101"/>
      <c r="U58" s="101"/>
      <c r="V58" s="102"/>
    </row>
    <row r="59" spans="6:22" ht="18" customHeight="1" x14ac:dyDescent="0.15"/>
    <row r="60" spans="6:22" ht="18" customHeight="1" x14ac:dyDescent="0.15">
      <c r="F60" s="67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9"/>
    </row>
    <row r="61" spans="6:22" ht="18" customHeight="1" x14ac:dyDescent="0.15">
      <c r="F61" s="113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7"/>
    </row>
    <row r="62" spans="6:22" ht="18" customHeight="1" x14ac:dyDescent="0.2">
      <c r="F62" s="115" t="s">
        <v>42</v>
      </c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2"/>
    </row>
    <row r="63" spans="6:22" ht="18" customHeight="1" x14ac:dyDescent="0.15"/>
    <row r="64" spans="6:22" ht="18" customHeight="1" x14ac:dyDescent="0.15">
      <c r="G64" s="67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9"/>
    </row>
    <row r="65" spans="4:22" ht="18" customHeight="1" x14ac:dyDescent="0.15">
      <c r="G65" s="113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7"/>
    </row>
    <row r="66" spans="4:22" ht="18" customHeight="1" x14ac:dyDescent="0.2">
      <c r="G66" s="115" t="s">
        <v>42</v>
      </c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2"/>
    </row>
    <row r="67" spans="4:22" ht="18" customHeight="1" x14ac:dyDescent="0.15"/>
    <row r="68" spans="4:22" ht="18" customHeight="1" x14ac:dyDescent="0.15"/>
    <row r="69" spans="4:22" ht="18" customHeight="1" x14ac:dyDescent="0.2">
      <c r="D69" s="50">
        <v>2775</v>
      </c>
      <c r="E69" s="51" t="s">
        <v>38</v>
      </c>
      <c r="F69" s="50">
        <v>2775</v>
      </c>
      <c r="G69" s="51" t="s">
        <v>39</v>
      </c>
      <c r="H69" s="50">
        <f>C1</f>
        <v>5550</v>
      </c>
      <c r="I69" s="103" t="s">
        <v>22</v>
      </c>
    </row>
    <row r="70" spans="4:22" ht="18" customHeight="1" x14ac:dyDescent="0.2">
      <c r="D70" s="32"/>
      <c r="E70" s="32"/>
      <c r="F70" s="32"/>
      <c r="G70" s="32"/>
      <c r="H70" s="107">
        <v>2</v>
      </c>
      <c r="I70" s="32" t="s">
        <v>30</v>
      </c>
    </row>
    <row r="71" spans="4:22" ht="18" customHeight="1" x14ac:dyDescent="0.2">
      <c r="D71" s="32"/>
      <c r="E71" s="103"/>
      <c r="F71" s="32"/>
      <c r="G71" s="32"/>
      <c r="H71" s="107">
        <v>14</v>
      </c>
      <c r="I71" s="32" t="s">
        <v>32</v>
      </c>
    </row>
    <row r="72" spans="4:22" ht="18" customHeight="1" x14ac:dyDescent="0.2">
      <c r="D72" s="32"/>
      <c r="E72" s="32"/>
      <c r="F72" s="32"/>
      <c r="G72" s="32"/>
      <c r="H72" s="107">
        <v>14</v>
      </c>
      <c r="I72" s="32" t="s">
        <v>33</v>
      </c>
    </row>
    <row r="73" spans="4:22" ht="18" customHeight="1" x14ac:dyDescent="0.15"/>
    <row r="74" spans="4:22" ht="18" customHeight="1" x14ac:dyDescent="0.2">
      <c r="D74" s="32" t="s">
        <v>29</v>
      </c>
      <c r="E74" s="32"/>
      <c r="F74" s="32"/>
      <c r="G74" s="32"/>
      <c r="H74" s="32"/>
      <c r="I74" s="32"/>
      <c r="J74" s="32"/>
    </row>
    <row r="75" spans="4:22" ht="18" customHeight="1" x14ac:dyDescent="0.2">
      <c r="D75" s="32"/>
      <c r="E75" s="32"/>
      <c r="F75" s="32"/>
      <c r="G75" s="32"/>
      <c r="H75" s="32"/>
      <c r="I75" s="32"/>
      <c r="J75" s="32"/>
    </row>
    <row r="76" spans="4:22" ht="18" customHeight="1" x14ac:dyDescent="0.2">
      <c r="D76" s="32"/>
      <c r="E76" s="50">
        <v>8</v>
      </c>
      <c r="F76" s="130">
        <v>1115</v>
      </c>
      <c r="G76" s="130"/>
      <c r="H76" s="131">
        <v>0.103960396039604</v>
      </c>
      <c r="I76" s="130">
        <v>105</v>
      </c>
      <c r="J76" s="86"/>
      <c r="K76" s="132" t="s">
        <v>44</v>
      </c>
      <c r="L76" s="86"/>
      <c r="M76" s="86"/>
      <c r="N76" s="86"/>
      <c r="O76" s="86"/>
      <c r="P76" s="86"/>
      <c r="Q76" s="86"/>
    </row>
    <row r="77" spans="4:22" ht="18" customHeight="1" x14ac:dyDescent="0.2">
      <c r="D77" s="32"/>
      <c r="E77" s="50">
        <v>15</v>
      </c>
      <c r="F77" s="130">
        <v>2450</v>
      </c>
      <c r="G77" s="130"/>
      <c r="H77" s="131">
        <v>0.152941176470588</v>
      </c>
      <c r="I77" s="130">
        <v>325</v>
      </c>
      <c r="J77" s="136"/>
      <c r="K77" s="132" t="s">
        <v>35</v>
      </c>
      <c r="L77" s="86"/>
      <c r="M77" s="86"/>
      <c r="N77" s="86"/>
      <c r="O77" s="86"/>
      <c r="P77" s="86"/>
      <c r="Q77" s="86"/>
    </row>
    <row r="78" spans="4:22" ht="18" customHeight="1" x14ac:dyDescent="0.2">
      <c r="D78" s="32"/>
      <c r="E78" s="32">
        <v>16</v>
      </c>
      <c r="F78" s="50">
        <v>2775</v>
      </c>
      <c r="G78" s="32"/>
      <c r="H78" s="108" t="s">
        <v>31</v>
      </c>
      <c r="I78" s="108" t="s">
        <v>22</v>
      </c>
      <c r="J78" s="32"/>
    </row>
    <row r="79" spans="4:22" ht="18" customHeight="1" x14ac:dyDescent="0.2">
      <c r="D79" s="32"/>
      <c r="E79" s="32">
        <v>17</v>
      </c>
      <c r="F79" s="50">
        <v>3100</v>
      </c>
      <c r="G79" s="32"/>
      <c r="H79" s="109">
        <v>0.117117117117117</v>
      </c>
      <c r="I79" s="32">
        <v>325</v>
      </c>
      <c r="J79" s="32"/>
    </row>
    <row r="80" spans="4:22" ht="18" customHeight="1" x14ac:dyDescent="0.2">
      <c r="D80" s="32"/>
      <c r="E80" s="32">
        <v>18</v>
      </c>
      <c r="F80" s="50">
        <f>K4</f>
        <v>3240</v>
      </c>
      <c r="G80" s="32"/>
      <c r="H80" s="109">
        <f t="shared" ref="H80:H92" si="0">($F80-$F79)/$F79</f>
        <v>4.5161290322580643E-2</v>
      </c>
      <c r="I80" s="32">
        <f t="shared" ref="I80:I92" si="1">$F80-$F79</f>
        <v>140</v>
      </c>
      <c r="J80" s="32"/>
    </row>
    <row r="81" spans="3:17" ht="18" customHeight="1" x14ac:dyDescent="0.2">
      <c r="D81" s="32"/>
      <c r="E81" s="32">
        <v>19</v>
      </c>
      <c r="F81" s="50">
        <f>L4</f>
        <v>3425</v>
      </c>
      <c r="G81" s="32"/>
      <c r="H81" s="109">
        <f t="shared" si="0"/>
        <v>5.7098765432098762E-2</v>
      </c>
      <c r="I81" s="32">
        <f t="shared" si="1"/>
        <v>185</v>
      </c>
    </row>
    <row r="82" spans="3:17" ht="18" customHeight="1" x14ac:dyDescent="0.2">
      <c r="D82" s="32"/>
      <c r="E82" s="32">
        <v>20</v>
      </c>
      <c r="F82" s="50">
        <f>K6</f>
        <v>3460</v>
      </c>
      <c r="G82" s="32"/>
      <c r="H82" s="109">
        <f t="shared" si="0"/>
        <v>1.0218978102189781E-2</v>
      </c>
      <c r="I82" s="32">
        <f t="shared" si="1"/>
        <v>35</v>
      </c>
      <c r="J82" s="32"/>
    </row>
    <row r="83" spans="3:17" ht="18" customHeight="1" x14ac:dyDescent="0.2">
      <c r="C83" s="32"/>
      <c r="D83" s="32"/>
      <c r="E83" s="32">
        <v>21</v>
      </c>
      <c r="F83" s="50">
        <f>K11</f>
        <v>18775</v>
      </c>
      <c r="H83" s="109">
        <f t="shared" si="0"/>
        <v>4.4263005780346818</v>
      </c>
      <c r="I83" s="32">
        <f t="shared" si="1"/>
        <v>15315</v>
      </c>
    </row>
    <row r="84" spans="3:17" ht="18" customHeight="1" x14ac:dyDescent="0.2">
      <c r="D84" s="32"/>
      <c r="E84" s="32">
        <v>22</v>
      </c>
      <c r="F84" s="50">
        <f>K10</f>
        <v>35285</v>
      </c>
      <c r="G84" s="32"/>
      <c r="H84" s="109">
        <f t="shared" si="0"/>
        <v>0.87936085219707061</v>
      </c>
      <c r="I84" s="32">
        <f t="shared" si="1"/>
        <v>16510</v>
      </c>
      <c r="J84" s="32"/>
    </row>
    <row r="85" spans="3:17" ht="18" customHeight="1" x14ac:dyDescent="0.2">
      <c r="D85" s="32"/>
      <c r="E85" s="32">
        <v>23</v>
      </c>
      <c r="F85" s="50">
        <f>M3</f>
        <v>3890</v>
      </c>
      <c r="H85" s="109">
        <f t="shared" si="0"/>
        <v>-0.88975485333711213</v>
      </c>
      <c r="I85" s="32">
        <f t="shared" si="1"/>
        <v>-31395</v>
      </c>
      <c r="J85" s="32"/>
    </row>
    <row r="86" spans="3:17" ht="18" customHeight="1" x14ac:dyDescent="0.2">
      <c r="E86" s="32">
        <v>24</v>
      </c>
      <c r="F86" s="130">
        <f>K7</f>
        <v>4110</v>
      </c>
      <c r="G86" s="136"/>
      <c r="H86" s="131">
        <f t="shared" si="0"/>
        <v>5.6555269922879174E-2</v>
      </c>
      <c r="I86" s="136">
        <f t="shared" si="1"/>
        <v>220</v>
      </c>
      <c r="J86" s="136"/>
      <c r="K86" s="132" t="s">
        <v>42</v>
      </c>
      <c r="L86" s="86"/>
      <c r="M86" s="86"/>
      <c r="N86" s="86"/>
      <c r="O86" s="86"/>
      <c r="P86" s="86"/>
      <c r="Q86" s="86"/>
    </row>
    <row r="87" spans="3:17" ht="18" customHeight="1" x14ac:dyDescent="0.2">
      <c r="D87" s="32"/>
      <c r="E87" s="32">
        <v>25</v>
      </c>
      <c r="F87" s="50">
        <f>N4</f>
        <v>4435</v>
      </c>
      <c r="G87" s="32"/>
      <c r="H87" s="109">
        <f t="shared" si="0"/>
        <v>7.9075425790754258E-2</v>
      </c>
      <c r="I87" s="32">
        <f t="shared" si="1"/>
        <v>325</v>
      </c>
    </row>
    <row r="88" spans="3:17" ht="18" customHeight="1" x14ac:dyDescent="0.2">
      <c r="D88" s="32"/>
      <c r="E88" s="32">
        <v>26</v>
      </c>
      <c r="F88" s="50">
        <f>N3</f>
        <v>4575</v>
      </c>
      <c r="G88" s="32"/>
      <c r="H88" s="109">
        <f t="shared" si="0"/>
        <v>3.1567080045095827E-2</v>
      </c>
      <c r="I88" s="32">
        <f t="shared" si="1"/>
        <v>140</v>
      </c>
    </row>
    <row r="89" spans="3:17" ht="18" customHeight="1" x14ac:dyDescent="0.2">
      <c r="E89" s="32">
        <v>27</v>
      </c>
      <c r="F89" s="50">
        <f>O4</f>
        <v>4760</v>
      </c>
      <c r="G89" s="32"/>
      <c r="H89" s="109">
        <f t="shared" si="0"/>
        <v>4.0437158469945354E-2</v>
      </c>
      <c r="I89" s="32">
        <f t="shared" si="1"/>
        <v>185</v>
      </c>
      <c r="J89" s="32"/>
    </row>
    <row r="90" spans="3:17" ht="18" customHeight="1" x14ac:dyDescent="0.2">
      <c r="E90" s="32">
        <v>28</v>
      </c>
      <c r="F90" s="50">
        <f>O3</f>
        <v>4900</v>
      </c>
      <c r="G90" s="32"/>
      <c r="H90" s="109">
        <f t="shared" si="0"/>
        <v>2.9411764705882353E-2</v>
      </c>
      <c r="I90" s="32">
        <f t="shared" si="1"/>
        <v>140</v>
      </c>
      <c r="J90" s="32"/>
    </row>
    <row r="91" spans="3:17" ht="18" customHeight="1" x14ac:dyDescent="0.2">
      <c r="D91" s="32"/>
      <c r="E91" s="32">
        <v>29</v>
      </c>
      <c r="F91" s="50">
        <f>P3</f>
        <v>5225</v>
      </c>
      <c r="G91" s="32"/>
      <c r="H91" s="109">
        <f t="shared" si="0"/>
        <v>6.6326530612244902E-2</v>
      </c>
      <c r="I91" s="32">
        <f t="shared" si="1"/>
        <v>325</v>
      </c>
      <c r="J91" s="32"/>
    </row>
    <row r="92" spans="3:17" ht="18" customHeight="1" x14ac:dyDescent="0.2">
      <c r="E92" s="32">
        <v>30</v>
      </c>
      <c r="F92" s="50">
        <f>Q3</f>
        <v>5550</v>
      </c>
      <c r="H92" s="109">
        <f t="shared" si="0"/>
        <v>6.2200956937799042E-2</v>
      </c>
      <c r="I92" s="32">
        <f t="shared" si="1"/>
        <v>325</v>
      </c>
      <c r="J92" s="32"/>
    </row>
    <row r="93" spans="3:17" ht="18" customHeight="1" x14ac:dyDescent="0.15"/>
    <row r="94" spans="3:17" ht="18" customHeight="1" x14ac:dyDescent="0.2">
      <c r="E94" s="32">
        <f>E92</f>
        <v>30</v>
      </c>
      <c r="F94" s="32" t="s">
        <v>45</v>
      </c>
    </row>
    <row r="95" spans="3:17" ht="18" customHeight="1" x14ac:dyDescent="0.15"/>
    <row r="96" spans="3:17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5" ht="18" customHeight="1" x14ac:dyDescent="0.15"/>
    <row r="117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</sheetData>
  <mergeCells count="5">
    <mergeCell ref="D34:E34"/>
    <mergeCell ref="G34:I34"/>
    <mergeCell ref="N34:O34"/>
    <mergeCell ref="Q34:S34"/>
    <mergeCell ref="B19:Y20"/>
  </mergeCells>
  <pageMargins left="0.25" right="0.25" top="0.75" bottom="0.75" header="0.3" footer="0.3"/>
  <pageSetup paperSize="9" scale="39" orientation="portrait" useFirstPageNumber="1" horizontalDpi="300" verticalDpi="300"/>
  <headerFooter differentFirst="1">
    <oddHeader>&amp;C&amp;A</oddHeader>
    <oddFooter>&amp;CPage &amp;P</oddFooter>
  </headerFooter>
  <rowBreaks count="1" manualBreakCount="1">
    <brk id="3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C1:Y119"/>
  <sheetViews>
    <sheetView topLeftCell="B19" zoomScale="80" zoomScaleNormal="80" workbookViewId="0">
      <selection activeCell="I18" sqref="I18:Y54"/>
    </sheetView>
  </sheetViews>
  <sheetFormatPr baseColWidth="10" defaultColWidth="10.6640625" defaultRowHeight="13" x14ac:dyDescent="0.15"/>
  <sheetData>
    <row r="1" spans="3:25" x14ac:dyDescent="0.15"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3"/>
      <c r="Y1" s="162"/>
    </row>
    <row r="2" spans="3:25" s="164" customFormat="1" x14ac:dyDescent="0.15"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</row>
    <row r="3" spans="3:25" s="146" customFormat="1" ht="18" customHeight="1" x14ac:dyDescent="0.2">
      <c r="C3" s="37"/>
      <c r="D3" s="37"/>
      <c r="E3" s="37"/>
      <c r="F3" s="37"/>
      <c r="G3" s="37"/>
      <c r="H3" s="37"/>
      <c r="I3" s="36" t="s">
        <v>11</v>
      </c>
      <c r="J3" s="37"/>
      <c r="K3" s="37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</row>
    <row r="4" spans="3:25" s="146" customFormat="1" ht="18" customHeight="1" x14ac:dyDescent="0.2">
      <c r="C4" s="37"/>
      <c r="D4" s="37"/>
      <c r="E4" s="37"/>
      <c r="F4" s="37"/>
      <c r="G4" s="37"/>
      <c r="H4" s="37"/>
      <c r="I4" s="37" t="s">
        <v>12</v>
      </c>
      <c r="J4" s="37"/>
      <c r="K4" s="37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</row>
    <row r="5" spans="3:25" s="146" customFormat="1" ht="18" customHeight="1" x14ac:dyDescent="0.2">
      <c r="C5" s="37"/>
      <c r="D5" s="37"/>
      <c r="E5" s="37"/>
      <c r="F5" s="37"/>
      <c r="G5" s="37"/>
      <c r="H5" s="37"/>
      <c r="I5" s="37" t="s">
        <v>13</v>
      </c>
      <c r="J5" s="37"/>
      <c r="K5" s="37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</row>
    <row r="6" spans="3:25" s="146" customFormat="1" ht="18" customHeight="1" x14ac:dyDescent="0.2">
      <c r="C6" s="37"/>
      <c r="D6" s="37"/>
      <c r="E6" s="37"/>
      <c r="F6" s="37"/>
      <c r="G6" s="37"/>
      <c r="H6" s="37"/>
      <c r="I6" s="38" t="s">
        <v>15</v>
      </c>
      <c r="J6" s="37"/>
      <c r="K6" s="37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</row>
    <row r="7" spans="3:25" s="146" customFormat="1" ht="18" customHeight="1" x14ac:dyDescent="0.2">
      <c r="C7" s="37"/>
      <c r="D7" s="37"/>
      <c r="E7" s="37"/>
      <c r="F7" s="37"/>
      <c r="G7" s="37"/>
      <c r="H7" s="37"/>
      <c r="I7" s="37" t="s">
        <v>16</v>
      </c>
      <c r="J7" s="37"/>
      <c r="K7" s="37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</row>
    <row r="8" spans="3:25" s="146" customFormat="1" ht="18" customHeight="1" x14ac:dyDescent="0.2">
      <c r="C8" s="37"/>
      <c r="D8" s="37"/>
      <c r="E8" s="37"/>
      <c r="F8" s="37"/>
      <c r="G8" s="37"/>
      <c r="H8" s="37"/>
      <c r="I8" s="37"/>
      <c r="J8" s="37"/>
      <c r="K8" s="37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</row>
    <row r="9" spans="3:25" s="146" customFormat="1" ht="18" customHeight="1" x14ac:dyDescent="0.15">
      <c r="C9" s="161"/>
      <c r="D9" s="161"/>
      <c r="E9" s="161"/>
      <c r="F9" s="161"/>
      <c r="G9" s="161"/>
      <c r="H9" s="161"/>
      <c r="I9" s="173" t="s">
        <v>57</v>
      </c>
      <c r="J9" s="173"/>
      <c r="K9" s="173"/>
      <c r="L9" s="173"/>
      <c r="M9" s="173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</row>
    <row r="10" spans="3:25" s="146" customFormat="1" ht="18" customHeight="1" x14ac:dyDescent="0.15">
      <c r="C10" s="161"/>
      <c r="D10" s="161"/>
      <c r="E10" s="161"/>
      <c r="F10" s="161"/>
      <c r="G10" s="161"/>
      <c r="H10" s="161"/>
      <c r="I10" s="173"/>
      <c r="J10" s="173"/>
      <c r="K10" s="173"/>
      <c r="L10" s="173"/>
      <c r="M10" s="173"/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</row>
    <row r="11" spans="3:25" s="146" customFormat="1" ht="18" customHeight="1" x14ac:dyDescent="0.2"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</row>
    <row r="12" spans="3:25" s="146" customFormat="1" ht="18" customHeight="1" x14ac:dyDescent="0.2">
      <c r="C12" s="138"/>
      <c r="D12" s="138"/>
      <c r="E12" s="138"/>
      <c r="F12" s="138"/>
      <c r="G12" s="138"/>
      <c r="H12" s="138"/>
      <c r="I12" s="39" t="s">
        <v>19</v>
      </c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</row>
    <row r="13" spans="3:25" s="146" customFormat="1" ht="18" customHeight="1" x14ac:dyDescent="0.2"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</row>
    <row r="14" spans="3:25" s="146" customFormat="1" ht="18" customHeight="1" x14ac:dyDescent="0.2">
      <c r="C14" s="143"/>
      <c r="D14" s="143"/>
      <c r="E14" s="143"/>
      <c r="F14" s="143"/>
      <c r="G14" s="143"/>
      <c r="H14" s="143"/>
      <c r="I14" s="142" t="s">
        <v>20</v>
      </c>
      <c r="J14" s="143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</row>
    <row r="15" spans="3:25" s="146" customFormat="1" ht="18" customHeight="1" x14ac:dyDescent="0.2"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</row>
    <row r="18" spans="3:8" x14ac:dyDescent="0.15">
      <c r="D18" t="s">
        <v>56</v>
      </c>
      <c r="E18" s="160" t="s">
        <v>31</v>
      </c>
      <c r="H18" t="s">
        <v>22</v>
      </c>
    </row>
    <row r="19" spans="3:8" ht="18" x14ac:dyDescent="0.2">
      <c r="C19">
        <v>0</v>
      </c>
      <c r="D19">
        <v>325</v>
      </c>
      <c r="E19" s="50">
        <v>325</v>
      </c>
      <c r="F19">
        <v>0</v>
      </c>
      <c r="G19" s="32">
        <v>1</v>
      </c>
    </row>
    <row r="20" spans="3:8" ht="18" x14ac:dyDescent="0.2">
      <c r="C20">
        <v>1</v>
      </c>
      <c r="D20">
        <v>465</v>
      </c>
      <c r="E20" s="50">
        <f>$E19*G20</f>
        <v>650</v>
      </c>
      <c r="F20" s="160">
        <v>0.43076923076923102</v>
      </c>
      <c r="G20" s="32">
        <v>2</v>
      </c>
    </row>
    <row r="21" spans="3:8" ht="18" x14ac:dyDescent="0.2">
      <c r="C21">
        <v>2</v>
      </c>
      <c r="D21">
        <v>650</v>
      </c>
      <c r="E21" s="50">
        <f>$E19*G21</f>
        <v>975</v>
      </c>
      <c r="F21" s="160">
        <v>0.39784946236559099</v>
      </c>
      <c r="G21" s="32">
        <v>3</v>
      </c>
    </row>
    <row r="22" spans="3:8" ht="18" x14ac:dyDescent="0.2">
      <c r="C22">
        <v>3</v>
      </c>
      <c r="D22">
        <v>685</v>
      </c>
      <c r="E22" s="50">
        <f>$E19*G22</f>
        <v>1300</v>
      </c>
      <c r="F22" s="160">
        <v>5.3846153846153898E-2</v>
      </c>
      <c r="G22" s="32">
        <v>4</v>
      </c>
    </row>
    <row r="23" spans="3:8" ht="18" x14ac:dyDescent="0.2">
      <c r="C23">
        <v>4</v>
      </c>
      <c r="D23">
        <v>790</v>
      </c>
      <c r="E23" s="50">
        <f>$E19*G23</f>
        <v>1625</v>
      </c>
      <c r="F23" s="160">
        <v>0.153284671532847</v>
      </c>
      <c r="G23" s="32">
        <v>5</v>
      </c>
    </row>
    <row r="24" spans="3:8" ht="18" x14ac:dyDescent="0.2">
      <c r="C24">
        <v>5</v>
      </c>
      <c r="D24">
        <v>975</v>
      </c>
      <c r="E24" s="50">
        <f>$E19*G24</f>
        <v>1950</v>
      </c>
      <c r="F24" s="160">
        <v>0.234177215189873</v>
      </c>
      <c r="G24" s="32">
        <v>6</v>
      </c>
    </row>
    <row r="25" spans="3:8" ht="18" x14ac:dyDescent="0.2">
      <c r="C25">
        <v>6</v>
      </c>
      <c r="D25">
        <v>1010</v>
      </c>
      <c r="E25" s="50">
        <f>$E19*G25</f>
        <v>2275</v>
      </c>
      <c r="F25" s="160">
        <v>3.5897435897435902E-2</v>
      </c>
      <c r="G25" s="32">
        <v>7</v>
      </c>
    </row>
    <row r="26" spans="3:8" ht="18" x14ac:dyDescent="0.2">
      <c r="C26">
        <v>7</v>
      </c>
      <c r="D26">
        <v>1115</v>
      </c>
      <c r="E26" s="50">
        <f>$E19*G26</f>
        <v>2600</v>
      </c>
      <c r="F26" s="160">
        <v>0.103960396039604</v>
      </c>
      <c r="G26" s="32">
        <v>8</v>
      </c>
    </row>
    <row r="27" spans="3:8" ht="18" x14ac:dyDescent="0.2">
      <c r="C27">
        <v>8</v>
      </c>
      <c r="D27">
        <v>1335</v>
      </c>
      <c r="E27" s="50">
        <f>$E19*G27</f>
        <v>2925</v>
      </c>
      <c r="F27" s="160">
        <v>0.19730941704035901</v>
      </c>
      <c r="G27" s="32">
        <v>9</v>
      </c>
    </row>
    <row r="28" spans="3:8" ht="18" x14ac:dyDescent="0.2">
      <c r="C28">
        <v>9</v>
      </c>
      <c r="D28">
        <v>1440</v>
      </c>
      <c r="E28" s="50">
        <f>$E19*G28</f>
        <v>3250</v>
      </c>
      <c r="F28" s="160">
        <v>7.8651685393258397E-2</v>
      </c>
      <c r="G28" s="32">
        <v>10</v>
      </c>
    </row>
    <row r="29" spans="3:8" ht="18" x14ac:dyDescent="0.2">
      <c r="C29">
        <v>10</v>
      </c>
      <c r="D29">
        <v>1475</v>
      </c>
      <c r="E29" s="50">
        <f>$E19*G29</f>
        <v>3575</v>
      </c>
      <c r="F29" s="160">
        <v>2.4305555555555601E-2</v>
      </c>
      <c r="G29" s="32">
        <v>11</v>
      </c>
    </row>
    <row r="30" spans="3:8" ht="18" x14ac:dyDescent="0.2">
      <c r="C30">
        <v>11</v>
      </c>
      <c r="D30">
        <v>1660</v>
      </c>
      <c r="E30" s="50">
        <f>$E19*G30</f>
        <v>3900</v>
      </c>
      <c r="F30" s="160">
        <v>0.12542372881355901</v>
      </c>
      <c r="G30" s="32">
        <v>12</v>
      </c>
    </row>
    <row r="31" spans="3:8" ht="18" x14ac:dyDescent="0.2">
      <c r="C31">
        <v>12</v>
      </c>
      <c r="D31">
        <v>1800</v>
      </c>
      <c r="E31" s="50">
        <f>$E19*G31</f>
        <v>4225</v>
      </c>
      <c r="F31" s="160">
        <v>8.4337349397590397E-2</v>
      </c>
      <c r="G31" s="32">
        <v>13</v>
      </c>
    </row>
    <row r="32" spans="3:8" ht="18" x14ac:dyDescent="0.2">
      <c r="C32">
        <v>13</v>
      </c>
      <c r="D32">
        <v>2090</v>
      </c>
      <c r="E32" s="50">
        <f>$E19*G32</f>
        <v>4550</v>
      </c>
      <c r="F32" s="160">
        <v>0.16111111111111101</v>
      </c>
      <c r="G32" s="32">
        <v>14</v>
      </c>
    </row>
    <row r="33" spans="3:8" ht="18" x14ac:dyDescent="0.2">
      <c r="C33">
        <v>14</v>
      </c>
      <c r="D33">
        <v>2125</v>
      </c>
      <c r="E33" s="50">
        <f>$E19*G33</f>
        <v>4875</v>
      </c>
      <c r="F33" s="160">
        <v>1.67464114832536E-2</v>
      </c>
      <c r="G33" s="32">
        <v>15</v>
      </c>
    </row>
    <row r="34" spans="3:8" ht="18" x14ac:dyDescent="0.2">
      <c r="C34">
        <v>15</v>
      </c>
      <c r="D34">
        <v>2450</v>
      </c>
      <c r="E34" s="50">
        <f>$E19*G34</f>
        <v>5200</v>
      </c>
      <c r="F34" s="160">
        <v>0.152941176470588</v>
      </c>
      <c r="G34" s="32">
        <v>16</v>
      </c>
    </row>
    <row r="35" spans="3:8" ht="18" x14ac:dyDescent="0.2">
      <c r="C35">
        <v>16</v>
      </c>
      <c r="D35">
        <v>2915</v>
      </c>
      <c r="E35" s="50">
        <f>$E19*G35</f>
        <v>5525</v>
      </c>
      <c r="F35" s="160">
        <v>0.18979591836734699</v>
      </c>
      <c r="G35" s="32">
        <v>17</v>
      </c>
    </row>
    <row r="36" spans="3:8" ht="18" x14ac:dyDescent="0.2">
      <c r="C36">
        <v>17</v>
      </c>
      <c r="D36">
        <v>3100</v>
      </c>
      <c r="E36" s="50">
        <f>$E19*G36</f>
        <v>5850</v>
      </c>
      <c r="F36" s="160">
        <v>6.3464837049742706E-2</v>
      </c>
      <c r="G36" s="32">
        <v>18</v>
      </c>
    </row>
    <row r="37" spans="3:8" ht="18" x14ac:dyDescent="0.2">
      <c r="C37">
        <v>18</v>
      </c>
      <c r="D37">
        <v>3240</v>
      </c>
      <c r="E37" s="50">
        <f>$E19*G37</f>
        <v>6175</v>
      </c>
      <c r="F37" s="160">
        <v>4.5161290322580601E-2</v>
      </c>
      <c r="G37" s="32">
        <v>19</v>
      </c>
    </row>
    <row r="38" spans="3:8" ht="18" x14ac:dyDescent="0.2">
      <c r="C38">
        <v>19</v>
      </c>
      <c r="D38">
        <v>3565</v>
      </c>
      <c r="E38" s="50">
        <f>$E19*G38</f>
        <v>6500</v>
      </c>
      <c r="F38" s="160">
        <v>0.100308641975309</v>
      </c>
      <c r="G38" s="32">
        <v>20</v>
      </c>
    </row>
    <row r="39" spans="3:8" ht="18" x14ac:dyDescent="0.2">
      <c r="C39">
        <v>20</v>
      </c>
      <c r="D39">
        <v>3890</v>
      </c>
      <c r="E39" s="50">
        <f>$E19*G39</f>
        <v>6825</v>
      </c>
      <c r="F39" s="160">
        <v>9.1164095371669002E-2</v>
      </c>
      <c r="G39" s="32">
        <v>21</v>
      </c>
    </row>
    <row r="40" spans="3:8" ht="18" x14ac:dyDescent="0.2">
      <c r="C40">
        <v>21</v>
      </c>
      <c r="D40">
        <v>3785</v>
      </c>
      <c r="E40" s="50">
        <f>$E19*G40</f>
        <v>7150</v>
      </c>
      <c r="F40" s="160">
        <v>6.1711079943899003E-2</v>
      </c>
      <c r="G40" s="32">
        <v>22</v>
      </c>
    </row>
    <row r="41" spans="3:8" ht="18" x14ac:dyDescent="0.2">
      <c r="C41">
        <v>22</v>
      </c>
      <c r="D41">
        <v>3890</v>
      </c>
      <c r="E41" s="50">
        <f>$E19*G41</f>
        <v>7475</v>
      </c>
      <c r="F41" s="160">
        <v>2.77410832232497E-2</v>
      </c>
      <c r="G41" s="32">
        <v>23</v>
      </c>
    </row>
    <row r="42" spans="3:8" ht="18" x14ac:dyDescent="0.2">
      <c r="C42">
        <v>23</v>
      </c>
      <c r="D42">
        <v>4110</v>
      </c>
      <c r="E42" s="50">
        <f>$E19*G42</f>
        <v>7800</v>
      </c>
      <c r="F42" s="160">
        <v>5.6555269922879202E-2</v>
      </c>
      <c r="G42" s="32">
        <v>24</v>
      </c>
    </row>
    <row r="43" spans="3:8" ht="18" x14ac:dyDescent="0.2">
      <c r="C43">
        <v>24</v>
      </c>
      <c r="D43">
        <v>4435</v>
      </c>
      <c r="E43" s="50">
        <f>$E19*G43</f>
        <v>8125</v>
      </c>
      <c r="F43" s="160">
        <v>7.90754257907543E-2</v>
      </c>
      <c r="G43" s="32">
        <v>25</v>
      </c>
    </row>
    <row r="44" spans="3:8" ht="18" x14ac:dyDescent="0.2">
      <c r="C44">
        <v>25</v>
      </c>
      <c r="D44">
        <v>4575</v>
      </c>
      <c r="E44" s="50">
        <f>$E19*G44</f>
        <v>8450</v>
      </c>
      <c r="F44" s="160">
        <v>3.1567080045095799E-2</v>
      </c>
      <c r="G44" s="32">
        <v>26</v>
      </c>
    </row>
    <row r="45" spans="3:8" ht="18" x14ac:dyDescent="0.2">
      <c r="C45">
        <v>26</v>
      </c>
      <c r="D45">
        <v>4760</v>
      </c>
      <c r="F45" s="160">
        <v>4.0437158469945403E-2</v>
      </c>
      <c r="G45" s="32"/>
      <c r="H45" s="50"/>
    </row>
    <row r="46" spans="3:8" x14ac:dyDescent="0.15">
      <c r="C46">
        <v>27</v>
      </c>
      <c r="D46">
        <v>4900</v>
      </c>
      <c r="F46" s="160">
        <v>2.9411764705882401E-2</v>
      </c>
    </row>
    <row r="47" spans="3:8" x14ac:dyDescent="0.15">
      <c r="C47">
        <v>28</v>
      </c>
      <c r="D47">
        <v>5225</v>
      </c>
      <c r="F47" s="160">
        <v>6.6326530612244902E-2</v>
      </c>
    </row>
    <row r="48" spans="3:8" x14ac:dyDescent="0.15">
      <c r="C48">
        <v>29</v>
      </c>
      <c r="D48">
        <v>5550</v>
      </c>
      <c r="F48" s="160">
        <v>6.2200956937799E-2</v>
      </c>
    </row>
    <row r="49" spans="3:6" x14ac:dyDescent="0.15">
      <c r="C49">
        <v>30</v>
      </c>
      <c r="D49">
        <v>5875</v>
      </c>
      <c r="F49" s="160">
        <v>5.8558558558558599E-2</v>
      </c>
    </row>
    <row r="50" spans="3:6" x14ac:dyDescent="0.15">
      <c r="C50">
        <v>31</v>
      </c>
      <c r="D50">
        <v>6200</v>
      </c>
      <c r="F50" s="160">
        <v>5.5319148936170202E-2</v>
      </c>
    </row>
    <row r="51" spans="3:6" x14ac:dyDescent="0.15">
      <c r="C51">
        <v>32</v>
      </c>
      <c r="D51">
        <v>6340</v>
      </c>
      <c r="F51" s="160">
        <v>2.25806451612903E-2</v>
      </c>
    </row>
    <row r="52" spans="3:6" x14ac:dyDescent="0.15">
      <c r="C52">
        <v>33</v>
      </c>
      <c r="D52">
        <v>6525</v>
      </c>
      <c r="F52" s="160">
        <v>2.9179810725552102E-2</v>
      </c>
    </row>
    <row r="53" spans="3:6" x14ac:dyDescent="0.15">
      <c r="C53">
        <v>34</v>
      </c>
      <c r="D53">
        <v>6665</v>
      </c>
      <c r="F53" s="160">
        <v>2.1455938697317999E-2</v>
      </c>
    </row>
    <row r="54" spans="3:6" x14ac:dyDescent="0.15">
      <c r="C54">
        <v>35</v>
      </c>
      <c r="D54">
        <v>6885</v>
      </c>
      <c r="F54" s="160">
        <v>3.3008252063015803E-2</v>
      </c>
    </row>
    <row r="55" spans="3:6" x14ac:dyDescent="0.15">
      <c r="C55">
        <v>36</v>
      </c>
      <c r="D55">
        <v>7210</v>
      </c>
      <c r="F55" s="160">
        <v>4.720406681191E-2</v>
      </c>
    </row>
    <row r="56" spans="3:6" x14ac:dyDescent="0.15">
      <c r="C56">
        <v>37</v>
      </c>
      <c r="D56">
        <v>7350</v>
      </c>
      <c r="F56" s="160">
        <v>1.94174757281553E-2</v>
      </c>
    </row>
    <row r="57" spans="3:6" x14ac:dyDescent="0.15">
      <c r="C57">
        <v>38</v>
      </c>
      <c r="D57">
        <v>7535</v>
      </c>
      <c r="F57" s="160">
        <v>2.5170068027210901E-2</v>
      </c>
    </row>
    <row r="58" spans="3:6" x14ac:dyDescent="0.15">
      <c r="C58">
        <v>39</v>
      </c>
      <c r="D58">
        <v>7675</v>
      </c>
      <c r="F58" s="160">
        <v>1.8579960185799601E-2</v>
      </c>
    </row>
    <row r="59" spans="3:6" x14ac:dyDescent="0.15">
      <c r="C59">
        <v>40</v>
      </c>
      <c r="D59">
        <v>8000</v>
      </c>
      <c r="F59" s="160">
        <v>4.2345276872964202E-2</v>
      </c>
    </row>
    <row r="60" spans="3:6" x14ac:dyDescent="0.15">
      <c r="C60">
        <v>41</v>
      </c>
      <c r="D60">
        <v>8325</v>
      </c>
      <c r="F60" s="160">
        <v>4.0625000000000001E-2</v>
      </c>
    </row>
    <row r="61" spans="3:6" x14ac:dyDescent="0.15">
      <c r="C61">
        <v>42</v>
      </c>
    </row>
    <row r="77" spans="3:22" x14ac:dyDescent="0.15">
      <c r="C77">
        <v>1</v>
      </c>
      <c r="D77">
        <v>325</v>
      </c>
    </row>
    <row r="78" spans="3:22" x14ac:dyDescent="0.15">
      <c r="C78">
        <v>2</v>
      </c>
      <c r="D78">
        <v>465</v>
      </c>
      <c r="U78">
        <v>0</v>
      </c>
      <c r="V78">
        <v>325</v>
      </c>
    </row>
    <row r="79" spans="3:22" x14ac:dyDescent="0.15">
      <c r="C79">
        <v>3</v>
      </c>
      <c r="D79">
        <v>650</v>
      </c>
      <c r="U79">
        <v>140</v>
      </c>
      <c r="V79">
        <v>465</v>
      </c>
    </row>
    <row r="80" spans="3:22" x14ac:dyDescent="0.15">
      <c r="C80">
        <v>4</v>
      </c>
      <c r="D80">
        <v>685</v>
      </c>
      <c r="U80">
        <v>185</v>
      </c>
      <c r="V80">
        <v>650</v>
      </c>
    </row>
    <row r="81" spans="3:22" x14ac:dyDescent="0.15">
      <c r="C81">
        <v>5</v>
      </c>
      <c r="D81">
        <v>790</v>
      </c>
      <c r="U81">
        <v>35</v>
      </c>
      <c r="V81">
        <v>685</v>
      </c>
    </row>
    <row r="82" spans="3:22" x14ac:dyDescent="0.15">
      <c r="C82">
        <v>6</v>
      </c>
      <c r="D82">
        <v>975</v>
      </c>
      <c r="U82">
        <v>105</v>
      </c>
      <c r="V82">
        <v>790</v>
      </c>
    </row>
    <row r="83" spans="3:22" x14ac:dyDescent="0.15">
      <c r="C83">
        <v>7</v>
      </c>
      <c r="D83">
        <v>1010</v>
      </c>
      <c r="U83">
        <v>185</v>
      </c>
      <c r="V83">
        <v>975</v>
      </c>
    </row>
    <row r="84" spans="3:22" x14ac:dyDescent="0.15">
      <c r="C84">
        <v>8</v>
      </c>
      <c r="D84">
        <v>1115</v>
      </c>
      <c r="U84">
        <v>35</v>
      </c>
      <c r="V84">
        <v>1010</v>
      </c>
    </row>
    <row r="85" spans="3:22" x14ac:dyDescent="0.15">
      <c r="C85">
        <v>9</v>
      </c>
      <c r="D85">
        <v>1335</v>
      </c>
      <c r="U85">
        <v>105</v>
      </c>
      <c r="V85">
        <v>1115</v>
      </c>
    </row>
    <row r="86" spans="3:22" x14ac:dyDescent="0.15">
      <c r="C86">
        <v>10</v>
      </c>
      <c r="D86">
        <v>1440</v>
      </c>
      <c r="U86">
        <v>220</v>
      </c>
      <c r="V86">
        <v>1335</v>
      </c>
    </row>
    <row r="87" spans="3:22" x14ac:dyDescent="0.15">
      <c r="C87">
        <v>11</v>
      </c>
      <c r="D87">
        <v>1475</v>
      </c>
      <c r="U87">
        <v>105</v>
      </c>
      <c r="V87">
        <v>1440</v>
      </c>
    </row>
    <row r="88" spans="3:22" x14ac:dyDescent="0.15">
      <c r="C88">
        <v>12</v>
      </c>
      <c r="D88">
        <v>1660</v>
      </c>
      <c r="U88">
        <v>35</v>
      </c>
      <c r="V88">
        <v>1475</v>
      </c>
    </row>
    <row r="89" spans="3:22" x14ac:dyDescent="0.15">
      <c r="C89">
        <v>13</v>
      </c>
      <c r="D89">
        <v>1800</v>
      </c>
      <c r="U89">
        <v>185</v>
      </c>
      <c r="V89">
        <v>1660</v>
      </c>
    </row>
    <row r="90" spans="3:22" x14ac:dyDescent="0.15">
      <c r="C90">
        <v>14</v>
      </c>
      <c r="D90">
        <v>2090</v>
      </c>
      <c r="U90">
        <v>140</v>
      </c>
      <c r="V90">
        <v>1800</v>
      </c>
    </row>
    <row r="91" spans="3:22" x14ac:dyDescent="0.15">
      <c r="C91">
        <v>15</v>
      </c>
      <c r="D91">
        <v>2125</v>
      </c>
      <c r="U91">
        <v>290</v>
      </c>
      <c r="V91">
        <v>2090</v>
      </c>
    </row>
    <row r="92" spans="3:22" x14ac:dyDescent="0.15">
      <c r="C92">
        <v>16</v>
      </c>
      <c r="D92">
        <v>2450</v>
      </c>
      <c r="U92">
        <v>35</v>
      </c>
      <c r="V92">
        <v>2125</v>
      </c>
    </row>
    <row r="93" spans="3:22" x14ac:dyDescent="0.15">
      <c r="C93">
        <v>17</v>
      </c>
      <c r="D93">
        <v>2915</v>
      </c>
      <c r="U93">
        <v>325</v>
      </c>
      <c r="V93">
        <v>2450</v>
      </c>
    </row>
    <row r="94" spans="3:22" x14ac:dyDescent="0.15">
      <c r="C94">
        <v>18</v>
      </c>
      <c r="D94">
        <v>3100</v>
      </c>
      <c r="U94">
        <v>465</v>
      </c>
      <c r="V94">
        <v>2915</v>
      </c>
    </row>
    <row r="95" spans="3:22" x14ac:dyDescent="0.15">
      <c r="C95">
        <v>19</v>
      </c>
      <c r="D95">
        <v>3240</v>
      </c>
      <c r="U95">
        <v>185</v>
      </c>
      <c r="V95">
        <v>3100</v>
      </c>
    </row>
    <row r="96" spans="3:22" x14ac:dyDescent="0.15">
      <c r="C96">
        <v>20</v>
      </c>
      <c r="D96">
        <v>3565</v>
      </c>
      <c r="U96">
        <v>140</v>
      </c>
      <c r="V96">
        <v>3240</v>
      </c>
    </row>
    <row r="97" spans="3:22" x14ac:dyDescent="0.15">
      <c r="C97">
        <v>21</v>
      </c>
      <c r="D97">
        <v>3890</v>
      </c>
      <c r="U97">
        <v>325</v>
      </c>
      <c r="V97">
        <v>3565</v>
      </c>
    </row>
    <row r="98" spans="3:22" x14ac:dyDescent="0.15">
      <c r="C98">
        <v>22</v>
      </c>
      <c r="D98">
        <v>3785</v>
      </c>
      <c r="U98">
        <v>325</v>
      </c>
      <c r="V98">
        <v>3890</v>
      </c>
    </row>
    <row r="99" spans="3:22" x14ac:dyDescent="0.15">
      <c r="C99">
        <v>23</v>
      </c>
      <c r="D99">
        <v>3890</v>
      </c>
      <c r="U99">
        <v>220</v>
      </c>
      <c r="V99">
        <v>3785</v>
      </c>
    </row>
    <row r="100" spans="3:22" x14ac:dyDescent="0.15">
      <c r="C100">
        <v>24</v>
      </c>
      <c r="D100">
        <v>4110</v>
      </c>
      <c r="U100">
        <v>105</v>
      </c>
      <c r="V100">
        <v>3890</v>
      </c>
    </row>
    <row r="101" spans="3:22" x14ac:dyDescent="0.15">
      <c r="C101">
        <v>25</v>
      </c>
      <c r="D101">
        <v>4435</v>
      </c>
      <c r="U101">
        <v>220</v>
      </c>
      <c r="V101">
        <v>4110</v>
      </c>
    </row>
    <row r="102" spans="3:22" x14ac:dyDescent="0.15">
      <c r="C102">
        <v>26</v>
      </c>
      <c r="D102">
        <v>4575</v>
      </c>
      <c r="U102">
        <v>325</v>
      </c>
      <c r="V102">
        <v>4435</v>
      </c>
    </row>
    <row r="103" spans="3:22" x14ac:dyDescent="0.15">
      <c r="C103">
        <v>27</v>
      </c>
      <c r="D103">
        <v>4760</v>
      </c>
      <c r="U103">
        <v>140</v>
      </c>
      <c r="V103">
        <v>4575</v>
      </c>
    </row>
    <row r="104" spans="3:22" x14ac:dyDescent="0.15">
      <c r="C104">
        <v>28</v>
      </c>
      <c r="D104">
        <v>4900</v>
      </c>
      <c r="U104">
        <v>185</v>
      </c>
      <c r="V104">
        <v>4760</v>
      </c>
    </row>
    <row r="105" spans="3:22" x14ac:dyDescent="0.15">
      <c r="C105">
        <v>29</v>
      </c>
      <c r="D105">
        <v>5225</v>
      </c>
      <c r="U105">
        <v>140</v>
      </c>
      <c r="V105">
        <v>4900</v>
      </c>
    </row>
    <row r="106" spans="3:22" x14ac:dyDescent="0.15">
      <c r="C106">
        <v>30</v>
      </c>
      <c r="D106">
        <v>5550</v>
      </c>
      <c r="U106">
        <v>325</v>
      </c>
      <c r="V106">
        <v>5225</v>
      </c>
    </row>
    <row r="107" spans="3:22" x14ac:dyDescent="0.15">
      <c r="C107">
        <v>31</v>
      </c>
      <c r="D107">
        <v>5875</v>
      </c>
      <c r="U107">
        <v>325</v>
      </c>
      <c r="V107">
        <v>5550</v>
      </c>
    </row>
    <row r="108" spans="3:22" x14ac:dyDescent="0.15">
      <c r="C108">
        <v>32</v>
      </c>
      <c r="D108">
        <v>6200</v>
      </c>
      <c r="U108">
        <v>325</v>
      </c>
      <c r="V108">
        <v>5875</v>
      </c>
    </row>
    <row r="109" spans="3:22" x14ac:dyDescent="0.15">
      <c r="C109">
        <v>33</v>
      </c>
      <c r="D109">
        <v>6340</v>
      </c>
      <c r="U109">
        <v>325</v>
      </c>
      <c r="V109">
        <v>6200</v>
      </c>
    </row>
    <row r="110" spans="3:22" x14ac:dyDescent="0.15">
      <c r="C110">
        <v>34</v>
      </c>
      <c r="D110">
        <v>6525</v>
      </c>
      <c r="U110">
        <v>140</v>
      </c>
      <c r="V110">
        <v>6340</v>
      </c>
    </row>
    <row r="111" spans="3:22" x14ac:dyDescent="0.15">
      <c r="C111">
        <v>35</v>
      </c>
      <c r="D111">
        <v>6665</v>
      </c>
      <c r="U111">
        <v>185</v>
      </c>
      <c r="V111">
        <v>6525</v>
      </c>
    </row>
    <row r="112" spans="3:22" x14ac:dyDescent="0.15">
      <c r="C112">
        <v>36</v>
      </c>
      <c r="D112">
        <v>6885</v>
      </c>
      <c r="U112">
        <v>140</v>
      </c>
      <c r="V112">
        <v>6665</v>
      </c>
    </row>
    <row r="113" spans="3:22" x14ac:dyDescent="0.15">
      <c r="C113">
        <v>37</v>
      </c>
      <c r="D113">
        <v>7210</v>
      </c>
      <c r="U113">
        <v>220</v>
      </c>
      <c r="V113">
        <v>6885</v>
      </c>
    </row>
    <row r="114" spans="3:22" x14ac:dyDescent="0.15">
      <c r="C114">
        <v>38</v>
      </c>
      <c r="D114">
        <v>7350</v>
      </c>
      <c r="U114">
        <v>325</v>
      </c>
      <c r="V114">
        <v>7210</v>
      </c>
    </row>
    <row r="115" spans="3:22" x14ac:dyDescent="0.15">
      <c r="C115">
        <v>39</v>
      </c>
      <c r="D115">
        <v>7535</v>
      </c>
      <c r="U115">
        <v>140</v>
      </c>
      <c r="V115">
        <v>7350</v>
      </c>
    </row>
    <row r="116" spans="3:22" x14ac:dyDescent="0.15">
      <c r="C116">
        <v>40</v>
      </c>
      <c r="D116">
        <v>7675</v>
      </c>
      <c r="U116">
        <v>185</v>
      </c>
      <c r="V116">
        <v>7535</v>
      </c>
    </row>
    <row r="117" spans="3:22" x14ac:dyDescent="0.15">
      <c r="C117">
        <v>41</v>
      </c>
      <c r="D117">
        <v>8000</v>
      </c>
      <c r="U117">
        <v>140</v>
      </c>
      <c r="V117">
        <v>7675</v>
      </c>
    </row>
    <row r="118" spans="3:22" x14ac:dyDescent="0.15">
      <c r="C118">
        <v>42</v>
      </c>
      <c r="D118">
        <v>8325</v>
      </c>
      <c r="U118">
        <v>325</v>
      </c>
      <c r="V118">
        <v>8000</v>
      </c>
    </row>
    <row r="119" spans="3:22" x14ac:dyDescent="0.15">
      <c r="U119">
        <v>325</v>
      </c>
      <c r="V119">
        <v>8325</v>
      </c>
    </row>
  </sheetData>
  <mergeCells count="1">
    <mergeCell ref="I9:Y10"/>
  </mergeCells>
  <pageMargins left="0.25" right="0.25" top="0.75" bottom="0.75" header="0.3" footer="0.3"/>
  <pageSetup scale="27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CA8D7-A6E7-BB49-B908-B078C177A538}">
  <sheetPr>
    <pageSetUpPr fitToPage="1"/>
  </sheetPr>
  <dimension ref="B2:R39"/>
  <sheetViews>
    <sheetView workbookViewId="0">
      <selection activeCell="B2" sqref="B2:L37"/>
    </sheetView>
  </sheetViews>
  <sheetFormatPr baseColWidth="10" defaultRowHeight="13" x14ac:dyDescent="0.15"/>
  <cols>
    <col min="2" max="2" width="53.1640625" customWidth="1"/>
  </cols>
  <sheetData>
    <row r="2" spans="2:18" ht="18" x14ac:dyDescent="0.2">
      <c r="B2" s="36" t="s">
        <v>11</v>
      </c>
      <c r="C2" s="37"/>
      <c r="D2" s="37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46"/>
      <c r="Q2" s="146"/>
      <c r="R2" s="146"/>
    </row>
    <row r="3" spans="2:18" ht="18" x14ac:dyDescent="0.2">
      <c r="B3" s="37" t="s">
        <v>12</v>
      </c>
      <c r="C3" s="37"/>
      <c r="D3" s="37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46"/>
      <c r="Q3" s="146"/>
      <c r="R3" s="146"/>
    </row>
    <row r="4" spans="2:18" ht="18" x14ac:dyDescent="0.2">
      <c r="B4" s="37" t="s">
        <v>13</v>
      </c>
      <c r="C4" s="37"/>
      <c r="D4" s="37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46"/>
      <c r="Q4" s="146"/>
      <c r="R4" s="146"/>
    </row>
    <row r="5" spans="2:18" ht="18" x14ac:dyDescent="0.2">
      <c r="B5" s="38" t="s">
        <v>83</v>
      </c>
      <c r="C5" s="37"/>
      <c r="D5" s="37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46"/>
      <c r="Q5" s="146"/>
      <c r="R5" s="146"/>
    </row>
    <row r="6" spans="2:18" ht="18" x14ac:dyDescent="0.2">
      <c r="B6" s="37" t="s">
        <v>16</v>
      </c>
      <c r="C6" s="37"/>
      <c r="D6" s="37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46"/>
      <c r="Q6" s="146"/>
      <c r="R6" s="146"/>
    </row>
    <row r="7" spans="2:18" ht="18" x14ac:dyDescent="0.2">
      <c r="B7" s="37"/>
      <c r="C7" s="37"/>
      <c r="D7" s="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6"/>
      <c r="Q7" s="146"/>
      <c r="R7" s="146"/>
    </row>
    <row r="8" spans="2:18" ht="13" customHeight="1" x14ac:dyDescent="0.15">
      <c r="B8" s="173" t="s">
        <v>57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61"/>
      <c r="N8" s="161"/>
      <c r="O8" s="161"/>
      <c r="P8" s="161"/>
      <c r="Q8" s="161"/>
      <c r="R8" s="161"/>
    </row>
    <row r="9" spans="2:18" ht="31" customHeight="1" x14ac:dyDescent="0.15"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61"/>
      <c r="N9" s="161"/>
      <c r="O9" s="161"/>
      <c r="P9" s="161"/>
      <c r="Q9" s="161"/>
      <c r="R9" s="161"/>
    </row>
    <row r="10" spans="2:18" ht="18" x14ac:dyDescent="0.2"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46"/>
      <c r="Q10" s="146"/>
      <c r="R10" s="146"/>
    </row>
    <row r="11" spans="2:18" ht="18" x14ac:dyDescent="0.2">
      <c r="B11" s="39" t="s">
        <v>19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46"/>
      <c r="Q11" s="146"/>
      <c r="R11" s="146"/>
    </row>
    <row r="12" spans="2:18" ht="18" x14ac:dyDescent="0.2"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46"/>
      <c r="Q12" s="146"/>
      <c r="R12" s="146"/>
    </row>
    <row r="13" spans="2:18" ht="18" x14ac:dyDescent="0.2">
      <c r="B13" s="142" t="s">
        <v>20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</row>
    <row r="16" spans="2:18" ht="18" x14ac:dyDescent="0.15">
      <c r="B16" s="167" t="s">
        <v>58</v>
      </c>
    </row>
    <row r="17" spans="2:2" ht="18" x14ac:dyDescent="0.15">
      <c r="B17" s="167" t="s">
        <v>59</v>
      </c>
    </row>
    <row r="18" spans="2:2" ht="18" x14ac:dyDescent="0.15">
      <c r="B18" s="167"/>
    </row>
    <row r="19" spans="2:2" ht="18" x14ac:dyDescent="0.15">
      <c r="B19" s="167" t="s">
        <v>60</v>
      </c>
    </row>
    <row r="20" spans="2:2" ht="18" x14ac:dyDescent="0.15">
      <c r="B20" s="167" t="s">
        <v>61</v>
      </c>
    </row>
    <row r="21" spans="2:2" ht="18" x14ac:dyDescent="0.15">
      <c r="B21" s="167"/>
    </row>
    <row r="22" spans="2:2" ht="18" x14ac:dyDescent="0.15">
      <c r="B22" s="167" t="s">
        <v>62</v>
      </c>
    </row>
    <row r="23" spans="2:2" ht="18" x14ac:dyDescent="0.15">
      <c r="B23" s="167" t="s">
        <v>63</v>
      </c>
    </row>
    <row r="24" spans="2:2" ht="18" x14ac:dyDescent="0.15">
      <c r="B24" s="167"/>
    </row>
    <row r="25" spans="2:2" ht="18" x14ac:dyDescent="0.15">
      <c r="B25" s="167" t="s">
        <v>64</v>
      </c>
    </row>
    <row r="26" spans="2:2" ht="18" x14ac:dyDescent="0.15">
      <c r="B26" s="167" t="s">
        <v>65</v>
      </c>
    </row>
    <row r="27" spans="2:2" ht="18" x14ac:dyDescent="0.15">
      <c r="B27" s="167"/>
    </row>
    <row r="28" spans="2:2" ht="18" x14ac:dyDescent="0.15">
      <c r="B28" s="167" t="s">
        <v>66</v>
      </c>
    </row>
    <row r="29" spans="2:2" ht="18" x14ac:dyDescent="0.15">
      <c r="B29" s="167" t="s">
        <v>67</v>
      </c>
    </row>
    <row r="30" spans="2:2" ht="18" x14ac:dyDescent="0.15">
      <c r="B30" s="167"/>
    </row>
    <row r="31" spans="2:2" ht="18" x14ac:dyDescent="0.15">
      <c r="B31" s="167" t="s">
        <v>68</v>
      </c>
    </row>
    <row r="32" spans="2:2" ht="18" x14ac:dyDescent="0.15">
      <c r="B32" s="167" t="s">
        <v>69</v>
      </c>
    </row>
    <row r="33" spans="2:2" ht="18" x14ac:dyDescent="0.15">
      <c r="B33" s="167" t="s">
        <v>70</v>
      </c>
    </row>
    <row r="34" spans="2:2" ht="18" x14ac:dyDescent="0.15">
      <c r="B34" s="167"/>
    </row>
    <row r="35" spans="2:2" ht="18" x14ac:dyDescent="0.15">
      <c r="B35" s="167" t="s">
        <v>71</v>
      </c>
    </row>
    <row r="36" spans="2:2" ht="18" x14ac:dyDescent="0.15">
      <c r="B36" s="167" t="s">
        <v>72</v>
      </c>
    </row>
    <row r="37" spans="2:2" ht="18" x14ac:dyDescent="0.15">
      <c r="B37" s="167" t="s">
        <v>73</v>
      </c>
    </row>
    <row r="39" spans="2:2" ht="16" x14ac:dyDescent="0.15">
      <c r="B39" s="166"/>
    </row>
  </sheetData>
  <mergeCells count="1">
    <mergeCell ref="B8:L9"/>
  </mergeCells>
  <pageMargins left="0.25" right="0.25" top="0.75" bottom="0.75" header="0.3" footer="0.3"/>
  <pageSetup scale="3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C341-9C60-7C47-8EB5-0EDECE7FB5BE}">
  <sheetPr>
    <pageSetUpPr fitToPage="1"/>
  </sheetPr>
  <dimension ref="B2:R24"/>
  <sheetViews>
    <sheetView workbookViewId="0">
      <selection activeCell="N29" sqref="N29"/>
    </sheetView>
  </sheetViews>
  <sheetFormatPr baseColWidth="10" defaultRowHeight="13" x14ac:dyDescent="0.15"/>
  <cols>
    <col min="2" max="2" width="32" customWidth="1"/>
  </cols>
  <sheetData>
    <row r="2" spans="2:18" ht="18" x14ac:dyDescent="0.2">
      <c r="B2" s="36" t="s">
        <v>75</v>
      </c>
      <c r="C2" s="37"/>
      <c r="D2" s="37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46"/>
      <c r="Q2" s="146"/>
      <c r="R2" s="146"/>
    </row>
    <row r="3" spans="2:18" ht="18" x14ac:dyDescent="0.2">
      <c r="B3" s="37" t="s">
        <v>12</v>
      </c>
      <c r="C3" s="37"/>
      <c r="D3" s="37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46"/>
      <c r="Q3" s="146"/>
      <c r="R3" s="146"/>
    </row>
    <row r="4" spans="2:18" ht="18" x14ac:dyDescent="0.2">
      <c r="B4" s="37" t="s">
        <v>13</v>
      </c>
      <c r="C4" s="37"/>
      <c r="D4" s="37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46"/>
      <c r="Q4" s="146"/>
      <c r="R4" s="146"/>
    </row>
    <row r="5" spans="2:18" ht="18" x14ac:dyDescent="0.2">
      <c r="B5" s="38" t="s">
        <v>15</v>
      </c>
      <c r="C5" s="37"/>
      <c r="D5" s="37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46"/>
      <c r="Q5" s="146"/>
      <c r="R5" s="146"/>
    </row>
    <row r="6" spans="2:18" ht="18" x14ac:dyDescent="0.2">
      <c r="B6" s="37" t="s">
        <v>16</v>
      </c>
      <c r="C6" s="37"/>
      <c r="D6" s="37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46"/>
      <c r="Q6" s="146"/>
      <c r="R6" s="146"/>
    </row>
    <row r="7" spans="2:18" ht="18" x14ac:dyDescent="0.2">
      <c r="B7" s="37"/>
      <c r="C7" s="37"/>
      <c r="D7" s="37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46"/>
      <c r="Q7" s="146"/>
      <c r="R7" s="146"/>
    </row>
    <row r="8" spans="2:18" ht="13" customHeight="1" x14ac:dyDescent="0.15">
      <c r="B8" s="173" t="s">
        <v>57</v>
      </c>
      <c r="C8" s="173"/>
      <c r="D8" s="173"/>
      <c r="E8" s="173"/>
      <c r="F8" s="173"/>
      <c r="G8" s="173"/>
      <c r="H8" s="173"/>
      <c r="I8" s="173"/>
      <c r="J8" s="173"/>
      <c r="K8" s="173"/>
      <c r="L8" s="173"/>
      <c r="M8" s="161"/>
      <c r="N8" s="161"/>
      <c r="O8" s="161"/>
      <c r="P8" s="161"/>
      <c r="Q8" s="161"/>
      <c r="R8" s="161"/>
    </row>
    <row r="9" spans="2:18" ht="31" customHeight="1" x14ac:dyDescent="0.15"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161"/>
      <c r="N9" s="161"/>
      <c r="O9" s="161"/>
      <c r="P9" s="161"/>
      <c r="Q9" s="161"/>
      <c r="R9" s="161"/>
    </row>
    <row r="10" spans="2:18" ht="18" x14ac:dyDescent="0.2"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46"/>
      <c r="Q10" s="146"/>
      <c r="R10" s="146"/>
    </row>
    <row r="11" spans="2:18" ht="18" x14ac:dyDescent="0.2">
      <c r="B11" s="39" t="s">
        <v>19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46"/>
      <c r="Q11" s="146"/>
      <c r="R11" s="146"/>
    </row>
    <row r="12" spans="2:18" ht="18" x14ac:dyDescent="0.2">
      <c r="B12" s="138"/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46"/>
      <c r="Q12" s="146"/>
      <c r="R12" s="146"/>
    </row>
    <row r="13" spans="2:18" ht="18" x14ac:dyDescent="0.2">
      <c r="B13" s="142" t="s">
        <v>74</v>
      </c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3"/>
      <c r="O13" s="143"/>
      <c r="P13" s="143"/>
      <c r="Q13" s="143"/>
      <c r="R13" s="143"/>
    </row>
    <row r="15" spans="2:18" ht="18" x14ac:dyDescent="0.15">
      <c r="B15" s="167" t="s">
        <v>76</v>
      </c>
    </row>
    <row r="16" spans="2:18" ht="18" x14ac:dyDescent="0.15">
      <c r="B16" s="167" t="s">
        <v>78</v>
      </c>
    </row>
    <row r="17" spans="2:2" ht="18" x14ac:dyDescent="0.15">
      <c r="B17" s="167" t="s">
        <v>79</v>
      </c>
    </row>
    <row r="18" spans="2:2" ht="18" x14ac:dyDescent="0.15">
      <c r="B18" s="167" t="s">
        <v>80</v>
      </c>
    </row>
    <row r="19" spans="2:2" ht="18" x14ac:dyDescent="0.15">
      <c r="B19" s="167"/>
    </row>
    <row r="20" spans="2:2" ht="18" x14ac:dyDescent="0.15">
      <c r="B20" s="167"/>
    </row>
    <row r="21" spans="2:2" ht="18" x14ac:dyDescent="0.15">
      <c r="B21" s="167" t="s">
        <v>77</v>
      </c>
    </row>
    <row r="22" spans="2:2" ht="18" x14ac:dyDescent="0.15">
      <c r="B22" s="167" t="s">
        <v>81</v>
      </c>
    </row>
    <row r="23" spans="2:2" ht="18" x14ac:dyDescent="0.15">
      <c r="B23" s="167" t="s">
        <v>82</v>
      </c>
    </row>
    <row r="24" spans="2:2" ht="16" x14ac:dyDescent="0.15">
      <c r="B24" s="166"/>
    </row>
  </sheetData>
  <mergeCells count="1">
    <mergeCell ref="B8:L9"/>
  </mergeCells>
  <pageMargins left="0.25" right="0.25" top="0.75" bottom="0.75" header="0.3" footer="0.3"/>
  <pageSetup scale="43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217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14</vt:i4>
      </vt:variant>
    </vt:vector>
  </HeadingPairs>
  <TitlesOfParts>
    <vt:vector size="24" baseType="lpstr">
      <vt:lpstr>Master</vt:lpstr>
      <vt:lpstr>Page 1</vt:lpstr>
      <vt:lpstr>Page 2</vt:lpstr>
      <vt:lpstr>Page 3</vt:lpstr>
      <vt:lpstr>Page 4</vt:lpstr>
      <vt:lpstr>Page 5</vt:lpstr>
      <vt:lpstr>Page 6</vt:lpstr>
      <vt:lpstr>Graphs</vt:lpstr>
      <vt:lpstr>Math_PC and SU</vt:lpstr>
      <vt:lpstr>Math_RS and TI</vt:lpstr>
      <vt:lpstr>Master!Print_Area</vt:lpstr>
      <vt:lpstr>'Page 1'!Print_Area</vt:lpstr>
      <vt:lpstr>'Page 2'!Print_Area</vt:lpstr>
      <vt:lpstr>'Page 3'!Print_Area</vt:lpstr>
      <vt:lpstr>'Page 4'!Print_Area</vt:lpstr>
      <vt:lpstr>'Page 5'!Print_Area</vt:lpstr>
      <vt:lpstr>'Page 6'!Print_Area</vt:lpstr>
      <vt:lpstr>Master!Print_Titles</vt:lpstr>
      <vt:lpstr>'Page 1'!Print_Titles</vt:lpstr>
      <vt:lpstr>'Page 2'!Print_Titles</vt:lpstr>
      <vt:lpstr>'Page 3'!Print_Titles</vt:lpstr>
      <vt:lpstr>'Page 4'!Print_Titles</vt:lpstr>
      <vt:lpstr>'Page 5'!Print_Titles</vt:lpstr>
      <vt:lpstr>'Page 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34</cp:revision>
  <cp:lastPrinted>2025-11-27T02:10:40Z</cp:lastPrinted>
  <dcterms:created xsi:type="dcterms:W3CDTF">2025-06-15T18:11:11Z</dcterms:created>
  <dcterms:modified xsi:type="dcterms:W3CDTF">2026-01-01T04:17:50Z</dcterms:modified>
  <dc:language>en-US</dc:language>
</cp:coreProperties>
</file>