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8"/>
  <workbookPr/>
  <mc:AlternateContent xmlns:mc="http://schemas.openxmlformats.org/markup-compatibility/2006">
    <mc:Choice Requires="x15">
      <x15ac:absPath xmlns:x15ac="http://schemas.microsoft.com/office/spreadsheetml/2010/11/ac" url="/Users/Office/Desktop/2026_01_06_Desktop_JMW/CONSTRUCTION_Key Plan Directory/"/>
    </mc:Choice>
  </mc:AlternateContent>
  <xr:revisionPtr revIDLastSave="0" documentId="13_ncr:1_{ED7E2D01-B082-E648-B298-8FE6CBE947F8}" xr6:coauthVersionLast="45" xr6:coauthVersionMax="45" xr10:uidLastSave="{00000000-0000-0000-0000-000000000000}"/>
  <bookViews>
    <workbookView xWindow="38540" yWindow="1780" windowWidth="37260" windowHeight="21620" tabRatio="500" activeTab="1" xr2:uid="{00000000-000D-0000-FFFF-FFFF00000000}"/>
  </bookViews>
  <sheets>
    <sheet name="Summary_Retail and Tech Industr" sheetId="23" r:id="rId1"/>
    <sheet name="Summary_Parking and Landscaping" sheetId="22" r:id="rId2"/>
    <sheet name="Summary_Common Areas" sheetId="15" r:id="rId3"/>
    <sheet name="Summary_Amenities" sheetId="17" r:id="rId4"/>
    <sheet name="Summary_Key Plans" sheetId="11" r:id="rId5"/>
    <sheet name="Sheet1" sheetId="10" r:id="rId6"/>
    <sheet name="Loading and Recycling" sheetId="16" r:id="rId7"/>
    <sheet name="Upper Floors_Building Core" sheetId="21" r:id="rId8"/>
    <sheet name="Public Lobby Washroom" sheetId="20" r:id="rId9"/>
    <sheet name="Auxiliary Structure" sheetId="19" r:id="rId10"/>
    <sheet name="Building Manager + Mail Room" sheetId="18" r:id="rId11"/>
    <sheet name="Business" sheetId="12" r:id="rId12"/>
    <sheet name="Academic V1" sheetId="1" r:id="rId13"/>
    <sheet name="Academic V2" sheetId="14" r:id="rId14"/>
    <sheet name="Medical V2" sheetId="4" r:id="rId15"/>
    <sheet name="Labs V2" sheetId="6" r:id="rId16"/>
    <sheet name="Lab V1" sheetId="3" r:id="rId17"/>
    <sheet name="Private Office" sheetId="8" r:id="rId18"/>
    <sheet name="Civic" sheetId="7" r:id="rId19"/>
    <sheet name="Summary_V3" sheetId="13" r:id="rId20"/>
  </sheets>
  <definedNames>
    <definedName name="_xlnm.Print_Area" localSheetId="12">'Academic V1'!$B$2:$P$53</definedName>
    <definedName name="_xlnm.Print_Area" localSheetId="13">'Academic V2'!$B$2:$T$53</definedName>
    <definedName name="_xlnm.Print_Area" localSheetId="9">'Auxiliary Structure'!$B$2:$P$39</definedName>
    <definedName name="_xlnm.Print_Area" localSheetId="10">'Building Manager + Mail Room'!$B$2:$P$30</definedName>
    <definedName name="_xlnm.Print_Area" localSheetId="11">Business!$B$2:$P$57</definedName>
    <definedName name="_xlnm.Print_Area" localSheetId="18">Civic!$B$2:$P$53</definedName>
    <definedName name="_xlnm.Print_Area" localSheetId="16">'Lab V1'!$B$2:$P$45</definedName>
    <definedName name="_xlnm.Print_Area" localSheetId="15">'Labs V2'!$B$2:$O$61</definedName>
    <definedName name="_xlnm.Print_Area" localSheetId="6">'Loading and Recycling'!$B$2:$P$37</definedName>
    <definedName name="_xlnm.Print_Area" localSheetId="14">'Medical V2'!$B$2:$P$49</definedName>
    <definedName name="_xlnm.Print_Area" localSheetId="17">'Private Office'!$B$2:$P$24</definedName>
    <definedName name="_xlnm.Print_Area" localSheetId="8">'Public Lobby Washroom'!$B$2:$P$26</definedName>
    <definedName name="_xlnm.Print_Area" localSheetId="3">Summary_Amenities!$B$2:$T$37</definedName>
    <definedName name="_xlnm.Print_Area" localSheetId="2">'Summary_Common Areas'!$B$2:$W$34</definedName>
    <definedName name="_xlnm.Print_Area" localSheetId="4">'Summary_Key Plans'!$B$2:$AC$39</definedName>
    <definedName name="_xlnm.Print_Area" localSheetId="1">'Summary_Parking and Landscaping'!$B$2:$W$34</definedName>
    <definedName name="_xlnm.Print_Area" localSheetId="0">'Summary_Retail and Tech Industr'!$B$2:$W$34</definedName>
    <definedName name="_xlnm.Print_Area" localSheetId="19">Summary_V3!$B$2:$AC$39</definedName>
    <definedName name="_xlnm.Print_Area" localSheetId="7">'Upper Floors_Building Core'!$B$2:$P$34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S29" i="11" l="1"/>
  <c r="S28" i="11"/>
  <c r="S27" i="11"/>
  <c r="S26" i="11"/>
  <c r="Q29" i="11"/>
  <c r="Q28" i="11"/>
  <c r="Q27" i="11" l="1"/>
  <c r="Q26" i="11"/>
  <c r="Y29" i="13" l="1"/>
  <c r="W29" i="13"/>
  <c r="Y23" i="13"/>
  <c r="W23" i="13"/>
  <c r="Y17" i="13"/>
  <c r="W17" i="13"/>
  <c r="AB29" i="13"/>
  <c r="Z29" i="13"/>
  <c r="V29" i="13"/>
  <c r="T29" i="13"/>
  <c r="S29" i="13"/>
  <c r="Q29" i="13"/>
  <c r="P29" i="13"/>
  <c r="N29" i="13"/>
  <c r="M29" i="13"/>
  <c r="J29" i="13"/>
  <c r="H29" i="13"/>
  <c r="V28" i="13"/>
  <c r="T28" i="13"/>
  <c r="P28" i="13"/>
  <c r="N28" i="13"/>
  <c r="M28" i="13"/>
  <c r="J28" i="13"/>
  <c r="H28" i="13"/>
  <c r="V27" i="13"/>
  <c r="T27" i="13"/>
  <c r="P27" i="13"/>
  <c r="N27" i="13"/>
  <c r="M27" i="13"/>
  <c r="J27" i="13"/>
  <c r="H27" i="13"/>
  <c r="V26" i="13"/>
  <c r="T26" i="13"/>
  <c r="P26" i="13"/>
  <c r="N26" i="13"/>
  <c r="M26" i="13"/>
  <c r="J26" i="13"/>
  <c r="H26" i="13"/>
  <c r="G26" i="13"/>
  <c r="E26" i="13"/>
  <c r="AB23" i="13"/>
  <c r="Z23" i="13"/>
  <c r="V23" i="13"/>
  <c r="T23" i="13"/>
  <c r="S23" i="13"/>
  <c r="Q23" i="13"/>
  <c r="P23" i="13"/>
  <c r="N23" i="13"/>
  <c r="M23" i="13"/>
  <c r="K23" i="13"/>
  <c r="G23" i="13"/>
  <c r="E23" i="13"/>
  <c r="AB17" i="13"/>
  <c r="Z17" i="13"/>
  <c r="V17" i="13"/>
  <c r="T17" i="13"/>
  <c r="S17" i="13"/>
  <c r="Q17" i="13"/>
  <c r="P17" i="13"/>
  <c r="N17" i="13"/>
  <c r="M17" i="13"/>
  <c r="K17" i="13"/>
  <c r="J17" i="13"/>
  <c r="H17" i="13"/>
  <c r="G17" i="13"/>
  <c r="E17" i="13"/>
  <c r="E26" i="11" l="1"/>
  <c r="G26" i="11"/>
  <c r="G23" i="11" l="1"/>
  <c r="E23" i="11"/>
  <c r="G17" i="11"/>
  <c r="E17" i="11"/>
  <c r="Y29" i="11"/>
  <c r="Y28" i="11"/>
  <c r="Y27" i="11"/>
  <c r="Y26" i="11"/>
  <c r="W29" i="11"/>
  <c r="W28" i="11"/>
  <c r="W27" i="11"/>
  <c r="W26" i="11"/>
  <c r="V29" i="11" l="1"/>
  <c r="V28" i="11"/>
  <c r="V27" i="11"/>
  <c r="V26" i="11"/>
  <c r="T29" i="11"/>
  <c r="T28" i="11"/>
  <c r="T27" i="11"/>
  <c r="T26" i="11"/>
  <c r="H17" i="11" l="1"/>
  <c r="J17" i="11"/>
  <c r="K17" i="11"/>
  <c r="M17" i="11"/>
  <c r="N17" i="11"/>
  <c r="P17" i="11"/>
  <c r="Q17" i="11"/>
  <c r="S17" i="11"/>
  <c r="T17" i="11"/>
  <c r="V17" i="11"/>
  <c r="W17" i="11"/>
  <c r="Y17" i="11"/>
  <c r="Z17" i="11"/>
  <c r="AB17" i="11"/>
  <c r="K23" i="11"/>
  <c r="M23" i="11"/>
  <c r="N23" i="11"/>
  <c r="P23" i="11"/>
  <c r="Q23" i="11"/>
  <c r="S23" i="11"/>
  <c r="T23" i="11"/>
  <c r="V23" i="11"/>
  <c r="W23" i="11"/>
  <c r="Y23" i="11"/>
  <c r="Z23" i="11"/>
  <c r="AB23" i="11"/>
  <c r="H26" i="11"/>
  <c r="J26" i="11"/>
  <c r="M26" i="11"/>
  <c r="N26" i="11"/>
  <c r="P26" i="11"/>
  <c r="H27" i="11"/>
  <c r="J27" i="11"/>
  <c r="M27" i="11"/>
  <c r="N27" i="11"/>
  <c r="P27" i="11"/>
  <c r="H28" i="11"/>
  <c r="J28" i="11"/>
  <c r="M28" i="11"/>
  <c r="N28" i="11"/>
  <c r="P28" i="11"/>
  <c r="H29" i="11"/>
  <c r="J29" i="11"/>
  <c r="M29" i="11"/>
  <c r="N29" i="11"/>
  <c r="P29" i="11"/>
  <c r="Z29" i="11"/>
  <c r="AB29" i="11"/>
  <c r="P10" i="10" l="1"/>
  <c r="Q10" i="10"/>
  <c r="O10" i="10"/>
  <c r="G25" i="10"/>
  <c r="H25" i="10"/>
  <c r="I25" i="10"/>
  <c r="J25" i="10"/>
  <c r="J34" i="10" s="1"/>
  <c r="K25" i="10"/>
  <c r="L25" i="10"/>
  <c r="M25" i="10"/>
  <c r="M32" i="10" s="1"/>
  <c r="N25" i="10"/>
  <c r="N32" i="10" s="1"/>
  <c r="F25" i="10"/>
  <c r="F32" i="10"/>
  <c r="P34" i="10"/>
  <c r="O34" i="10"/>
  <c r="N34" i="10"/>
  <c r="M34" i="10"/>
  <c r="L34" i="10"/>
  <c r="K34" i="10"/>
  <c r="I34" i="10"/>
  <c r="H34" i="10"/>
  <c r="G34" i="10"/>
  <c r="L32" i="10"/>
  <c r="K32" i="10"/>
  <c r="J32" i="10"/>
  <c r="I32" i="10"/>
  <c r="H32" i="10"/>
  <c r="G32" i="10"/>
  <c r="F34" i="10" l="1"/>
  <c r="G17" i="10"/>
  <c r="H17" i="10"/>
  <c r="I17" i="10"/>
  <c r="J17" i="10"/>
  <c r="K17" i="10"/>
  <c r="L17" i="10"/>
  <c r="M17" i="10"/>
  <c r="N17" i="10"/>
  <c r="F17" i="10"/>
  <c r="I19" i="10"/>
  <c r="J19" i="10"/>
  <c r="K19" i="10"/>
  <c r="L19" i="10"/>
  <c r="M19" i="10"/>
  <c r="N19" i="10"/>
  <c r="O19" i="10"/>
  <c r="P19" i="10"/>
  <c r="G19" i="10"/>
  <c r="H19" i="10"/>
  <c r="F19" i="10"/>
</calcChain>
</file>

<file path=xl/sharedStrings.xml><?xml version="1.0" encoding="utf-8"?>
<sst xmlns="http://schemas.openxmlformats.org/spreadsheetml/2006/main" count="888" uniqueCount="272">
  <si>
    <t>Spatial Taxonomy — Key Plans and Tiles — Professional Centres and Suburban Office</t>
  </si>
  <si>
    <t>Woodfine Management Corp.</t>
  </si>
  <si>
    <t xml:space="preserve">Jennifer M. Woodfine </t>
  </si>
  <si>
    <t>V10</t>
  </si>
  <si>
    <r>
      <rPr>
        <b/>
        <sz val="12"/>
        <color theme="1"/>
        <rFont val="Calibri"/>
        <family val="2"/>
        <charset val="1"/>
      </rPr>
      <t>"Key Plans and Tiles"</t>
    </r>
    <r>
      <rPr>
        <sz val="12"/>
        <color theme="1"/>
        <rFont val="Calibri"/>
        <family val="2"/>
        <charset val="1"/>
      </rPr>
      <t xml:space="preserve"> means a geometric self-similar aperiodic space planning system based on furniture/equipment arrangements and circulation versus modular area per person progressions.</t>
    </r>
  </si>
  <si>
    <t>NB — Not drawn to scale — Approximate square footages</t>
  </si>
  <si>
    <t>Professional Office — Academic</t>
  </si>
  <si>
    <t>Small</t>
  </si>
  <si>
    <t>Medium</t>
  </si>
  <si>
    <t>Large</t>
  </si>
  <si>
    <t>Office</t>
  </si>
  <si>
    <t>Reception</t>
  </si>
  <si>
    <t>Seminar</t>
  </si>
  <si>
    <t>Chairs</t>
  </si>
  <si>
    <t>Auditorium</t>
  </si>
  <si>
    <t>Availability per Tile</t>
  </si>
  <si>
    <t>Reception – Desk</t>
  </si>
  <si>
    <t>Reception – Credenza</t>
  </si>
  <si>
    <t>Reception – Chair</t>
  </si>
  <si>
    <t>Reception – Filing Cabinet</t>
  </si>
  <si>
    <t>Reception – Waiting – Seats</t>
  </si>
  <si>
    <t xml:space="preserve">
Reception – Waiting – Coffee Table</t>
  </si>
  <si>
    <t>Sink</t>
  </si>
  <si>
    <t>Dishwasher</t>
  </si>
  <si>
    <t>Table</t>
  </si>
  <si>
    <t>Office – Desk and Chair</t>
  </si>
  <si>
    <t>Office – 3-Person Round Table</t>
  </si>
  <si>
    <t>Office – Filing Cabinet</t>
  </si>
  <si>
    <t>Office – Bookshelf</t>
  </si>
  <si>
    <t>Office – Coat Rack</t>
  </si>
  <si>
    <t>Seminar – Tables</t>
  </si>
  <si>
    <t>Seminar – Chairs</t>
  </si>
  <si>
    <t>Seminar – Podium</t>
  </si>
  <si>
    <t xml:space="preserve">Auditorium – Theater Seating </t>
  </si>
  <si>
    <t>Auditorium – Podium</t>
  </si>
  <si>
    <t>Auditorium – Teaching Assistant Desk</t>
  </si>
  <si>
    <t>Seminar – Teaching Assistant Desk</t>
  </si>
  <si>
    <t>Seminar – Bench</t>
  </si>
  <si>
    <t>Auditorium – Bench</t>
  </si>
  <si>
    <t>Staff Room / Storage Room</t>
  </si>
  <si>
    <t>Staff Room – Sink</t>
  </si>
  <si>
    <t>Staff Room – Dishwasher</t>
  </si>
  <si>
    <t>Staff Room – Table</t>
  </si>
  <si>
    <t>Staff Room – Chairs</t>
  </si>
  <si>
    <t>Restrooms</t>
  </si>
  <si>
    <t>Hazardous Materails Storage</t>
  </si>
  <si>
    <t>Bench</t>
  </si>
  <si>
    <t>Clean Room / Sterilization  </t>
  </si>
  <si>
    <t>Staff Room / Utility Room</t>
  </si>
  <si>
    <t>Doctor's Office – Filing Cabinet</t>
  </si>
  <si>
    <t>Doctor's Office – Seats</t>
  </si>
  <si>
    <t>Doctor's Office – Chair</t>
  </si>
  <si>
    <t>Doctor's Office – Credenza</t>
  </si>
  <si>
    <t>Doctor's Office – Desk</t>
  </si>
  <si>
    <t xml:space="preserve">Stools </t>
  </si>
  <si>
    <t xml:space="preserve">Benches </t>
  </si>
  <si>
    <t>Professional Office – Labs</t>
  </si>
  <si>
    <t>Professional Office — Labs</t>
  </si>
  <si>
    <t>X-Ray</t>
  </si>
  <si>
    <r>
      <rPr>
        <b/>
        <sz val="12"/>
        <color theme="1"/>
        <rFont val="Calibri"/>
        <family val="2"/>
        <charset val="1"/>
      </rPr>
      <t>Lab Room / Sterilization</t>
    </r>
    <r>
      <rPr>
        <sz val="12"/>
        <color theme="1"/>
        <rFont val="Calibri"/>
        <family val="2"/>
        <charset val="1"/>
      </rPr>
      <t>  </t>
    </r>
  </si>
  <si>
    <t>Doctor's Office</t>
  </si>
  <si>
    <t>Dental Chair / Exam Table – Stools</t>
  </si>
  <si>
    <t>Dental Chair / Exam Table</t>
  </si>
  <si>
    <t>Exam Room</t>
  </si>
  <si>
    <t>Professional Office – Medical</t>
  </si>
  <si>
    <t>Professional Office — Medical</t>
  </si>
  <si>
    <t>Key Plan square footage from the samples to date:</t>
  </si>
  <si>
    <t xml:space="preserve">1 storage </t>
  </si>
  <si>
    <t>2 bench</t>
  </si>
  <si>
    <t xml:space="preserve">2 clean room </t>
  </si>
  <si>
    <t>1 bench</t>
  </si>
  <si>
    <t xml:space="preserve">1 clean room </t>
  </si>
  <si>
    <t>7 benches</t>
  </si>
  <si>
    <t>1 lab</t>
  </si>
  <si>
    <t>5 benches</t>
  </si>
  <si>
    <t>3 benches</t>
  </si>
  <si>
    <t>10 seats</t>
  </si>
  <si>
    <t>1 reception</t>
  </si>
  <si>
    <t>4 seats</t>
  </si>
  <si>
    <t>3 seats</t>
  </si>
  <si>
    <t xml:space="preserve">2 private office  </t>
  </si>
  <si>
    <t>2 seats</t>
  </si>
  <si>
    <t>8 seats</t>
  </si>
  <si>
    <t>1 staff room</t>
  </si>
  <si>
    <t xml:space="preserve">Medium </t>
  </si>
  <si>
    <t>Storage</t>
  </si>
  <si>
    <t>Lab</t>
  </si>
  <si>
    <t>Notes</t>
  </si>
  <si>
    <t xml:space="preserve">4'6'' </t>
  </si>
  <si>
    <t>Total</t>
  </si>
  <si>
    <t>* Diagnostic Clinic ( Small + Small )</t>
  </si>
  <si>
    <t>-</t>
  </si>
  <si>
    <t>Hazardous Materials Storage</t>
  </si>
  <si>
    <t>Mechanical / Utility Closet</t>
  </si>
  <si>
    <t>Version 1 — April 12, 2024</t>
  </si>
  <si>
    <t>Version 2 — [ Date ]</t>
  </si>
  <si>
    <t>Version 2 — May 8, 2024</t>
  </si>
  <si>
    <t>Version 3 — [Date]</t>
  </si>
  <si>
    <t>Combinations*</t>
  </si>
  <si>
    <t>Small + Small</t>
  </si>
  <si>
    <t>Small + Medium</t>
  </si>
  <si>
    <t>Corporate Office</t>
  </si>
  <si>
    <t>Small + Large</t>
  </si>
  <si>
    <t>Medium + Large</t>
  </si>
  <si>
    <t>Reception – Planter</t>
  </si>
  <si>
    <t>Version 1 — April 13, 2024</t>
  </si>
  <si>
    <t>Professional Office — Civic</t>
  </si>
  <si>
    <t>Conference</t>
  </si>
  <si>
    <t>Conference – Tables</t>
  </si>
  <si>
    <t>Conference – Chairs</t>
  </si>
  <si>
    <t>Conference – Bench</t>
  </si>
  <si>
    <t>Court Room</t>
  </si>
  <si>
    <t xml:space="preserve">Court Room – Theater Seating </t>
  </si>
  <si>
    <t>Court Room – Bench</t>
  </si>
  <si>
    <t xml:space="preserve">Court Room – Judge </t>
  </si>
  <si>
    <t>Court Room – Court Clerk Desk</t>
  </si>
  <si>
    <t>Conference – Arbitrator</t>
  </si>
  <si>
    <t>Conference – Clerk Desk</t>
  </si>
  <si>
    <t>Version 1 — July 3, 2024</t>
  </si>
  <si>
    <t>Professional Office — Private Office</t>
  </si>
  <si>
    <t>January 7, 2025</t>
  </si>
  <si>
    <t>15'9"</t>
  </si>
  <si>
    <t>Private Office</t>
  </si>
  <si>
    <t>Academic</t>
  </si>
  <si>
    <t>Zone 1 — Habitat</t>
  </si>
  <si>
    <t>Zone 3 — Corridor</t>
  </si>
  <si>
    <t>22'3"</t>
  </si>
  <si>
    <t>3'7"</t>
  </si>
  <si>
    <t>15'5"</t>
  </si>
  <si>
    <t>19'8"</t>
  </si>
  <si>
    <t>Key Plan</t>
  </si>
  <si>
    <t>Business</t>
  </si>
  <si>
    <t>Medical</t>
  </si>
  <si>
    <t>Civic</t>
  </si>
  <si>
    <t>Tile</t>
  </si>
  <si>
    <t>Laboratory</t>
  </si>
  <si>
    <t>Size</t>
  </si>
  <si>
    <t>SF per person</t>
  </si>
  <si>
    <t>Zone 2 — Magazine</t>
  </si>
  <si>
    <t>Offices</t>
  </si>
  <si>
    <t>Workstations</t>
  </si>
  <si>
    <t>Occupancy</t>
  </si>
  <si>
    <t>Professional Office</t>
  </si>
  <si>
    <t xml:space="preserve">Small </t>
  </si>
  <si>
    <t>SF per workstation</t>
  </si>
  <si>
    <t>Feet</t>
  </si>
  <si>
    <t>Meters</t>
  </si>
  <si>
    <t>m per workstation</t>
  </si>
  <si>
    <t>m per person</t>
  </si>
  <si>
    <t>Combinations *</t>
  </si>
  <si>
    <t>*In the case of Professional Offices, combining either Small + Small or Small + Medium provides for the missing office size between a Professional Office Large and Corporate Office 1/8 Floor.</t>
  </si>
  <si>
    <r>
      <t>"Key Plans and Tiles"</t>
    </r>
    <r>
      <rPr>
        <sz val="12"/>
        <color theme="1"/>
        <rFont val="Calibri"/>
        <family val="2"/>
      </rPr>
      <t xml:space="preserve"> means a geometric self-similar aperiodic space planning system based on furniture/equipment arrangements and circulation versus modular area per person progressions.</t>
    </r>
  </si>
  <si>
    <t>Zone 1 — Habitat **</t>
  </si>
  <si>
    <t>Building Width Calculator (m / ft)</t>
  </si>
  <si>
    <t>Professional Office (m2 / SF)</t>
  </si>
  <si>
    <t>Private Office (m2 / SF)</t>
  </si>
  <si>
    <t>10'0"</t>
  </si>
  <si>
    <t>** With desks placed perpendicular to the façade, be careful, as an extra 0.7 metres is required for proper circulation for three desks in series in Zone 1—Habitat. Without accounting for the circulation, 6 metres exactly to the façade results in only two desks perpendicular to the façade in Zone 1—Habitat rather than three desks.</t>
  </si>
  <si>
    <t>Professional Office — Business</t>
  </si>
  <si>
    <t>Conference Room</t>
  </si>
  <si>
    <t>Conference – Table</t>
  </si>
  <si>
    <t>Conference – Chair</t>
  </si>
  <si>
    <t>Office – executive</t>
  </si>
  <si>
    <t>Office – managers</t>
  </si>
  <si>
    <t>Desk – associates</t>
  </si>
  <si>
    <t>Desk – Tables</t>
  </si>
  <si>
    <t>Desk – Chairs</t>
  </si>
  <si>
    <t>Version 1 — April 18, 2025</t>
  </si>
  <si>
    <t>V1</t>
  </si>
  <si>
    <t>9' 5"</t>
  </si>
  <si>
    <t>16"</t>
  </si>
  <si>
    <t>23'10"</t>
  </si>
  <si>
    <t>12'</t>
  </si>
  <si>
    <t>23'8"</t>
  </si>
  <si>
    <t>6'6"</t>
  </si>
  <si>
    <t>12'5"</t>
  </si>
  <si>
    <t xml:space="preserve">Initial Design </t>
  </si>
  <si>
    <t>V3</t>
  </si>
  <si>
    <t>June 23, 2025</t>
  </si>
  <si>
    <t>23'11"</t>
  </si>
  <si>
    <t>October 13, 2025</t>
  </si>
  <si>
    <t>Version 2 — December 11, 2024</t>
  </si>
  <si>
    <t>January 6, 2026</t>
  </si>
  <si>
    <t>January 7, 2026</t>
  </si>
  <si>
    <t>Loading and Recycling</t>
  </si>
  <si>
    <t>Refuse</t>
  </si>
  <si>
    <t>Recycling</t>
  </si>
  <si>
    <t>Workbench</t>
  </si>
  <si>
    <t>Building Staff Lockers</t>
  </si>
  <si>
    <t>Bike Room</t>
  </si>
  <si>
    <t>Mop Room</t>
  </si>
  <si>
    <t>Building Manager Office</t>
  </si>
  <si>
    <t>Mail Room</t>
  </si>
  <si>
    <t>Night Watch</t>
  </si>
  <si>
    <t>Public Lobby Washroom</t>
  </si>
  <si>
    <t>Tenant Lounge</t>
  </si>
  <si>
    <t>Lobby Atrium</t>
  </si>
  <si>
    <t>Coffee/Bread</t>
  </si>
  <si>
    <t>Main Floor Retail</t>
  </si>
  <si>
    <t>First Aid</t>
  </si>
  <si>
    <t>November 24, 2025</t>
  </si>
  <si>
    <t>Upper Floors</t>
  </si>
  <si>
    <t xml:space="preserve">Building Core </t>
  </si>
  <si>
    <t>KEY PLANS</t>
  </si>
  <si>
    <t>AMENITIES</t>
  </si>
  <si>
    <t>Auxiliary Structures</t>
  </si>
  <si>
    <t>Loading</t>
  </si>
  <si>
    <t>Grad Door</t>
  </si>
  <si>
    <t>Service Door</t>
  </si>
  <si>
    <t>Bins</t>
  </si>
  <si>
    <t>Compactor</t>
  </si>
  <si>
    <t>Bins — Paper</t>
  </si>
  <si>
    <t>Bins — Plastic</t>
  </si>
  <si>
    <t>Bins — Glass</t>
  </si>
  <si>
    <t>Bike Racks</t>
  </si>
  <si>
    <t>Exterior Door</t>
  </si>
  <si>
    <t>Showers (?)</t>
  </si>
  <si>
    <t>Building Manager Office + Mail Room</t>
  </si>
  <si>
    <t>Drain</t>
  </si>
  <si>
    <t>Shelves</t>
  </si>
  <si>
    <t>Garbage Enclosure</t>
  </si>
  <si>
    <t>Pads</t>
  </si>
  <si>
    <t>Transformers</t>
  </si>
  <si>
    <t>Landscaping Shed</t>
  </si>
  <si>
    <t>Shared Sinks</t>
  </si>
  <si>
    <t>Mop Room (?)</t>
  </si>
  <si>
    <t>Upper Floors — Building Core</t>
  </si>
  <si>
    <t>Elevator Lobby</t>
  </si>
  <si>
    <t>Elevator Cabs</t>
  </si>
  <si>
    <t>Service Staircase</t>
  </si>
  <si>
    <t>Meter Room</t>
  </si>
  <si>
    <t>Stalls — Men</t>
  </si>
  <si>
    <t>Stalls — Woman</t>
  </si>
  <si>
    <t>Washroom *</t>
  </si>
  <si>
    <t>Drinking Water Fountain</t>
  </si>
  <si>
    <t>Stalls — Mens</t>
  </si>
  <si>
    <t>Common Area</t>
  </si>
  <si>
    <t>Amenity</t>
  </si>
  <si>
    <t>November 29, 2025</t>
  </si>
  <si>
    <t>Common Area, Auxiliary Structures, Upper Floors and Amenities</t>
  </si>
  <si>
    <r>
      <t>"Key Plans and Tiles"</t>
    </r>
    <r>
      <rPr>
        <sz val="14"/>
        <color theme="1"/>
        <rFont val="Calibri"/>
        <family val="2"/>
      </rPr>
      <t xml:space="preserve"> means a geometric self-similar aperiodic space planning system based on furniture/equipment arrangements and circulation versus modular area per person progressions.</t>
    </r>
  </si>
  <si>
    <t>Shelves/Cupboards</t>
  </si>
  <si>
    <t>Version 1 — November 29, 2025</t>
  </si>
  <si>
    <t>Assistant Builidng Manager</t>
  </si>
  <si>
    <t>Mail Room Supervisor</t>
  </si>
  <si>
    <t>Desk and Chair</t>
  </si>
  <si>
    <t>Auxiliary Structure — Garbage Enclosures</t>
  </si>
  <si>
    <t>Family Change Room/Matermal Room/Accessible Room</t>
  </si>
  <si>
    <t>*Suburban Office doesn’t need additional washroom stalls. Although the building is taller,    the Floor Plates are smaller. Each floor may have the same occupancy or less.</t>
  </si>
  <si>
    <t>Charts</t>
  </si>
  <si>
    <t>Corridor</t>
  </si>
  <si>
    <t>Parking and Landscaping</t>
  </si>
  <si>
    <t>Parking Stall</t>
  </si>
  <si>
    <t>Bioswales</t>
  </si>
  <si>
    <t>Retail Select</t>
  </si>
  <si>
    <t>End Caps — Small</t>
  </si>
  <si>
    <t>End Caps — Medium</t>
  </si>
  <si>
    <t>Mechanical Room</t>
  </si>
  <si>
    <t>Mechanical Room — Small</t>
  </si>
  <si>
    <t>Spacer — Medium</t>
  </si>
  <si>
    <t xml:space="preserve">Spacer — Large </t>
  </si>
  <si>
    <t>Tech Industrial</t>
  </si>
  <si>
    <t>End Caps — Large</t>
  </si>
  <si>
    <t>Parking Stall — Accessible</t>
  </si>
  <si>
    <t>Oversized Sidewalk</t>
  </si>
  <si>
    <t>Oversized Walkway</t>
  </si>
  <si>
    <t>Oversized Laneway</t>
  </si>
  <si>
    <t>Extended Pull Up Area</t>
  </si>
  <si>
    <t>Snowdrops/Catch Basin</t>
  </si>
  <si>
    <t>Pylon Signs</t>
  </si>
  <si>
    <t>Parking</t>
  </si>
  <si>
    <t>Underground Parking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</si>
</sst>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_(* #,##0.0_);_(* \(#,##0.0\);_(* &quot;-&quot;??_);_(@_)"/>
    <numFmt numFmtId="166" formatCode="0.0"/>
  </numFmts>
  <fonts count="21" x14ac:knownFonts="1">
    <font>
      <sz val="12"/>
      <color theme="1"/>
      <name val="Calibri"/>
      <family val="2"/>
      <charset val="1"/>
    </font>
    <font>
      <b/>
      <sz val="12"/>
      <color rgb="FF000000"/>
      <name val="Calibri"/>
      <family val="2"/>
      <charset val="1"/>
    </font>
    <font>
      <b/>
      <sz val="12"/>
      <color theme="1"/>
      <name val="Calibri"/>
      <family val="2"/>
      <charset val="1"/>
    </font>
    <font>
      <b/>
      <sz val="12"/>
      <color theme="0"/>
      <name val="Calibri"/>
      <family val="2"/>
      <charset val="1"/>
    </font>
    <font>
      <sz val="12"/>
      <color theme="0"/>
      <name val="Calibri"/>
      <family val="2"/>
      <charset val="1"/>
    </font>
    <font>
      <sz val="12"/>
      <color theme="1"/>
      <name val="Calibri"/>
      <family val="2"/>
      <charset val="1"/>
    </font>
    <font>
      <b/>
      <sz val="12"/>
      <color theme="1"/>
      <name val="Calibri"/>
      <family val="2"/>
    </font>
    <font>
      <b/>
      <u/>
      <sz val="12"/>
      <color theme="1"/>
      <name val="Calibri"/>
      <family val="2"/>
    </font>
    <font>
      <sz val="12"/>
      <color rgb="FF000000"/>
      <name val="Calibri"/>
      <family val="2"/>
    </font>
    <font>
      <b/>
      <sz val="12"/>
      <color rgb="FF000000"/>
      <name val="Calibri"/>
      <family val="2"/>
    </font>
    <font>
      <sz val="12"/>
      <color theme="1"/>
      <name val="Calibri"/>
      <family val="2"/>
    </font>
    <font>
      <sz val="13"/>
      <color theme="1"/>
      <name val="Calibri"/>
      <family val="2"/>
    </font>
    <font>
      <b/>
      <sz val="12"/>
      <color theme="0"/>
      <name val="Calibri"/>
      <family val="2"/>
    </font>
    <font>
      <sz val="12"/>
      <color theme="0"/>
      <name val="Calibri"/>
      <family val="2"/>
    </font>
    <font>
      <b/>
      <sz val="14"/>
      <color rgb="FF000000"/>
      <name val="Calibri"/>
      <family val="2"/>
    </font>
    <font>
      <b/>
      <sz val="14"/>
      <color theme="1"/>
      <name val="Calibri"/>
      <family val="2"/>
    </font>
    <font>
      <sz val="14"/>
      <color theme="1"/>
      <name val="Calibri"/>
      <family val="2"/>
    </font>
    <font>
      <b/>
      <sz val="14"/>
      <color theme="0"/>
      <name val="Calibri"/>
      <family val="2"/>
    </font>
    <font>
      <sz val="14"/>
      <color theme="0"/>
      <name val="Calibri"/>
      <family val="2"/>
    </font>
    <font>
      <sz val="14"/>
      <color rgb="FF000000"/>
      <name val="Calibri"/>
      <family val="2"/>
    </font>
    <font>
      <sz val="12"/>
      <color rgb="FF000000"/>
      <name val="Symbol"/>
      <charset val="2"/>
    </font>
  </fonts>
  <fills count="14">
    <fill>
      <patternFill patternType="none"/>
    </fill>
    <fill>
      <patternFill patternType="gray125"/>
    </fill>
    <fill>
      <patternFill patternType="solid">
        <fgColor theme="1"/>
        <bgColor rgb="FF003300"/>
      </patternFill>
    </fill>
    <fill>
      <patternFill patternType="solid">
        <fgColor rgb="FFFFC000"/>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FFFF00"/>
        <bgColor indexed="64"/>
      </patternFill>
    </fill>
    <fill>
      <patternFill patternType="solid">
        <fgColor theme="7" tint="0.79998168889431442"/>
        <bgColor indexed="64"/>
      </patternFill>
    </fill>
    <fill>
      <patternFill patternType="solid">
        <fgColor theme="7"/>
        <bgColor indexed="64"/>
      </patternFill>
    </fill>
  </fills>
  <borders count="37">
    <border>
      <left/>
      <right/>
      <top/>
      <bottom/>
      <diagonal/>
    </border>
    <border>
      <left/>
      <right/>
      <top/>
      <bottom style="thin">
        <color theme="0" tint="-0.249977111117893"/>
      </bottom>
      <diagonal/>
    </border>
    <border>
      <left/>
      <right/>
      <top style="thin">
        <color theme="0" tint="-0.249977111117893"/>
      </top>
      <bottom style="thin">
        <color theme="0" tint="-0.249977111117893"/>
      </bottom>
      <diagonal/>
    </border>
    <border>
      <left/>
      <right/>
      <top style="thin">
        <color theme="0" tint="-0.249977111117893"/>
      </top>
      <bottom/>
      <diagonal/>
    </border>
    <border>
      <left/>
      <right/>
      <top/>
      <bottom style="thin">
        <color indexed="64"/>
      </bottom>
      <diagonal/>
    </border>
    <border>
      <left/>
      <right/>
      <top style="thin">
        <color theme="0" tint="-0.14999847407452621"/>
      </top>
      <bottom style="thin">
        <color theme="0" tint="-0.14999847407452621"/>
      </bottom>
      <diagonal/>
    </border>
    <border>
      <left/>
      <right/>
      <top/>
      <bottom style="thin">
        <color theme="0" tint="-0.14999847407452621"/>
      </bottom>
      <diagonal/>
    </border>
    <border>
      <left/>
      <right/>
      <top/>
      <bottom style="thin">
        <color theme="1"/>
      </bottom>
      <diagonal/>
    </border>
    <border>
      <left/>
      <right/>
      <top style="thin">
        <color theme="0" tint="-0.14999847407452621"/>
      </top>
      <bottom style="thin">
        <color theme="1"/>
      </bottom>
      <diagonal/>
    </border>
    <border>
      <left/>
      <right style="thin">
        <color indexed="64"/>
      </right>
      <top/>
      <bottom/>
      <diagonal/>
    </border>
    <border>
      <left/>
      <right style="thin">
        <color indexed="64"/>
      </right>
      <top/>
      <bottom style="thin">
        <color theme="0" tint="-0.14999847407452621"/>
      </bottom>
      <diagonal/>
    </border>
    <border>
      <left/>
      <right style="thin">
        <color indexed="64"/>
      </right>
      <top style="thin">
        <color theme="0" tint="-0.14999847407452621"/>
      </top>
      <bottom style="thin">
        <color theme="0" tint="-0.14999847407452621"/>
      </bottom>
      <diagonal/>
    </border>
    <border>
      <left/>
      <right style="thin">
        <color indexed="64"/>
      </right>
      <top/>
      <bottom style="thin">
        <color indexed="64"/>
      </bottom>
      <diagonal/>
    </border>
    <border>
      <left/>
      <right style="thin">
        <color indexed="64"/>
      </right>
      <top/>
      <bottom style="thin">
        <color theme="1"/>
      </bottom>
      <diagonal/>
    </border>
    <border>
      <left style="thin">
        <color indexed="64"/>
      </left>
      <right/>
      <top/>
      <bottom/>
      <diagonal/>
    </border>
    <border>
      <left style="thin">
        <color indexed="64"/>
      </left>
      <right/>
      <top/>
      <bottom style="thin">
        <color theme="0" tint="-0.14999847407452621"/>
      </bottom>
      <diagonal/>
    </border>
    <border>
      <left style="thin">
        <color indexed="64"/>
      </left>
      <right/>
      <top style="thin">
        <color theme="0" tint="-0.14999847407452621"/>
      </top>
      <bottom style="thin">
        <color theme="0" tint="-0.14999847407452621"/>
      </bottom>
      <diagonal/>
    </border>
    <border>
      <left style="thin">
        <color indexed="64"/>
      </left>
      <right/>
      <top/>
      <bottom style="thin">
        <color indexed="64"/>
      </bottom>
      <diagonal/>
    </border>
    <border>
      <left style="thin">
        <color indexed="64"/>
      </left>
      <right/>
      <top/>
      <bottom style="thin">
        <color theme="1"/>
      </bottom>
      <diagonal/>
    </border>
    <border>
      <left style="thin">
        <color indexed="64"/>
      </left>
      <right/>
      <top style="thin">
        <color theme="0" tint="-0.14999847407452621"/>
      </top>
      <bottom style="thin">
        <color theme="0" tint="-0.249977111117893"/>
      </bottom>
      <diagonal/>
    </border>
    <border>
      <left/>
      <right/>
      <top style="thin">
        <color theme="0" tint="-0.14999847407452621"/>
      </top>
      <bottom style="thin">
        <color theme="0" tint="-0.249977111117893"/>
      </bottom>
      <diagonal/>
    </border>
    <border>
      <left/>
      <right style="thin">
        <color indexed="64"/>
      </right>
      <top style="thin">
        <color theme="0" tint="-0.14999847407452621"/>
      </top>
      <bottom style="thin">
        <color theme="0" tint="-0.249977111117893"/>
      </bottom>
      <diagonal/>
    </border>
    <border>
      <left/>
      <right style="thin">
        <color indexed="64"/>
      </right>
      <top style="thin">
        <color theme="0" tint="-0.249977111117893"/>
      </top>
      <bottom style="thin">
        <color theme="0" tint="-0.249977111117893"/>
      </bottom>
      <diagonal/>
    </border>
    <border>
      <left style="thin">
        <color indexed="64"/>
      </left>
      <right/>
      <top style="thin">
        <color theme="0" tint="-0.249977111117893"/>
      </top>
      <bottom style="thin">
        <color theme="0" tint="-0.249977111117893"/>
      </bottom>
      <diagonal/>
    </border>
    <border>
      <left/>
      <right style="thin">
        <color indexed="64"/>
      </right>
      <top/>
      <bottom style="thin">
        <color theme="0" tint="-0.249977111117893"/>
      </bottom>
      <diagonal/>
    </border>
    <border>
      <left style="thin">
        <color indexed="64"/>
      </left>
      <right/>
      <top/>
      <bottom style="thin">
        <color theme="0" tint="-0.249977111117893"/>
      </bottom>
      <diagonal/>
    </border>
    <border>
      <left style="thin">
        <color theme="1"/>
      </left>
      <right/>
      <top/>
      <bottom/>
      <diagonal/>
    </border>
    <border>
      <left/>
      <right style="thin">
        <color indexed="64"/>
      </right>
      <top style="thin">
        <color theme="0" tint="-0.249977111117893"/>
      </top>
      <bottom/>
      <diagonal/>
    </border>
    <border>
      <left/>
      <right style="thin">
        <color indexed="64"/>
      </right>
      <top style="thin">
        <color theme="0" tint="-0.249977111117893"/>
      </top>
      <bottom style="thin">
        <color indexed="64"/>
      </bottom>
      <diagonal/>
    </border>
    <border>
      <left/>
      <right/>
      <top style="thin">
        <color theme="0" tint="-0.14999847407452621"/>
      </top>
      <bottom/>
      <diagonal/>
    </border>
    <border>
      <left style="thin">
        <color indexed="64"/>
      </left>
      <right/>
      <top style="thin">
        <color theme="0" tint="-0.14999847407452621"/>
      </top>
      <bottom/>
      <diagonal/>
    </border>
    <border>
      <left/>
      <right style="thin">
        <color indexed="64"/>
      </right>
      <top style="thin">
        <color theme="0" tint="-0.14999847407452621"/>
      </top>
      <bottom/>
      <diagonal/>
    </border>
    <border>
      <left/>
      <right style="thin">
        <color theme="1"/>
      </right>
      <top/>
      <bottom/>
      <diagonal/>
    </border>
    <border>
      <left/>
      <right style="thin">
        <color theme="1"/>
      </right>
      <top/>
      <bottom style="thin">
        <color indexed="64"/>
      </bottom>
      <diagonal/>
    </border>
    <border>
      <left/>
      <right style="thin">
        <color theme="1"/>
      </right>
      <top/>
      <bottom style="thin">
        <color theme="1"/>
      </bottom>
      <diagonal/>
    </border>
    <border>
      <left/>
      <right style="thin">
        <color theme="1"/>
      </right>
      <top/>
      <bottom style="thin">
        <color theme="0" tint="-0.249977111117893"/>
      </bottom>
      <diagonal/>
    </border>
    <border>
      <left style="thin">
        <color theme="1"/>
      </left>
      <right/>
      <top/>
      <bottom style="thin">
        <color indexed="64"/>
      </bottom>
      <diagonal/>
    </border>
  </borders>
  <cellStyleXfs count="5">
    <xf numFmtId="0" fontId="0" fillId="0" borderId="0"/>
    <xf numFmtId="9" fontId="5" fillId="0" borderId="0" applyBorder="0" applyProtection="0"/>
    <xf numFmtId="43" fontId="5" fillId="0" borderId="0" applyFont="0" applyFill="0" applyBorder="0" applyAlignment="0" applyProtection="0"/>
    <xf numFmtId="0" fontId="5" fillId="0" borderId="0"/>
    <xf numFmtId="43" fontId="5" fillId="0" borderId="0" applyFont="0" applyFill="0" applyBorder="0" applyAlignment="0" applyProtection="0"/>
  </cellStyleXfs>
  <cellXfs count="419">
    <xf numFmtId="0" fontId="0" fillId="0" borderId="0" xfId="0"/>
    <xf numFmtId="0" fontId="1" fillId="0" borderId="0" xfId="0" applyFont="1"/>
    <xf numFmtId="49" fontId="0" fillId="0" borderId="0" xfId="0" applyNumberFormat="1" applyFont="1"/>
    <xf numFmtId="0" fontId="0" fillId="0" borderId="0" xfId="0" applyAlignment="1">
      <alignment horizontal="left"/>
    </xf>
    <xf numFmtId="0" fontId="3" fillId="2" borderId="0" xfId="0" applyFont="1" applyFill="1"/>
    <xf numFmtId="0" fontId="4" fillId="2" borderId="0" xfId="0" applyFont="1" applyFill="1"/>
    <xf numFmtId="0" fontId="2" fillId="0" borderId="0" xfId="0" applyFont="1"/>
    <xf numFmtId="0" fontId="2" fillId="0" borderId="0" xfId="0" applyFont="1" applyAlignment="1">
      <alignment horizontal="center"/>
    </xf>
    <xf numFmtId="0" fontId="0" fillId="0" borderId="0" xfId="0" applyFont="1"/>
    <xf numFmtId="0" fontId="0" fillId="0" borderId="0" xfId="0" applyAlignment="1">
      <alignment horizontal="center"/>
    </xf>
    <xf numFmtId="0" fontId="0" fillId="0" borderId="0" xfId="0" applyAlignment="1">
      <alignment horizontal="right"/>
    </xf>
    <xf numFmtId="9" fontId="0" fillId="0" borderId="0" xfId="1" applyFont="1" applyBorder="1" applyAlignment="1" applyProtection="1">
      <alignment horizontal="center"/>
    </xf>
    <xf numFmtId="0" fontId="6" fillId="0" borderId="0" xfId="0" applyFont="1"/>
    <xf numFmtId="0" fontId="0" fillId="0" borderId="0" xfId="0" applyFont="1" applyFill="1"/>
    <xf numFmtId="0" fontId="6" fillId="0" borderId="0" xfId="0" applyFont="1" applyFill="1"/>
    <xf numFmtId="0" fontId="0" fillId="0" borderId="0" xfId="0" applyFill="1"/>
    <xf numFmtId="0" fontId="0" fillId="0" borderId="0" xfId="0" applyAlignment="1">
      <alignment wrapText="1"/>
    </xf>
    <xf numFmtId="0" fontId="2" fillId="0" borderId="0" xfId="0" applyFont="1" applyAlignment="1">
      <alignment wrapText="1"/>
    </xf>
    <xf numFmtId="0" fontId="0" fillId="0" borderId="0" xfId="0" applyAlignment="1">
      <alignment horizontal="left" wrapText="1"/>
    </xf>
    <xf numFmtId="0" fontId="4" fillId="0" borderId="0" xfId="0" applyFont="1"/>
    <xf numFmtId="0" fontId="3" fillId="0" borderId="0" xfId="0" applyFont="1"/>
    <xf numFmtId="0" fontId="10" fillId="0" borderId="0" xfId="0" applyFont="1"/>
    <xf numFmtId="0" fontId="11" fillId="0" borderId="0" xfId="0" applyFont="1"/>
    <xf numFmtId="0" fontId="2" fillId="0" borderId="0" xfId="0" applyFont="1" applyAlignment="1"/>
    <xf numFmtId="0" fontId="0" fillId="0" borderId="0" xfId="0" applyFill="1" applyAlignment="1">
      <alignment horizontal="center"/>
    </xf>
    <xf numFmtId="0" fontId="0" fillId="0" borderId="0" xfId="0" applyFill="1" applyBorder="1"/>
    <xf numFmtId="0" fontId="10" fillId="0" borderId="0" xfId="0" applyFont="1" applyAlignment="1">
      <alignment horizontal="right"/>
    </xf>
    <xf numFmtId="0" fontId="11" fillId="0" borderId="0" xfId="0" applyFont="1" applyAlignment="1">
      <alignment horizontal="right"/>
    </xf>
    <xf numFmtId="9" fontId="0" fillId="0" borderId="0" xfId="0" applyNumberFormat="1" applyAlignment="1">
      <alignment horizontal="center"/>
    </xf>
    <xf numFmtId="0" fontId="0" fillId="3" borderId="0" xfId="0" applyFill="1"/>
    <xf numFmtId="49" fontId="0" fillId="0" borderId="0" xfId="0" applyNumberFormat="1" applyAlignment="1">
      <alignment horizontal="center"/>
    </xf>
    <xf numFmtId="0" fontId="0" fillId="0" borderId="0" xfId="0" applyBorder="1"/>
    <xf numFmtId="0" fontId="0" fillId="0" borderId="0" xfId="0" applyBorder="1" applyAlignment="1">
      <alignment horizontal="center"/>
    </xf>
    <xf numFmtId="0" fontId="0" fillId="0" borderId="1" xfId="0" applyBorder="1"/>
    <xf numFmtId="0" fontId="0" fillId="0" borderId="1" xfId="0" applyBorder="1" applyAlignment="1">
      <alignment horizontal="center"/>
    </xf>
    <xf numFmtId="0" fontId="0" fillId="0" borderId="2" xfId="0" applyBorder="1"/>
    <xf numFmtId="0" fontId="0" fillId="0" borderId="2" xfId="0" applyBorder="1" applyAlignment="1">
      <alignment horizontal="center"/>
    </xf>
    <xf numFmtId="0" fontId="2" fillId="4" borderId="0" xfId="0" applyFont="1" applyFill="1" applyAlignment="1">
      <alignment horizontal="center"/>
    </xf>
    <xf numFmtId="0" fontId="0" fillId="4" borderId="0" xfId="0" applyFill="1"/>
    <xf numFmtId="0" fontId="0" fillId="4" borderId="1" xfId="0" applyFill="1" applyBorder="1" applyAlignment="1">
      <alignment horizontal="center"/>
    </xf>
    <xf numFmtId="0" fontId="0" fillId="4" borderId="0" xfId="0" applyFill="1" applyAlignment="1">
      <alignment horizontal="center"/>
    </xf>
    <xf numFmtId="0" fontId="0" fillId="4" borderId="2" xfId="0" applyFill="1" applyBorder="1" applyAlignment="1">
      <alignment horizontal="center"/>
    </xf>
    <xf numFmtId="0" fontId="0" fillId="4" borderId="0" xfId="0" applyFill="1" applyBorder="1" applyAlignment="1">
      <alignment horizontal="center"/>
    </xf>
    <xf numFmtId="9" fontId="0" fillId="4" borderId="0" xfId="1" applyFont="1" applyFill="1" applyBorder="1" applyAlignment="1" applyProtection="1">
      <alignment horizontal="center"/>
    </xf>
    <xf numFmtId="0" fontId="0" fillId="3" borderId="0" xfId="0" applyFill="1" applyAlignment="1">
      <alignment horizontal="center"/>
    </xf>
    <xf numFmtId="0" fontId="6" fillId="3" borderId="1" xfId="0" applyFont="1" applyFill="1" applyBorder="1"/>
    <xf numFmtId="0" fontId="0" fillId="3" borderId="1" xfId="0" applyFill="1" applyBorder="1" applyAlignment="1">
      <alignment horizontal="center"/>
    </xf>
    <xf numFmtId="0" fontId="0" fillId="0" borderId="0" xfId="0" applyAlignment="1">
      <alignment vertical="center"/>
    </xf>
    <xf numFmtId="0" fontId="0" fillId="4" borderId="0" xfId="0" applyFill="1" applyBorder="1"/>
    <xf numFmtId="49" fontId="0" fillId="4" borderId="0" xfId="0" applyNumberFormat="1" applyFill="1" applyAlignment="1">
      <alignment horizontal="center"/>
    </xf>
    <xf numFmtId="49" fontId="0" fillId="0" borderId="2" xfId="0" applyNumberFormat="1" applyBorder="1" applyAlignment="1">
      <alignment horizontal="center"/>
    </xf>
    <xf numFmtId="0" fontId="0" fillId="0" borderId="2" xfId="0" applyFill="1" applyBorder="1"/>
    <xf numFmtId="0" fontId="0" fillId="0" borderId="2" xfId="0" applyFill="1" applyBorder="1" applyAlignment="1">
      <alignment horizontal="center"/>
    </xf>
    <xf numFmtId="49" fontId="0" fillId="0" borderId="0" xfId="0" applyNumberFormat="1" applyBorder="1" applyAlignment="1">
      <alignment horizontal="center"/>
    </xf>
    <xf numFmtId="49" fontId="0" fillId="0" borderId="1" xfId="0" applyNumberFormat="1" applyBorder="1" applyAlignment="1">
      <alignment horizontal="center"/>
    </xf>
    <xf numFmtId="49" fontId="0" fillId="4" borderId="1" xfId="0" applyNumberFormat="1" applyFill="1" applyBorder="1" applyAlignment="1">
      <alignment horizontal="center"/>
    </xf>
    <xf numFmtId="0" fontId="0" fillId="3" borderId="2" xfId="0" applyFill="1" applyBorder="1"/>
    <xf numFmtId="0" fontId="0" fillId="3" borderId="2" xfId="0" applyFill="1" applyBorder="1" applyAlignment="1">
      <alignment horizontal="center"/>
    </xf>
    <xf numFmtId="0" fontId="0" fillId="3" borderId="1" xfId="0" applyFill="1" applyBorder="1"/>
    <xf numFmtId="0" fontId="0" fillId="0" borderId="1" xfId="0" applyFill="1" applyBorder="1"/>
    <xf numFmtId="0" fontId="4" fillId="0" borderId="0" xfId="0" applyFont="1" applyFill="1"/>
    <xf numFmtId="0" fontId="0" fillId="3" borderId="0" xfId="0" applyFill="1" applyBorder="1"/>
    <xf numFmtId="49" fontId="0" fillId="0" borderId="3" xfId="0" applyNumberFormat="1" applyBorder="1" applyAlignment="1">
      <alignment horizontal="center"/>
    </xf>
    <xf numFmtId="49" fontId="0" fillId="4" borderId="0" xfId="0" applyNumberFormat="1" applyFill="1" applyBorder="1" applyAlignment="1">
      <alignment horizontal="center"/>
    </xf>
    <xf numFmtId="0" fontId="2" fillId="0" borderId="0" xfId="0" applyFont="1" applyFill="1" applyBorder="1" applyAlignment="1">
      <alignment wrapText="1"/>
    </xf>
    <xf numFmtId="0" fontId="10" fillId="0" borderId="0" xfId="0" applyFont="1" applyAlignment="1">
      <alignment vertical="center"/>
    </xf>
    <xf numFmtId="0" fontId="10" fillId="9" borderId="0" xfId="0" applyFont="1" applyFill="1"/>
    <xf numFmtId="1" fontId="10" fillId="9" borderId="0" xfId="0" applyNumberFormat="1" applyFont="1" applyFill="1"/>
    <xf numFmtId="0" fontId="10" fillId="10" borderId="0" xfId="0" applyFont="1" applyFill="1"/>
    <xf numFmtId="1" fontId="10" fillId="10" borderId="0" xfId="0" applyNumberFormat="1" applyFont="1" applyFill="1"/>
    <xf numFmtId="164" fontId="10" fillId="9" borderId="0" xfId="2" applyNumberFormat="1" applyFont="1" applyFill="1"/>
    <xf numFmtId="164" fontId="10" fillId="10" borderId="0" xfId="2" applyNumberFormat="1" applyFont="1" applyFill="1"/>
    <xf numFmtId="0" fontId="6" fillId="0" borderId="0" xfId="0" applyFont="1" applyAlignment="1">
      <alignment horizontal="right"/>
    </xf>
    <xf numFmtId="0" fontId="6" fillId="10" borderId="0" xfId="0" applyFont="1" applyFill="1" applyAlignment="1">
      <alignment horizontal="right"/>
    </xf>
    <xf numFmtId="0" fontId="6" fillId="9" borderId="0" xfId="0" applyFont="1" applyFill="1" applyAlignment="1">
      <alignment horizontal="right"/>
    </xf>
    <xf numFmtId="0" fontId="10" fillId="0" borderId="4" xfId="0" applyFont="1" applyBorder="1"/>
    <xf numFmtId="0" fontId="6" fillId="9" borderId="4" xfId="0" applyFont="1" applyFill="1" applyBorder="1" applyAlignment="1">
      <alignment horizontal="right"/>
    </xf>
    <xf numFmtId="0" fontId="6" fillId="10" borderId="4" xfId="0" applyFont="1" applyFill="1" applyBorder="1" applyAlignment="1">
      <alignment horizontal="right"/>
    </xf>
    <xf numFmtId="0" fontId="10" fillId="11" borderId="0" xfId="0" applyFont="1" applyFill="1"/>
    <xf numFmtId="43" fontId="10" fillId="9" borderId="0" xfId="2" applyFont="1" applyFill="1"/>
    <xf numFmtId="0" fontId="10" fillId="0" borderId="0" xfId="3" applyFont="1"/>
    <xf numFmtId="0" fontId="10" fillId="0" borderId="0" xfId="3" applyFont="1" applyAlignment="1">
      <alignment horizontal="left"/>
    </xf>
    <xf numFmtId="0" fontId="6" fillId="0" borderId="0" xfId="3" applyFont="1"/>
    <xf numFmtId="0" fontId="10" fillId="0" borderId="9" xfId="3" applyFont="1" applyBorder="1"/>
    <xf numFmtId="2" fontId="10" fillId="0" borderId="0" xfId="3" applyNumberFormat="1" applyFont="1"/>
    <xf numFmtId="2" fontId="10" fillId="0" borderId="14" xfId="3" applyNumberFormat="1" applyFont="1" applyBorder="1"/>
    <xf numFmtId="165" fontId="10" fillId="0" borderId="26" xfId="3" applyNumberFormat="1" applyFont="1" applyBorder="1"/>
    <xf numFmtId="0" fontId="10" fillId="0" borderId="14" xfId="3" applyFont="1" applyBorder="1"/>
    <xf numFmtId="164" fontId="10" fillId="0" borderId="9" xfId="4" applyNumberFormat="1" applyFont="1" applyBorder="1"/>
    <xf numFmtId="49" fontId="10" fillId="0" borderId="0" xfId="4" applyNumberFormat="1" applyFont="1" applyBorder="1" applyAlignment="1">
      <alignment horizontal="center"/>
    </xf>
    <xf numFmtId="165" fontId="10" fillId="0" borderId="0" xfId="4" applyNumberFormat="1" applyFont="1" applyBorder="1"/>
    <xf numFmtId="165" fontId="10" fillId="0" borderId="14" xfId="4" applyNumberFormat="1" applyFont="1" applyBorder="1"/>
    <xf numFmtId="0" fontId="10" fillId="0" borderId="9" xfId="3" applyFont="1" applyBorder="1" applyAlignment="1">
      <alignment horizontal="right"/>
    </xf>
    <xf numFmtId="166" fontId="10" fillId="0" borderId="14" xfId="3" applyNumberFormat="1" applyFont="1" applyBorder="1"/>
    <xf numFmtId="164" fontId="10" fillId="0" borderId="22" xfId="4" applyNumberFormat="1" applyFont="1" applyBorder="1"/>
    <xf numFmtId="49" fontId="10" fillId="0" borderId="2" xfId="4" applyNumberFormat="1" applyFont="1" applyBorder="1" applyAlignment="1">
      <alignment horizontal="center"/>
    </xf>
    <xf numFmtId="165" fontId="10" fillId="0" borderId="2" xfId="4" applyNumberFormat="1" applyFont="1" applyBorder="1"/>
    <xf numFmtId="0" fontId="10" fillId="0" borderId="22" xfId="3" applyFont="1" applyBorder="1" applyAlignment="1">
      <alignment horizontal="right"/>
    </xf>
    <xf numFmtId="165" fontId="10" fillId="0" borderId="23" xfId="4" applyNumberFormat="1" applyFont="1" applyBorder="1"/>
    <xf numFmtId="166" fontId="10" fillId="0" borderId="23" xfId="4" applyNumberFormat="1" applyFont="1" applyFill="1" applyBorder="1" applyAlignment="1">
      <alignment horizontal="right"/>
    </xf>
    <xf numFmtId="0" fontId="8" fillId="0" borderId="22" xfId="3" applyFont="1" applyBorder="1" applyAlignment="1">
      <alignment horizontal="right" vertical="top" wrapText="1"/>
    </xf>
    <xf numFmtId="165" fontId="10" fillId="0" borderId="2" xfId="3" applyNumberFormat="1" applyFont="1" applyBorder="1"/>
    <xf numFmtId="0" fontId="8" fillId="0" borderId="2" xfId="3" applyFont="1" applyBorder="1" applyAlignment="1">
      <alignment vertical="top"/>
    </xf>
    <xf numFmtId="164" fontId="10" fillId="0" borderId="24" xfId="4" applyNumberFormat="1" applyFont="1" applyBorder="1"/>
    <xf numFmtId="49" fontId="10" fillId="0" borderId="1" xfId="4" applyNumberFormat="1" applyFont="1" applyBorder="1" applyAlignment="1">
      <alignment horizontal="center"/>
    </xf>
    <xf numFmtId="165" fontId="10" fillId="0" borderId="1" xfId="4" applyNumberFormat="1" applyFont="1" applyBorder="1"/>
    <xf numFmtId="0" fontId="10" fillId="0" borderId="24" xfId="3" applyFont="1" applyBorder="1" applyAlignment="1">
      <alignment horizontal="right"/>
    </xf>
    <xf numFmtId="165" fontId="10" fillId="0" borderId="25" xfId="3" applyNumberFormat="1" applyFont="1" applyBorder="1"/>
    <xf numFmtId="166" fontId="10" fillId="0" borderId="25" xfId="3" applyNumberFormat="1" applyFont="1" applyBorder="1"/>
    <xf numFmtId="165" fontId="10" fillId="0" borderId="1" xfId="3" applyNumberFormat="1" applyFont="1" applyBorder="1"/>
    <xf numFmtId="0" fontId="10" fillId="0" borderId="1" xfId="3" applyFont="1" applyBorder="1" applyAlignment="1">
      <alignment horizontal="left"/>
    </xf>
    <xf numFmtId="0" fontId="6" fillId="0" borderId="9" xfId="3" applyFont="1" applyBorder="1" applyAlignment="1">
      <alignment horizontal="right"/>
    </xf>
    <xf numFmtId="49" fontId="6" fillId="0" borderId="0" xfId="3" applyNumberFormat="1" applyFont="1" applyAlignment="1">
      <alignment horizontal="right"/>
    </xf>
    <xf numFmtId="0" fontId="6" fillId="0" borderId="0" xfId="3" applyFont="1" applyAlignment="1">
      <alignment horizontal="right"/>
    </xf>
    <xf numFmtId="165" fontId="6" fillId="0" borderId="0" xfId="3" applyNumberFormat="1" applyFont="1" applyAlignment="1">
      <alignment horizontal="right"/>
    </xf>
    <xf numFmtId="166" fontId="6" fillId="0" borderId="0" xfId="3" applyNumberFormat="1" applyFont="1" applyAlignment="1">
      <alignment horizontal="right"/>
    </xf>
    <xf numFmtId="0" fontId="6" fillId="0" borderId="0" xfId="3" applyFont="1" applyAlignment="1">
      <alignment horizontal="left"/>
    </xf>
    <xf numFmtId="49" fontId="10" fillId="0" borderId="0" xfId="4" applyNumberFormat="1" applyFont="1" applyBorder="1"/>
    <xf numFmtId="164" fontId="10" fillId="0" borderId="14" xfId="4" applyNumberFormat="1" applyFont="1" applyBorder="1"/>
    <xf numFmtId="164" fontId="10" fillId="0" borderId="9" xfId="4" applyNumberFormat="1" applyFont="1" applyFill="1" applyBorder="1" applyAlignment="1">
      <alignment horizontal="center"/>
    </xf>
    <xf numFmtId="166" fontId="10" fillId="0" borderId="14" xfId="4" applyNumberFormat="1" applyFont="1" applyFill="1" applyBorder="1"/>
    <xf numFmtId="0" fontId="9" fillId="0" borderId="0" xfId="3" applyFont="1" applyAlignment="1">
      <alignment horizontal="left"/>
    </xf>
    <xf numFmtId="0" fontId="8" fillId="0" borderId="0" xfId="3" applyFont="1" applyAlignment="1">
      <alignment horizontal="left"/>
    </xf>
    <xf numFmtId="164" fontId="10" fillId="0" borderId="2" xfId="4" applyNumberFormat="1" applyFont="1" applyBorder="1"/>
    <xf numFmtId="0" fontId="8" fillId="0" borderId="2" xfId="3" applyFont="1" applyBorder="1" applyAlignment="1">
      <alignment horizontal="left"/>
    </xf>
    <xf numFmtId="164" fontId="10" fillId="0" borderId="21" xfId="4" applyNumberFormat="1" applyFont="1" applyBorder="1"/>
    <xf numFmtId="49" fontId="10" fillId="0" borderId="20" xfId="4" applyNumberFormat="1" applyFont="1" applyBorder="1" applyAlignment="1">
      <alignment horizontal="center"/>
    </xf>
    <xf numFmtId="164" fontId="10" fillId="0" borderId="19" xfId="4" applyNumberFormat="1" applyFont="1" applyBorder="1"/>
    <xf numFmtId="0" fontId="8" fillId="0" borderId="20" xfId="3" applyFont="1" applyBorder="1" applyAlignment="1">
      <alignment horizontal="left"/>
    </xf>
    <xf numFmtId="164" fontId="10" fillId="0" borderId="10" xfId="4" applyNumberFormat="1" applyFont="1" applyBorder="1"/>
    <xf numFmtId="49" fontId="10" fillId="0" borderId="6" xfId="4" applyNumberFormat="1" applyFont="1" applyBorder="1" applyAlignment="1">
      <alignment horizontal="center"/>
    </xf>
    <xf numFmtId="164" fontId="10" fillId="0" borderId="15" xfId="4" applyNumberFormat="1" applyFont="1" applyBorder="1"/>
    <xf numFmtId="0" fontId="8" fillId="0" borderId="6" xfId="3" applyFont="1" applyBorder="1" applyAlignment="1">
      <alignment horizontal="left"/>
    </xf>
    <xf numFmtId="164" fontId="10" fillId="0" borderId="0" xfId="4" applyNumberFormat="1" applyFont="1" applyBorder="1"/>
    <xf numFmtId="164" fontId="10" fillId="0" borderId="9" xfId="4" applyNumberFormat="1" applyFont="1" applyFill="1" applyBorder="1"/>
    <xf numFmtId="164" fontId="10" fillId="0" borderId="12" xfId="4" applyNumberFormat="1" applyFont="1" applyBorder="1"/>
    <xf numFmtId="49" fontId="10" fillId="0" borderId="8" xfId="4" applyNumberFormat="1" applyFont="1" applyBorder="1" applyAlignment="1">
      <alignment horizontal="center"/>
    </xf>
    <xf numFmtId="164" fontId="10" fillId="0" borderId="17" xfId="4" applyNumberFormat="1" applyFont="1" applyBorder="1"/>
    <xf numFmtId="164" fontId="10" fillId="0" borderId="13" xfId="4" applyNumberFormat="1" applyFont="1" applyFill="1" applyBorder="1"/>
    <xf numFmtId="164" fontId="10" fillId="0" borderId="12" xfId="4" applyNumberFormat="1" applyFont="1" applyFill="1" applyBorder="1"/>
    <xf numFmtId="164" fontId="10" fillId="0" borderId="13" xfId="4" applyNumberFormat="1" applyFont="1" applyBorder="1"/>
    <xf numFmtId="164" fontId="10" fillId="0" borderId="7" xfId="4" applyNumberFormat="1" applyFont="1" applyBorder="1"/>
    <xf numFmtId="0" fontId="8" fillId="0" borderId="4" xfId="3" applyFont="1" applyBorder="1" applyAlignment="1">
      <alignment horizontal="left"/>
    </xf>
    <xf numFmtId="164" fontId="10" fillId="0" borderId="11" xfId="4" applyNumberFormat="1" applyFont="1" applyBorder="1"/>
    <xf numFmtId="164" fontId="10" fillId="0" borderId="16" xfId="4" applyNumberFormat="1" applyFont="1" applyBorder="1"/>
    <xf numFmtId="164" fontId="10" fillId="0" borderId="11" xfId="4" applyNumberFormat="1" applyFont="1" applyFill="1" applyBorder="1"/>
    <xf numFmtId="164" fontId="10" fillId="0" borderId="5" xfId="4" applyNumberFormat="1" applyFont="1" applyBorder="1"/>
    <xf numFmtId="0" fontId="8" fillId="0" borderId="5" xfId="3" applyFont="1" applyBorder="1" applyAlignment="1">
      <alignment horizontal="left"/>
    </xf>
    <xf numFmtId="164" fontId="10" fillId="0" borderId="10" xfId="4" applyNumberFormat="1" applyFont="1" applyFill="1" applyBorder="1"/>
    <xf numFmtId="164" fontId="10" fillId="0" borderId="6" xfId="4" applyNumberFormat="1" applyFont="1" applyBorder="1"/>
    <xf numFmtId="0" fontId="9" fillId="0" borderId="0" xfId="3" applyFont="1"/>
    <xf numFmtId="49" fontId="10" fillId="0" borderId="0" xfId="4" applyNumberFormat="1" applyFont="1" applyFill="1" applyBorder="1" applyAlignment="1">
      <alignment horizontal="center"/>
    </xf>
    <xf numFmtId="0" fontId="8" fillId="0" borderId="0" xfId="3" applyFont="1" applyAlignment="1">
      <alignment horizontal="left" indent="1"/>
    </xf>
    <xf numFmtId="164" fontId="10" fillId="0" borderId="18" xfId="4" applyNumberFormat="1" applyFont="1" applyBorder="1"/>
    <xf numFmtId="164" fontId="10" fillId="0" borderId="12" xfId="4" applyNumberFormat="1" applyFont="1" applyBorder="1" applyAlignment="1">
      <alignment horizontal="right"/>
    </xf>
    <xf numFmtId="164" fontId="10" fillId="0" borderId="11" xfId="4" applyNumberFormat="1" applyFont="1" applyBorder="1" applyAlignment="1">
      <alignment horizontal="right"/>
    </xf>
    <xf numFmtId="164" fontId="10" fillId="0" borderId="10" xfId="4" applyNumberFormat="1" applyFont="1" applyBorder="1" applyAlignment="1">
      <alignment horizontal="right"/>
    </xf>
    <xf numFmtId="0" fontId="13" fillId="0" borderId="0" xfId="3" applyFont="1"/>
    <xf numFmtId="0" fontId="13" fillId="2" borderId="0" xfId="3" applyFont="1" applyFill="1"/>
    <xf numFmtId="0" fontId="12" fillId="2" borderId="0" xfId="3" applyFont="1" applyFill="1"/>
    <xf numFmtId="49" fontId="10" fillId="0" borderId="0" xfId="3" applyNumberFormat="1" applyFont="1"/>
    <xf numFmtId="0" fontId="2" fillId="0" borderId="0" xfId="0" applyFont="1" applyFill="1"/>
    <xf numFmtId="0" fontId="6" fillId="0" borderId="0" xfId="0" applyFont="1" applyFill="1" applyBorder="1"/>
    <xf numFmtId="0" fontId="0" fillId="0" borderId="0" xfId="0" applyFill="1" applyBorder="1" applyAlignment="1">
      <alignment horizontal="center"/>
    </xf>
    <xf numFmtId="0" fontId="6" fillId="0" borderId="0" xfId="3" applyFont="1" applyFill="1" applyAlignment="1">
      <alignment horizontal="right"/>
    </xf>
    <xf numFmtId="0" fontId="6" fillId="0" borderId="9" xfId="3" applyFont="1" applyFill="1" applyBorder="1" applyAlignment="1">
      <alignment horizontal="right"/>
    </xf>
    <xf numFmtId="164" fontId="10" fillId="0" borderId="15" xfId="4" applyNumberFormat="1" applyFont="1" applyFill="1" applyBorder="1"/>
    <xf numFmtId="49" fontId="10" fillId="0" borderId="6" xfId="4" applyNumberFormat="1" applyFont="1" applyFill="1" applyBorder="1" applyAlignment="1">
      <alignment horizontal="center"/>
    </xf>
    <xf numFmtId="164" fontId="10" fillId="0" borderId="16" xfId="4" applyNumberFormat="1" applyFont="1" applyFill="1" applyBorder="1"/>
    <xf numFmtId="164" fontId="10" fillId="0" borderId="17" xfId="4" applyNumberFormat="1" applyFont="1" applyFill="1" applyBorder="1"/>
    <xf numFmtId="49" fontId="10" fillId="0" borderId="8" xfId="4" applyNumberFormat="1" applyFont="1" applyFill="1" applyBorder="1" applyAlignment="1">
      <alignment horizontal="center"/>
    </xf>
    <xf numFmtId="164" fontId="10" fillId="0" borderId="14" xfId="4" applyNumberFormat="1" applyFont="1" applyFill="1" applyBorder="1"/>
    <xf numFmtId="49" fontId="10" fillId="0" borderId="0" xfId="4" applyNumberFormat="1" applyFont="1" applyFill="1" applyBorder="1"/>
    <xf numFmtId="164" fontId="10" fillId="0" borderId="19" xfId="4" applyNumberFormat="1" applyFont="1" applyFill="1" applyBorder="1"/>
    <xf numFmtId="49" fontId="10" fillId="0" borderId="20" xfId="4" applyNumberFormat="1" applyFont="1" applyFill="1" applyBorder="1" applyAlignment="1">
      <alignment horizontal="center"/>
    </xf>
    <xf numFmtId="164" fontId="10" fillId="0" borderId="21" xfId="4" applyNumberFormat="1" applyFont="1" applyFill="1" applyBorder="1"/>
    <xf numFmtId="164" fontId="10" fillId="0" borderId="2" xfId="4" applyNumberFormat="1" applyFont="1" applyFill="1" applyBorder="1"/>
    <xf numFmtId="49" fontId="10" fillId="0" borderId="2" xfId="4" applyNumberFormat="1" applyFont="1" applyFill="1" applyBorder="1" applyAlignment="1">
      <alignment horizontal="center"/>
    </xf>
    <xf numFmtId="164" fontId="10" fillId="0" borderId="22" xfId="4" applyNumberFormat="1" applyFont="1" applyFill="1" applyBorder="1"/>
    <xf numFmtId="49" fontId="6" fillId="0" borderId="0" xfId="3" applyNumberFormat="1" applyFont="1" applyFill="1" applyAlignment="1">
      <alignment horizontal="right"/>
    </xf>
    <xf numFmtId="165" fontId="10" fillId="0" borderId="1" xfId="4" applyNumberFormat="1" applyFont="1" applyFill="1" applyBorder="1"/>
    <xf numFmtId="49" fontId="10" fillId="0" borderId="1" xfId="4" applyNumberFormat="1" applyFont="1" applyFill="1" applyBorder="1" applyAlignment="1">
      <alignment horizontal="center"/>
    </xf>
    <xf numFmtId="164" fontId="10" fillId="0" borderId="24" xfId="4" applyNumberFormat="1" applyFont="1" applyFill="1" applyBorder="1" applyAlignment="1">
      <alignment horizontal="right"/>
    </xf>
    <xf numFmtId="165" fontId="10" fillId="0" borderId="2" xfId="4" applyNumberFormat="1" applyFont="1" applyFill="1" applyBorder="1"/>
    <xf numFmtId="164" fontId="10" fillId="0" borderId="22" xfId="4" applyNumberFormat="1" applyFont="1" applyFill="1" applyBorder="1" applyAlignment="1">
      <alignment horizontal="right"/>
    </xf>
    <xf numFmtId="165" fontId="10" fillId="0" borderId="0" xfId="4" applyNumberFormat="1" applyFont="1" applyFill="1" applyBorder="1"/>
    <xf numFmtId="164" fontId="10" fillId="0" borderId="9" xfId="4" applyNumberFormat="1" applyFont="1" applyFill="1" applyBorder="1" applyAlignment="1">
      <alignment horizontal="right"/>
    </xf>
    <xf numFmtId="2" fontId="10" fillId="0" borderId="14" xfId="3" applyNumberFormat="1" applyFont="1" applyFill="1" applyBorder="1"/>
    <xf numFmtId="2" fontId="10" fillId="0" borderId="0" xfId="3" applyNumberFormat="1" applyFont="1" applyFill="1"/>
    <xf numFmtId="0" fontId="10" fillId="0" borderId="9" xfId="3" applyFont="1" applyFill="1" applyBorder="1"/>
    <xf numFmtId="164" fontId="10" fillId="0" borderId="9" xfId="4" applyNumberFormat="1" applyFont="1" applyBorder="1" applyAlignment="1">
      <alignment horizontal="right"/>
    </xf>
    <xf numFmtId="164" fontId="10" fillId="0" borderId="22" xfId="4" applyNumberFormat="1" applyFont="1" applyBorder="1" applyAlignment="1">
      <alignment horizontal="right"/>
    </xf>
    <xf numFmtId="164" fontId="10" fillId="0" borderId="24" xfId="4" applyNumberFormat="1" applyFont="1" applyBorder="1" applyAlignment="1">
      <alignment horizontal="right"/>
    </xf>
    <xf numFmtId="0" fontId="10" fillId="0" borderId="0" xfId="3" applyFont="1" applyBorder="1"/>
    <xf numFmtId="164" fontId="10" fillId="0" borderId="23" xfId="4" applyNumberFormat="1" applyFont="1" applyBorder="1"/>
    <xf numFmtId="0" fontId="6" fillId="0" borderId="14" xfId="3" applyFont="1" applyBorder="1" applyAlignment="1">
      <alignment horizontal="right"/>
    </xf>
    <xf numFmtId="165" fontId="10" fillId="0" borderId="25" xfId="4" applyNumberFormat="1" applyFont="1" applyFill="1" applyBorder="1"/>
    <xf numFmtId="165" fontId="10" fillId="0" borderId="23" xfId="4" applyNumberFormat="1" applyFont="1" applyFill="1" applyBorder="1"/>
    <xf numFmtId="165" fontId="10" fillId="0" borderId="14" xfId="4" applyNumberFormat="1" applyFont="1" applyFill="1" applyBorder="1"/>
    <xf numFmtId="1" fontId="10" fillId="0" borderId="15" xfId="3" applyNumberFormat="1" applyFont="1" applyBorder="1"/>
    <xf numFmtId="1" fontId="10" fillId="0" borderId="6" xfId="4" applyNumberFormat="1" applyFont="1" applyBorder="1" applyAlignment="1">
      <alignment horizontal="center"/>
    </xf>
    <xf numFmtId="1" fontId="10" fillId="0" borderId="16" xfId="3" applyNumberFormat="1" applyFont="1" applyBorder="1"/>
    <xf numFmtId="1" fontId="10" fillId="0" borderId="17" xfId="3" applyNumberFormat="1" applyFont="1" applyBorder="1"/>
    <xf numFmtId="1" fontId="10" fillId="0" borderId="8" xfId="4" applyNumberFormat="1" applyFont="1" applyBorder="1" applyAlignment="1">
      <alignment horizontal="center"/>
    </xf>
    <xf numFmtId="1" fontId="10" fillId="0" borderId="14" xfId="3" applyNumberFormat="1" applyFont="1" applyBorder="1"/>
    <xf numFmtId="1" fontId="10" fillId="0" borderId="0" xfId="4" applyNumberFormat="1" applyFont="1" applyBorder="1" applyAlignment="1">
      <alignment horizontal="center"/>
    </xf>
    <xf numFmtId="1" fontId="10" fillId="0" borderId="14" xfId="4" applyNumberFormat="1" applyFont="1" applyFill="1" applyBorder="1"/>
    <xf numFmtId="1" fontId="10" fillId="0" borderId="19" xfId="3" applyNumberFormat="1" applyFont="1" applyBorder="1"/>
    <xf numFmtId="1" fontId="10" fillId="0" borderId="20" xfId="4" applyNumberFormat="1" applyFont="1" applyBorder="1" applyAlignment="1">
      <alignment horizontal="center"/>
    </xf>
    <xf numFmtId="1" fontId="10" fillId="0" borderId="23" xfId="3" applyNumberFormat="1" applyFont="1" applyBorder="1"/>
    <xf numFmtId="1" fontId="10" fillId="0" borderId="2" xfId="4" applyNumberFormat="1" applyFont="1" applyBorder="1" applyAlignment="1">
      <alignment horizontal="center"/>
    </xf>
    <xf numFmtId="164" fontId="10" fillId="0" borderId="4" xfId="4" applyNumberFormat="1" applyFont="1" applyBorder="1"/>
    <xf numFmtId="164" fontId="10" fillId="0" borderId="20" xfId="4" applyNumberFormat="1" applyFont="1" applyBorder="1"/>
    <xf numFmtId="164" fontId="10" fillId="0" borderId="0" xfId="4" applyNumberFormat="1" applyFont="1" applyFill="1" applyBorder="1"/>
    <xf numFmtId="164" fontId="10" fillId="0" borderId="3" xfId="4" applyNumberFormat="1" applyFont="1" applyBorder="1"/>
    <xf numFmtId="49" fontId="10" fillId="0" borderId="3" xfId="4" applyNumberFormat="1" applyFont="1" applyBorder="1" applyAlignment="1">
      <alignment horizontal="center"/>
    </xf>
    <xf numFmtId="164" fontId="10" fillId="0" borderId="27" xfId="4" applyNumberFormat="1" applyFont="1" applyBorder="1"/>
    <xf numFmtId="0" fontId="0" fillId="13" borderId="0" xfId="0" applyFill="1" applyAlignment="1">
      <alignment horizontal="center"/>
    </xf>
    <xf numFmtId="0" fontId="0" fillId="13" borderId="0" xfId="0" applyFill="1"/>
    <xf numFmtId="0" fontId="6" fillId="13" borderId="0" xfId="0" applyFont="1" applyFill="1"/>
    <xf numFmtId="0" fontId="7" fillId="0" borderId="0" xfId="0" applyFont="1" applyAlignment="1">
      <alignment vertical="center"/>
    </xf>
    <xf numFmtId="0" fontId="7" fillId="0" borderId="0" xfId="0" applyFont="1" applyFill="1" applyAlignment="1">
      <alignment vertical="center"/>
    </xf>
    <xf numFmtId="0" fontId="10" fillId="0" borderId="0" xfId="0" applyFont="1" applyFill="1"/>
    <xf numFmtId="0" fontId="0" fillId="11" borderId="0" xfId="0" applyFill="1"/>
    <xf numFmtId="0" fontId="0" fillId="11" borderId="0" xfId="0" applyFill="1" applyAlignment="1">
      <alignment horizontal="center"/>
    </xf>
    <xf numFmtId="0" fontId="0" fillId="11" borderId="0" xfId="0" applyFont="1" applyFill="1"/>
    <xf numFmtId="0" fontId="8" fillId="0" borderId="29" xfId="3" applyFont="1" applyBorder="1" applyAlignment="1">
      <alignment horizontal="left"/>
    </xf>
    <xf numFmtId="164" fontId="10" fillId="0" borderId="30" xfId="4" applyNumberFormat="1" applyFont="1" applyBorder="1"/>
    <xf numFmtId="49" fontId="10" fillId="0" borderId="29" xfId="4" applyNumberFormat="1" applyFont="1" applyBorder="1" applyAlignment="1">
      <alignment horizontal="center"/>
    </xf>
    <xf numFmtId="164" fontId="10" fillId="0" borderId="31" xfId="4" applyNumberFormat="1" applyFont="1" applyBorder="1"/>
    <xf numFmtId="164" fontId="10" fillId="0" borderId="29" xfId="4" applyNumberFormat="1" applyFont="1" applyBorder="1"/>
    <xf numFmtId="164" fontId="10" fillId="0" borderId="26" xfId="4" applyNumberFormat="1" applyFont="1" applyBorder="1"/>
    <xf numFmtId="164" fontId="10" fillId="0" borderId="32" xfId="4" applyNumberFormat="1" applyFont="1" applyBorder="1"/>
    <xf numFmtId="0" fontId="10" fillId="0" borderId="32" xfId="3" applyFont="1" applyBorder="1"/>
    <xf numFmtId="0" fontId="8" fillId="0" borderId="33" xfId="3" applyFont="1" applyBorder="1" applyAlignment="1">
      <alignment horizontal="left"/>
    </xf>
    <xf numFmtId="0" fontId="9" fillId="0" borderId="32" xfId="3" applyFont="1" applyBorder="1" applyAlignment="1">
      <alignment horizontal="left"/>
    </xf>
    <xf numFmtId="164" fontId="10" fillId="0" borderId="33" xfId="4" applyNumberFormat="1" applyFont="1" applyBorder="1"/>
    <xf numFmtId="1" fontId="10" fillId="0" borderId="4" xfId="3" applyNumberFormat="1" applyFont="1" applyBorder="1"/>
    <xf numFmtId="1" fontId="10" fillId="0" borderId="0" xfId="3" applyNumberFormat="1" applyFont="1" applyBorder="1"/>
    <xf numFmtId="0" fontId="6" fillId="0" borderId="32" xfId="3" applyFont="1" applyBorder="1" applyAlignment="1">
      <alignment horizontal="right"/>
    </xf>
    <xf numFmtId="164" fontId="10" fillId="0" borderId="33" xfId="4" applyNumberFormat="1" applyFont="1" applyBorder="1" applyAlignment="1">
      <alignment horizontal="right"/>
    </xf>
    <xf numFmtId="164" fontId="10" fillId="0" borderId="34" xfId="4" applyNumberFormat="1" applyFont="1" applyBorder="1"/>
    <xf numFmtId="164" fontId="10" fillId="0" borderId="33" xfId="4" applyNumberFormat="1" applyFont="1" applyFill="1" applyBorder="1"/>
    <xf numFmtId="164" fontId="10" fillId="0" borderId="32" xfId="4" applyNumberFormat="1" applyFont="1" applyFill="1" applyBorder="1"/>
    <xf numFmtId="164" fontId="10" fillId="0" borderId="34" xfId="4" applyNumberFormat="1" applyFont="1" applyFill="1" applyBorder="1"/>
    <xf numFmtId="49" fontId="10" fillId="0" borderId="7" xfId="4" applyNumberFormat="1" applyFont="1" applyBorder="1" applyAlignment="1">
      <alignment horizontal="center"/>
    </xf>
    <xf numFmtId="0" fontId="10" fillId="0" borderId="35" xfId="3" applyFont="1" applyBorder="1" applyAlignment="1">
      <alignment horizontal="left"/>
    </xf>
    <xf numFmtId="164" fontId="10" fillId="0" borderId="35" xfId="4" applyNumberFormat="1" applyFont="1" applyBorder="1"/>
    <xf numFmtId="1" fontId="10" fillId="0" borderId="7" xfId="4" applyNumberFormat="1" applyFont="1" applyBorder="1" applyAlignment="1">
      <alignment horizontal="center"/>
    </xf>
    <xf numFmtId="1" fontId="10" fillId="0" borderId="30" xfId="3" applyNumberFormat="1" applyFont="1" applyBorder="1"/>
    <xf numFmtId="1" fontId="10" fillId="0" borderId="29" xfId="4" applyNumberFormat="1" applyFont="1" applyBorder="1" applyAlignment="1">
      <alignment horizontal="center"/>
    </xf>
    <xf numFmtId="0" fontId="8" fillId="0" borderId="32" xfId="3" applyFont="1" applyBorder="1" applyAlignment="1">
      <alignment horizontal="left"/>
    </xf>
    <xf numFmtId="1" fontId="10" fillId="0" borderId="26" xfId="3" applyNumberFormat="1" applyFont="1" applyBorder="1"/>
    <xf numFmtId="0" fontId="16" fillId="0" borderId="0" xfId="3" applyFont="1" applyAlignment="1">
      <alignment horizontal="left"/>
    </xf>
    <xf numFmtId="0" fontId="14" fillId="0" borderId="0" xfId="3" applyFont="1"/>
    <xf numFmtId="0" fontId="16" fillId="0" borderId="0" xfId="3" applyFont="1"/>
    <xf numFmtId="49" fontId="16" fillId="0" borderId="0" xfId="3" applyNumberFormat="1" applyFont="1"/>
    <xf numFmtId="0" fontId="17" fillId="2" borderId="0" xfId="3" applyFont="1" applyFill="1"/>
    <xf numFmtId="0" fontId="18" fillId="2" borderId="0" xfId="3" applyFont="1" applyFill="1"/>
    <xf numFmtId="0" fontId="18" fillId="0" borderId="0" xfId="3" applyFont="1" applyFill="1"/>
    <xf numFmtId="0" fontId="16" fillId="0" borderId="0" xfId="3" applyFont="1" applyFill="1"/>
    <xf numFmtId="0" fontId="15" fillId="0" borderId="0" xfId="3" applyFont="1" applyFill="1" applyBorder="1" applyAlignment="1"/>
    <xf numFmtId="0" fontId="16" fillId="0" borderId="14" xfId="3" applyFont="1" applyBorder="1"/>
    <xf numFmtId="0" fontId="16" fillId="0" borderId="0" xfId="3" applyFont="1" applyBorder="1"/>
    <xf numFmtId="0" fontId="16" fillId="0" borderId="9" xfId="3" applyFont="1" applyBorder="1"/>
    <xf numFmtId="0" fontId="15" fillId="0" borderId="0" xfId="3" applyFont="1" applyAlignment="1">
      <alignment horizontal="right"/>
    </xf>
    <xf numFmtId="0" fontId="15" fillId="0" borderId="9" xfId="3" applyFont="1" applyBorder="1" applyAlignment="1">
      <alignment horizontal="right"/>
    </xf>
    <xf numFmtId="0" fontId="15" fillId="0" borderId="0" xfId="3" applyFont="1" applyFill="1" applyAlignment="1">
      <alignment horizontal="right"/>
    </xf>
    <xf numFmtId="0" fontId="15" fillId="0" borderId="9" xfId="3" applyFont="1" applyFill="1" applyBorder="1" applyAlignment="1">
      <alignment horizontal="right"/>
    </xf>
    <xf numFmtId="0" fontId="15" fillId="0" borderId="14" xfId="3" applyFont="1" applyBorder="1" applyAlignment="1">
      <alignment horizontal="right"/>
    </xf>
    <xf numFmtId="0" fontId="15" fillId="0" borderId="0" xfId="3" applyFont="1" applyBorder="1" applyAlignment="1">
      <alignment horizontal="right"/>
    </xf>
    <xf numFmtId="0" fontId="15" fillId="0" borderId="32" xfId="3" applyFont="1" applyBorder="1" applyAlignment="1">
      <alignment horizontal="right"/>
    </xf>
    <xf numFmtId="0" fontId="15" fillId="0" borderId="0" xfId="3" applyFont="1" applyFill="1" applyBorder="1" applyAlignment="1">
      <alignment horizontal="right"/>
    </xf>
    <xf numFmtId="0" fontId="16" fillId="0" borderId="32" xfId="3" applyFont="1" applyBorder="1"/>
    <xf numFmtId="164" fontId="16" fillId="0" borderId="0" xfId="4" applyNumberFormat="1" applyFont="1" applyFill="1" applyBorder="1"/>
    <xf numFmtId="49" fontId="16" fillId="0" borderId="0" xfId="4" applyNumberFormat="1" applyFont="1" applyFill="1" applyBorder="1" applyAlignment="1">
      <alignment horizontal="center"/>
    </xf>
    <xf numFmtId="0" fontId="16" fillId="0" borderId="24" xfId="3" applyFont="1" applyBorder="1" applyAlignment="1">
      <alignment horizontal="left"/>
    </xf>
    <xf numFmtId="164" fontId="16" fillId="0" borderId="6" xfId="4" applyNumberFormat="1" applyFont="1" applyBorder="1"/>
    <xf numFmtId="49" fontId="16" fillId="0" borderId="6" xfId="4" applyNumberFormat="1" applyFont="1" applyBorder="1" applyAlignment="1">
      <alignment horizontal="center"/>
    </xf>
    <xf numFmtId="164" fontId="16" fillId="0" borderId="10" xfId="4" applyNumberFormat="1" applyFont="1" applyBorder="1"/>
    <xf numFmtId="165" fontId="16" fillId="0" borderId="1" xfId="4" applyNumberFormat="1" applyFont="1" applyBorder="1"/>
    <xf numFmtId="49" fontId="16" fillId="0" borderId="1" xfId="4" applyNumberFormat="1" applyFont="1" applyBorder="1" applyAlignment="1">
      <alignment horizontal="center"/>
    </xf>
    <xf numFmtId="164" fontId="16" fillId="0" borderId="35" xfId="4" applyNumberFormat="1" applyFont="1" applyBorder="1"/>
    <xf numFmtId="0" fontId="19" fillId="0" borderId="12" xfId="3" applyFont="1" applyBorder="1" applyAlignment="1">
      <alignment horizontal="left"/>
    </xf>
    <xf numFmtId="164" fontId="16" fillId="0" borderId="4" xfId="4" applyNumberFormat="1" applyFont="1" applyBorder="1"/>
    <xf numFmtId="49" fontId="16" fillId="0" borderId="8" xfId="4" applyNumberFormat="1" applyFont="1" applyBorder="1" applyAlignment="1">
      <alignment horizontal="center"/>
    </xf>
    <xf numFmtId="164" fontId="16" fillId="0" borderId="12" xfId="4" applyNumberFormat="1" applyFont="1" applyBorder="1"/>
    <xf numFmtId="164" fontId="16" fillId="0" borderId="12" xfId="4" applyNumberFormat="1" applyFont="1" applyBorder="1" applyAlignment="1">
      <alignment horizontal="right"/>
    </xf>
    <xf numFmtId="164" fontId="16" fillId="0" borderId="4" xfId="4" applyNumberFormat="1" applyFont="1" applyFill="1" applyBorder="1"/>
    <xf numFmtId="49" fontId="16" fillId="0" borderId="8" xfId="4" applyNumberFormat="1" applyFont="1" applyFill="1" applyBorder="1" applyAlignment="1">
      <alignment horizontal="center"/>
    </xf>
    <xf numFmtId="164" fontId="16" fillId="0" borderId="12" xfId="4" applyNumberFormat="1" applyFont="1" applyFill="1" applyBorder="1"/>
    <xf numFmtId="164" fontId="16" fillId="0" borderId="7" xfId="4" applyNumberFormat="1" applyFont="1" applyBorder="1"/>
    <xf numFmtId="49" fontId="16" fillId="0" borderId="7" xfId="4" applyNumberFormat="1" applyFont="1" applyBorder="1" applyAlignment="1">
      <alignment horizontal="center"/>
    </xf>
    <xf numFmtId="164" fontId="16" fillId="0" borderId="34" xfId="4" applyNumberFormat="1" applyFont="1" applyBorder="1"/>
    <xf numFmtId="0" fontId="14" fillId="0" borderId="9" xfId="3" applyFont="1" applyBorder="1" applyAlignment="1">
      <alignment horizontal="left"/>
    </xf>
    <xf numFmtId="164" fontId="16" fillId="0" borderId="0" xfId="4" applyNumberFormat="1" applyFont="1" applyBorder="1"/>
    <xf numFmtId="49" fontId="16" fillId="0" borderId="0" xfId="4" applyNumberFormat="1" applyFont="1" applyBorder="1" applyAlignment="1">
      <alignment horizontal="center"/>
    </xf>
    <xf numFmtId="164" fontId="16" fillId="0" borderId="9" xfId="4" applyNumberFormat="1" applyFont="1" applyBorder="1"/>
    <xf numFmtId="164" fontId="16" fillId="0" borderId="9" xfId="4" applyNumberFormat="1" applyFont="1" applyFill="1" applyBorder="1"/>
    <xf numFmtId="164" fontId="16" fillId="0" borderId="32" xfId="4" applyNumberFormat="1" applyFont="1" applyBorder="1"/>
    <xf numFmtId="49" fontId="16" fillId="0" borderId="0" xfId="4" applyNumberFormat="1" applyFont="1" applyFill="1" applyBorder="1"/>
    <xf numFmtId="0" fontId="16" fillId="0" borderId="9" xfId="3" applyFont="1" applyBorder="1" applyAlignment="1">
      <alignment horizontal="left"/>
    </xf>
    <xf numFmtId="0" fontId="19" fillId="0" borderId="28" xfId="3" applyFont="1" applyBorder="1" applyAlignment="1">
      <alignment horizontal="left"/>
    </xf>
    <xf numFmtId="164" fontId="16" fillId="0" borderId="13" xfId="4" applyNumberFormat="1" applyFont="1" applyBorder="1"/>
    <xf numFmtId="164" fontId="16" fillId="0" borderId="34" xfId="4" applyNumberFormat="1" applyFont="1" applyFill="1" applyBorder="1"/>
    <xf numFmtId="0" fontId="19" fillId="0" borderId="9" xfId="3" applyFont="1" applyBorder="1" applyAlignment="1">
      <alignment horizontal="left"/>
    </xf>
    <xf numFmtId="0" fontId="19" fillId="0" borderId="29" xfId="3" applyFont="1" applyBorder="1" applyAlignment="1">
      <alignment horizontal="left"/>
    </xf>
    <xf numFmtId="164" fontId="16" fillId="0" borderId="30" xfId="4" applyNumberFormat="1" applyFont="1" applyBorder="1"/>
    <xf numFmtId="49" fontId="16" fillId="0" borderId="29" xfId="4" applyNumberFormat="1" applyFont="1" applyBorder="1" applyAlignment="1">
      <alignment horizontal="center"/>
    </xf>
    <xf numFmtId="164" fontId="16" fillId="0" borderId="31" xfId="4" applyNumberFormat="1" applyFont="1" applyBorder="1"/>
    <xf numFmtId="164" fontId="16" fillId="0" borderId="29" xfId="4" applyNumberFormat="1" applyFont="1" applyBorder="1"/>
    <xf numFmtId="164" fontId="16" fillId="0" borderId="30" xfId="4" applyNumberFormat="1" applyFont="1" applyFill="1" applyBorder="1"/>
    <xf numFmtId="49" fontId="16" fillId="0" borderId="29" xfId="4" applyNumberFormat="1" applyFont="1" applyFill="1" applyBorder="1" applyAlignment="1">
      <alignment horizontal="center"/>
    </xf>
    <xf numFmtId="164" fontId="16" fillId="0" borderId="31" xfId="4" applyNumberFormat="1" applyFont="1" applyFill="1" applyBorder="1"/>
    <xf numFmtId="0" fontId="19" fillId="0" borderId="0" xfId="3" applyFont="1" applyBorder="1" applyAlignment="1">
      <alignment horizontal="left"/>
    </xf>
    <xf numFmtId="164" fontId="16" fillId="0" borderId="26" xfId="4" applyNumberFormat="1" applyFont="1" applyBorder="1"/>
    <xf numFmtId="164" fontId="16" fillId="0" borderId="26" xfId="4" applyNumberFormat="1" applyFont="1" applyFill="1" applyBorder="1"/>
    <xf numFmtId="0" fontId="19" fillId="0" borderId="0" xfId="3" applyFont="1" applyAlignment="1">
      <alignment horizontal="left"/>
    </xf>
    <xf numFmtId="164" fontId="16" fillId="0" borderId="14" xfId="4" applyNumberFormat="1" applyFont="1" applyBorder="1"/>
    <xf numFmtId="164" fontId="16" fillId="0" borderId="14" xfId="4" applyNumberFormat="1" applyFont="1" applyFill="1" applyBorder="1"/>
    <xf numFmtId="0" fontId="14" fillId="0" borderId="0" xfId="3" applyFont="1" applyAlignment="1">
      <alignment horizontal="left"/>
    </xf>
    <xf numFmtId="49" fontId="16" fillId="0" borderId="0" xfId="4" applyNumberFormat="1" applyFont="1" applyBorder="1"/>
    <xf numFmtId="165" fontId="16" fillId="0" borderId="0" xfId="4" applyNumberFormat="1" applyFont="1" applyBorder="1"/>
    <xf numFmtId="165" fontId="16" fillId="0" borderId="14" xfId="4" applyNumberFormat="1" applyFont="1" applyBorder="1"/>
    <xf numFmtId="0" fontId="15" fillId="0" borderId="0" xfId="3" applyFont="1" applyAlignment="1">
      <alignment horizontal="left"/>
    </xf>
    <xf numFmtId="49" fontId="15" fillId="0" borderId="0" xfId="3" applyNumberFormat="1" applyFont="1" applyAlignment="1">
      <alignment horizontal="right"/>
    </xf>
    <xf numFmtId="165" fontId="15" fillId="0" borderId="0" xfId="3" applyNumberFormat="1" applyFont="1" applyAlignment="1">
      <alignment horizontal="right"/>
    </xf>
    <xf numFmtId="49" fontId="15" fillId="0" borderId="0" xfId="3" applyNumberFormat="1" applyFont="1" applyFill="1" applyAlignment="1">
      <alignment horizontal="right"/>
    </xf>
    <xf numFmtId="49" fontId="15" fillId="0" borderId="0" xfId="3" applyNumberFormat="1" applyFont="1" applyBorder="1" applyAlignment="1">
      <alignment horizontal="right"/>
    </xf>
    <xf numFmtId="49" fontId="15" fillId="0" borderId="0" xfId="3" applyNumberFormat="1" applyFont="1" applyFill="1" applyBorder="1" applyAlignment="1">
      <alignment horizontal="right"/>
    </xf>
    <xf numFmtId="0" fontId="16" fillId="0" borderId="1" xfId="3" applyFont="1" applyBorder="1" applyAlignment="1">
      <alignment horizontal="left"/>
    </xf>
    <xf numFmtId="0" fontId="16" fillId="0" borderId="24" xfId="3" applyFont="1" applyBorder="1" applyAlignment="1">
      <alignment horizontal="right"/>
    </xf>
    <xf numFmtId="164" fontId="16" fillId="0" borderId="15" xfId="4" applyNumberFormat="1" applyFont="1" applyBorder="1"/>
    <xf numFmtId="164" fontId="16" fillId="0" borderId="24" xfId="4" applyNumberFormat="1" applyFont="1" applyBorder="1"/>
    <xf numFmtId="165" fontId="16" fillId="0" borderId="0" xfId="4" applyNumberFormat="1" applyFont="1" applyFill="1" applyBorder="1"/>
    <xf numFmtId="49" fontId="16" fillId="0" borderId="2" xfId="4" applyNumberFormat="1" applyFont="1" applyBorder="1" applyAlignment="1">
      <alignment horizontal="center"/>
    </xf>
    <xf numFmtId="165" fontId="16" fillId="0" borderId="2" xfId="4" applyNumberFormat="1" applyFont="1" applyBorder="1"/>
    <xf numFmtId="164" fontId="16" fillId="0" borderId="22" xfId="4" applyNumberFormat="1" applyFont="1" applyBorder="1"/>
    <xf numFmtId="0" fontId="16" fillId="0" borderId="2" xfId="3" applyFont="1" applyBorder="1" applyAlignment="1">
      <alignment horizontal="left"/>
    </xf>
    <xf numFmtId="0" fontId="16" fillId="0" borderId="22" xfId="3" applyFont="1" applyBorder="1" applyAlignment="1">
      <alignment horizontal="right"/>
    </xf>
    <xf numFmtId="2" fontId="16" fillId="0" borderId="14" xfId="3" applyNumberFormat="1" applyFont="1" applyBorder="1"/>
    <xf numFmtId="2" fontId="16" fillId="0" borderId="0" xfId="3" applyNumberFormat="1" applyFont="1"/>
    <xf numFmtId="2" fontId="16" fillId="0" borderId="14" xfId="3" applyNumberFormat="1" applyFont="1" applyFill="1" applyBorder="1"/>
    <xf numFmtId="2" fontId="16" fillId="0" borderId="0" xfId="3" applyNumberFormat="1" applyFont="1" applyFill="1"/>
    <xf numFmtId="0" fontId="16" fillId="0" borderId="9" xfId="3" applyFont="1" applyFill="1" applyBorder="1"/>
    <xf numFmtId="2" fontId="16" fillId="0" borderId="0" xfId="3" applyNumberFormat="1" applyFont="1" applyBorder="1"/>
    <xf numFmtId="165" fontId="16" fillId="0" borderId="26" xfId="3" applyNumberFormat="1" applyFont="1" applyBorder="1"/>
    <xf numFmtId="2" fontId="16" fillId="0" borderId="0" xfId="3" applyNumberFormat="1" applyFont="1" applyFill="1" applyBorder="1"/>
    <xf numFmtId="0" fontId="16" fillId="0" borderId="0" xfId="3" applyFont="1" applyFill="1" applyBorder="1"/>
    <xf numFmtId="0" fontId="15" fillId="0" borderId="0" xfId="3" applyFont="1"/>
    <xf numFmtId="0" fontId="16" fillId="0" borderId="0" xfId="3" applyFont="1" applyAlignment="1">
      <alignment wrapText="1"/>
    </xf>
    <xf numFmtId="165" fontId="16" fillId="0" borderId="25" xfId="4" applyNumberFormat="1" applyFont="1" applyFill="1" applyBorder="1" applyAlignment="1"/>
    <xf numFmtId="0" fontId="19" fillId="0" borderId="2" xfId="3" applyFont="1" applyBorder="1" applyAlignment="1"/>
    <xf numFmtId="165" fontId="16" fillId="0" borderId="23" xfId="4" applyNumberFormat="1" applyFont="1" applyFill="1" applyBorder="1" applyAlignment="1"/>
    <xf numFmtId="0" fontId="16" fillId="0" borderId="0" xfId="3" applyFont="1" applyAlignment="1"/>
    <xf numFmtId="2" fontId="16" fillId="0" borderId="14" xfId="3" applyNumberFormat="1" applyFont="1" applyBorder="1" applyAlignment="1"/>
    <xf numFmtId="2" fontId="16" fillId="0" borderId="0" xfId="3" applyNumberFormat="1" applyFont="1" applyAlignment="1"/>
    <xf numFmtId="0" fontId="16" fillId="0" borderId="27" xfId="3" applyFont="1" applyBorder="1" applyAlignment="1"/>
    <xf numFmtId="0" fontId="10" fillId="0" borderId="0" xfId="0" applyFont="1" applyAlignment="1">
      <alignment horizontal="center"/>
    </xf>
    <xf numFmtId="0" fontId="10" fillId="0" borderId="0" xfId="0" applyFont="1" applyFill="1" applyAlignment="1">
      <alignment horizontal="center"/>
    </xf>
    <xf numFmtId="0" fontId="10" fillId="0" borderId="0" xfId="0" applyFont="1" applyFill="1" applyAlignment="1">
      <alignment horizontal="center" vertical="center"/>
    </xf>
    <xf numFmtId="0" fontId="10" fillId="0" borderId="0" xfId="0" applyFont="1" applyAlignment="1">
      <alignment horizontal="center" vertical="center"/>
    </xf>
    <xf numFmtId="0" fontId="15" fillId="5" borderId="14" xfId="3" applyFont="1" applyFill="1" applyBorder="1" applyAlignment="1">
      <alignment horizontal="center"/>
    </xf>
    <xf numFmtId="0" fontId="15" fillId="5" borderId="0" xfId="3" applyFont="1" applyFill="1" applyAlignment="1">
      <alignment horizontal="center"/>
    </xf>
    <xf numFmtId="0" fontId="15" fillId="5" borderId="9" xfId="3" applyFont="1" applyFill="1" applyBorder="1" applyAlignment="1">
      <alignment horizontal="center"/>
    </xf>
    <xf numFmtId="0" fontId="15" fillId="0" borderId="0" xfId="3" applyFont="1" applyAlignment="1">
      <alignment horizontal="left" wrapText="1"/>
    </xf>
    <xf numFmtId="0" fontId="14" fillId="0" borderId="0" xfId="3" applyFont="1" applyAlignment="1">
      <alignment horizontal="left" wrapText="1"/>
    </xf>
    <xf numFmtId="0" fontId="14" fillId="12" borderId="14" xfId="3" applyFont="1" applyFill="1" applyBorder="1" applyAlignment="1">
      <alignment horizontal="center" wrapText="1"/>
    </xf>
    <xf numFmtId="0" fontId="14" fillId="12" borderId="0" xfId="3" applyFont="1" applyFill="1" applyBorder="1" applyAlignment="1">
      <alignment horizontal="center" wrapText="1"/>
    </xf>
    <xf numFmtId="0" fontId="14" fillId="12" borderId="9" xfId="3" applyFont="1" applyFill="1" applyBorder="1" applyAlignment="1">
      <alignment horizontal="center" wrapText="1"/>
    </xf>
    <xf numFmtId="0" fontId="15" fillId="6" borderId="0" xfId="3" applyFont="1" applyFill="1" applyAlignment="1">
      <alignment horizontal="center"/>
    </xf>
    <xf numFmtId="0" fontId="15" fillId="6" borderId="9" xfId="3" applyFont="1" applyFill="1" applyBorder="1" applyAlignment="1">
      <alignment horizontal="center"/>
    </xf>
    <xf numFmtId="0" fontId="15" fillId="7" borderId="14" xfId="3" applyFont="1" applyFill="1" applyBorder="1" applyAlignment="1">
      <alignment horizontal="center"/>
    </xf>
    <xf numFmtId="0" fontId="15" fillId="7" borderId="0" xfId="3" applyFont="1" applyFill="1" applyBorder="1" applyAlignment="1">
      <alignment horizontal="center"/>
    </xf>
    <xf numFmtId="0" fontId="15" fillId="7" borderId="9" xfId="3" applyFont="1" applyFill="1" applyBorder="1" applyAlignment="1">
      <alignment horizontal="center"/>
    </xf>
    <xf numFmtId="0" fontId="15" fillId="8" borderId="14" xfId="3" applyFont="1" applyFill="1" applyBorder="1" applyAlignment="1">
      <alignment horizontal="center"/>
    </xf>
    <xf numFmtId="0" fontId="15" fillId="8" borderId="0" xfId="3" applyFont="1" applyFill="1" applyBorder="1" applyAlignment="1">
      <alignment horizontal="center"/>
    </xf>
    <xf numFmtId="0" fontId="15" fillId="8" borderId="9" xfId="3" applyFont="1" applyFill="1" applyBorder="1" applyAlignment="1">
      <alignment horizontal="center"/>
    </xf>
    <xf numFmtId="0" fontId="15" fillId="12" borderId="14" xfId="3" applyFont="1" applyFill="1" applyBorder="1" applyAlignment="1">
      <alignment horizontal="center"/>
    </xf>
    <xf numFmtId="0" fontId="15" fillId="12" borderId="0" xfId="3" applyFont="1" applyFill="1" applyBorder="1" applyAlignment="1">
      <alignment horizontal="center"/>
    </xf>
    <xf numFmtId="0" fontId="15" fillId="12" borderId="9" xfId="3" applyFont="1" applyFill="1" applyBorder="1" applyAlignment="1">
      <alignment horizontal="center"/>
    </xf>
    <xf numFmtId="0" fontId="6" fillId="6" borderId="14" xfId="3" applyFont="1" applyFill="1" applyBorder="1" applyAlignment="1">
      <alignment horizontal="center"/>
    </xf>
    <xf numFmtId="0" fontId="6" fillId="6" borderId="9" xfId="3" applyFont="1" applyFill="1" applyBorder="1" applyAlignment="1">
      <alignment horizontal="center"/>
    </xf>
    <xf numFmtId="0" fontId="6" fillId="5" borderId="14" xfId="3" applyFont="1" applyFill="1" applyBorder="1" applyAlignment="1">
      <alignment horizontal="center"/>
    </xf>
    <xf numFmtId="0" fontId="6" fillId="5" borderId="0" xfId="3" applyFont="1" applyFill="1" applyBorder="1" applyAlignment="1">
      <alignment horizontal="center"/>
    </xf>
    <xf numFmtId="0" fontId="6" fillId="5" borderId="9" xfId="3" applyFont="1" applyFill="1" applyBorder="1" applyAlignment="1">
      <alignment horizontal="center"/>
    </xf>
    <xf numFmtId="0" fontId="10" fillId="0" borderId="0" xfId="3" applyFont="1" applyAlignment="1">
      <alignment horizontal="left" wrapText="1"/>
    </xf>
    <xf numFmtId="0" fontId="6" fillId="12" borderId="14" xfId="3" applyFont="1" applyFill="1" applyBorder="1" applyAlignment="1">
      <alignment horizontal="center"/>
    </xf>
    <xf numFmtId="0" fontId="6" fillId="12" borderId="0" xfId="3" applyFont="1" applyFill="1" applyBorder="1" applyAlignment="1">
      <alignment horizontal="center"/>
    </xf>
    <xf numFmtId="0" fontId="6" fillId="12" borderId="9" xfId="3" applyFont="1" applyFill="1" applyBorder="1" applyAlignment="1">
      <alignment horizontal="center"/>
    </xf>
    <xf numFmtId="0" fontId="6" fillId="5" borderId="0" xfId="3" applyFont="1" applyFill="1" applyAlignment="1">
      <alignment horizontal="center"/>
    </xf>
    <xf numFmtId="0" fontId="6" fillId="0" borderId="0" xfId="3" applyFont="1" applyAlignment="1">
      <alignment horizontal="left" wrapText="1"/>
    </xf>
    <xf numFmtId="0" fontId="9" fillId="0" borderId="0" xfId="3" applyFont="1" applyAlignment="1">
      <alignment horizontal="left" wrapText="1"/>
    </xf>
    <xf numFmtId="0" fontId="9" fillId="12" borderId="14" xfId="3" applyFont="1" applyFill="1" applyBorder="1" applyAlignment="1">
      <alignment horizontal="center" wrapText="1"/>
    </xf>
    <xf numFmtId="0" fontId="9" fillId="12" borderId="0" xfId="3" applyFont="1" applyFill="1" applyBorder="1" applyAlignment="1">
      <alignment horizontal="center" wrapText="1"/>
    </xf>
    <xf numFmtId="0" fontId="9" fillId="12" borderId="9" xfId="3" applyFont="1" applyFill="1" applyBorder="1" applyAlignment="1">
      <alignment horizontal="center" wrapText="1"/>
    </xf>
    <xf numFmtId="0" fontId="6" fillId="6" borderId="0" xfId="3" applyFont="1" applyFill="1" applyAlignment="1">
      <alignment horizontal="center"/>
    </xf>
    <xf numFmtId="0" fontId="6" fillId="7" borderId="14" xfId="3" applyFont="1" applyFill="1" applyBorder="1" applyAlignment="1">
      <alignment horizontal="center"/>
    </xf>
    <xf numFmtId="0" fontId="6" fillId="7" borderId="0" xfId="3" applyFont="1" applyFill="1" applyAlignment="1">
      <alignment horizontal="center"/>
    </xf>
    <xf numFmtId="0" fontId="6" fillId="7" borderId="9" xfId="3" applyFont="1" applyFill="1" applyBorder="1" applyAlignment="1">
      <alignment horizontal="center"/>
    </xf>
    <xf numFmtId="0" fontId="6" fillId="8" borderId="14" xfId="3" applyFont="1" applyFill="1" applyBorder="1" applyAlignment="1">
      <alignment horizontal="center"/>
    </xf>
    <xf numFmtId="0" fontId="6" fillId="8" borderId="0" xfId="3" applyFont="1" applyFill="1" applyAlignment="1">
      <alignment horizontal="center"/>
    </xf>
    <xf numFmtId="0" fontId="6" fillId="8" borderId="9" xfId="3" applyFont="1" applyFill="1" applyBorder="1" applyAlignment="1">
      <alignment horizontal="center"/>
    </xf>
    <xf numFmtId="0" fontId="2" fillId="0" borderId="0" xfId="0" applyFont="1" applyBorder="1" applyAlignment="1">
      <alignment horizontal="left"/>
    </xf>
    <xf numFmtId="0" fontId="0" fillId="0" borderId="0" xfId="0" applyAlignment="1">
      <alignment horizontal="left" vertical="top" wrapText="1"/>
    </xf>
    <xf numFmtId="0" fontId="7" fillId="0" borderId="0" xfId="0" applyFont="1" applyFill="1" applyAlignment="1">
      <alignment horizontal="center" vertical="center"/>
    </xf>
    <xf numFmtId="0" fontId="7" fillId="13" borderId="0" xfId="0" applyFont="1" applyFill="1" applyAlignment="1">
      <alignment horizontal="center" vertical="center"/>
    </xf>
    <xf numFmtId="0" fontId="7" fillId="4" borderId="0" xfId="0" applyFont="1" applyFill="1" applyAlignment="1">
      <alignment horizontal="center" vertical="center"/>
    </xf>
    <xf numFmtId="0" fontId="7" fillId="0" borderId="0" xfId="0" applyFont="1" applyAlignment="1">
      <alignment horizontal="center" vertical="center"/>
    </xf>
    <xf numFmtId="0" fontId="7" fillId="3" borderId="0" xfId="0" applyFont="1" applyFill="1" applyAlignment="1">
      <alignment horizontal="center" vertical="center"/>
    </xf>
    <xf numFmtId="0" fontId="2" fillId="0" borderId="0" xfId="0" applyFont="1" applyAlignment="1">
      <alignment horizontal="left" wrapText="1"/>
    </xf>
    <xf numFmtId="0" fontId="15" fillId="5" borderId="0" xfId="3" applyFont="1" applyFill="1" applyBorder="1" applyAlignment="1">
      <alignment horizontal="center"/>
    </xf>
    <xf numFmtId="0" fontId="15" fillId="7" borderId="0" xfId="3" applyFont="1" applyFill="1" applyAlignment="1">
      <alignment horizontal="center"/>
    </xf>
    <xf numFmtId="0" fontId="15" fillId="8" borderId="0" xfId="3" applyFont="1" applyFill="1" applyAlignment="1">
      <alignment horizontal="center"/>
    </xf>
    <xf numFmtId="0" fontId="16" fillId="0" borderId="36" xfId="3" applyFont="1" applyBorder="1"/>
    <xf numFmtId="0" fontId="16" fillId="0" borderId="4" xfId="3" applyFont="1" applyBorder="1"/>
    <xf numFmtId="0" fontId="16" fillId="0" borderId="12" xfId="3" applyFont="1" applyBorder="1"/>
    <xf numFmtId="0" fontId="16" fillId="0" borderId="17" xfId="3" applyFont="1" applyBorder="1"/>
    <xf numFmtId="0" fontId="20" fillId="0" borderId="0" xfId="0" applyFont="1" applyAlignment="1">
      <alignment horizontal="left" vertical="center" indent="4"/>
    </xf>
  </cellXfs>
  <cellStyles count="5">
    <cellStyle name="Comma" xfId="2" builtinId="3"/>
    <cellStyle name="Comma 2" xfId="4" xr:uid="{781D97B6-ABD3-9D40-99B1-711044DA3197}"/>
    <cellStyle name="Normal" xfId="0" builtinId="0"/>
    <cellStyle name="Normal 2" xfId="3" xr:uid="{8D93A7DE-B5AA-5A40-BF82-A02F875C3207}"/>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2346A-8853-6B4F-82A3-DA1A71CED9D6}">
  <sheetPr>
    <pageSetUpPr fitToPage="1"/>
  </sheetPr>
  <dimension ref="B2:AQ40"/>
  <sheetViews>
    <sheetView zoomScale="60" zoomScaleNormal="60" workbookViewId="0">
      <selection activeCell="Y39" sqref="Y39"/>
    </sheetView>
  </sheetViews>
  <sheetFormatPr baseColWidth="10" defaultColWidth="10.6640625" defaultRowHeight="19" x14ac:dyDescent="0.25"/>
  <cols>
    <col min="1" max="1" width="10.6640625" style="255"/>
    <col min="2" max="2" width="5.6640625" style="253" customWidth="1"/>
    <col min="3" max="3" width="5.5" style="253" customWidth="1"/>
    <col min="4" max="4" width="31.5" style="255" customWidth="1"/>
    <col min="5" max="5" width="9.33203125" style="255" customWidth="1"/>
    <col min="6" max="6" width="2" style="255" customWidth="1"/>
    <col min="7" max="7" width="9.33203125" style="255" customWidth="1"/>
    <col min="8" max="8" width="11.83203125" style="255" customWidth="1"/>
    <col min="9" max="9" width="2" style="255" customWidth="1"/>
    <col min="10" max="11" width="11.83203125" style="255" customWidth="1"/>
    <col min="12" max="12" width="2" style="255" customWidth="1"/>
    <col min="13" max="14" width="11.83203125" style="255" customWidth="1"/>
    <col min="15" max="15" width="2" style="255" customWidth="1"/>
    <col min="16" max="16" width="11.83203125" style="255" customWidth="1"/>
    <col min="17" max="17" width="13.6640625" style="255" customWidth="1"/>
    <col min="18" max="18" width="2" style="255" customWidth="1"/>
    <col min="19" max="19" width="13.1640625" style="255" customWidth="1"/>
    <col min="20" max="20" width="11.83203125" style="255" customWidth="1"/>
    <col min="21" max="21" width="2" style="255" customWidth="1"/>
    <col min="22" max="22" width="11.83203125" style="255" customWidth="1"/>
    <col min="23" max="23" width="12" style="255" customWidth="1"/>
    <col min="24" max="24" width="2" style="255" customWidth="1"/>
    <col min="25" max="26" width="12" style="255" customWidth="1"/>
    <col min="27" max="27" width="2" style="255" customWidth="1"/>
    <col min="28" max="29" width="12" style="255" customWidth="1"/>
    <col min="30" max="30" width="2" style="255" customWidth="1"/>
    <col min="31" max="32" width="12" style="255" customWidth="1"/>
    <col min="33" max="33" width="2" style="255" customWidth="1"/>
    <col min="34" max="35" width="12" style="255" customWidth="1"/>
    <col min="36" max="36" width="2" style="255" customWidth="1"/>
    <col min="37" max="38" width="12" style="255" customWidth="1"/>
    <col min="39" max="39" width="2" style="255" customWidth="1"/>
    <col min="40" max="41" width="12" style="255" customWidth="1"/>
    <col min="42" max="42" width="2" style="255" customWidth="1"/>
    <col min="43" max="43" width="12" style="255" customWidth="1"/>
    <col min="44" max="16384" width="10.6640625" style="255"/>
  </cols>
  <sheetData>
    <row r="2" spans="2:43" x14ac:dyDescent="0.25">
      <c r="C2" s="254" t="s">
        <v>0</v>
      </c>
    </row>
    <row r="3" spans="2:43" x14ac:dyDescent="0.25">
      <c r="C3" s="255" t="s">
        <v>1</v>
      </c>
    </row>
    <row r="4" spans="2:43" x14ac:dyDescent="0.25">
      <c r="C4" s="255" t="s">
        <v>2</v>
      </c>
    </row>
    <row r="5" spans="2:43" x14ac:dyDescent="0.25">
      <c r="C5" s="256" t="s">
        <v>238</v>
      </c>
    </row>
    <row r="6" spans="2:43" x14ac:dyDescent="0.25">
      <c r="C6" s="255" t="s">
        <v>177</v>
      </c>
    </row>
    <row r="7" spans="2:43" ht="34.25" customHeight="1" x14ac:dyDescent="0.25">
      <c r="C7" s="365" t="s">
        <v>240</v>
      </c>
      <c r="D7" s="365"/>
      <c r="E7" s="365"/>
      <c r="F7" s="365"/>
      <c r="G7" s="365"/>
      <c r="H7" s="365"/>
      <c r="I7" s="365"/>
      <c r="J7" s="365"/>
      <c r="K7" s="365"/>
      <c r="L7" s="365"/>
      <c r="M7" s="365"/>
      <c r="N7" s="365"/>
      <c r="O7" s="365"/>
      <c r="P7" s="365"/>
      <c r="Q7" s="365"/>
      <c r="R7" s="365"/>
      <c r="S7" s="365"/>
      <c r="T7" s="365"/>
      <c r="U7" s="365"/>
      <c r="V7" s="365"/>
    </row>
    <row r="9" spans="2:43" ht="23" customHeight="1" x14ac:dyDescent="0.25">
      <c r="C9" s="257" t="s">
        <v>251</v>
      </c>
      <c r="D9" s="257"/>
      <c r="E9" s="257"/>
      <c r="F9" s="257"/>
      <c r="G9" s="257"/>
      <c r="H9" s="258"/>
      <c r="I9" s="258"/>
      <c r="J9" s="258"/>
      <c r="K9" s="258"/>
      <c r="L9" s="258"/>
      <c r="M9" s="258"/>
      <c r="N9" s="258"/>
      <c r="O9" s="258"/>
      <c r="P9" s="258"/>
      <c r="Q9" s="258"/>
      <c r="R9" s="258"/>
      <c r="S9" s="258"/>
      <c r="T9" s="258"/>
      <c r="U9" s="258"/>
      <c r="V9" s="258"/>
      <c r="W9" s="258"/>
      <c r="X9" s="258"/>
      <c r="Y9" s="258"/>
      <c r="Z9" s="258"/>
      <c r="AA9" s="258"/>
      <c r="AB9" s="258"/>
      <c r="AC9" s="258"/>
      <c r="AD9" s="258"/>
      <c r="AE9" s="258"/>
      <c r="AF9" s="258"/>
      <c r="AG9" s="258"/>
      <c r="AH9" s="258"/>
      <c r="AI9" s="258"/>
      <c r="AJ9" s="258"/>
      <c r="AK9" s="258"/>
      <c r="AL9" s="258"/>
      <c r="AM9" s="258"/>
      <c r="AN9" s="258"/>
      <c r="AO9" s="258"/>
      <c r="AP9" s="258"/>
      <c r="AQ9" s="258"/>
    </row>
    <row r="10" spans="2:43" ht="23" customHeight="1" x14ac:dyDescent="0.25">
      <c r="X10" s="260"/>
      <c r="Y10" s="260"/>
      <c r="Z10" s="260"/>
      <c r="AA10" s="260"/>
      <c r="AB10" s="260"/>
      <c r="AC10" s="260"/>
    </row>
    <row r="11" spans="2:43" ht="38" customHeight="1" x14ac:dyDescent="0.25">
      <c r="B11" s="253">
        <v>1</v>
      </c>
      <c r="C11" s="366" t="s">
        <v>66</v>
      </c>
      <c r="D11" s="366"/>
      <c r="E11" s="367" t="s">
        <v>176</v>
      </c>
      <c r="F11" s="368"/>
      <c r="G11" s="369"/>
      <c r="H11" s="370" t="s">
        <v>254</v>
      </c>
      <c r="I11" s="370"/>
      <c r="J11" s="371"/>
      <c r="K11" s="370" t="s">
        <v>254</v>
      </c>
      <c r="L11" s="370"/>
      <c r="M11" s="371"/>
      <c r="N11" s="370" t="s">
        <v>254</v>
      </c>
      <c r="O11" s="370"/>
      <c r="P11" s="371"/>
      <c r="Q11" s="370" t="s">
        <v>254</v>
      </c>
      <c r="R11" s="370"/>
      <c r="S11" s="371"/>
      <c r="T11" s="370" t="s">
        <v>254</v>
      </c>
      <c r="U11" s="370"/>
      <c r="V11" s="371"/>
      <c r="W11" s="370" t="s">
        <v>254</v>
      </c>
      <c r="X11" s="370"/>
      <c r="Y11" s="371"/>
      <c r="Z11" s="412" t="s">
        <v>261</v>
      </c>
      <c r="AA11" s="412"/>
      <c r="AB11" s="374"/>
      <c r="AC11" s="412" t="s">
        <v>261</v>
      </c>
      <c r="AD11" s="412"/>
      <c r="AE11" s="374"/>
      <c r="AF11" s="412" t="s">
        <v>261</v>
      </c>
      <c r="AG11" s="412"/>
      <c r="AH11" s="374"/>
      <c r="AI11" s="412" t="s">
        <v>261</v>
      </c>
      <c r="AJ11" s="412"/>
      <c r="AK11" s="374"/>
      <c r="AL11" s="373" t="s">
        <v>261</v>
      </c>
      <c r="AM11" s="373"/>
      <c r="AN11" s="374"/>
      <c r="AO11" s="372" t="s">
        <v>261</v>
      </c>
      <c r="AP11" s="373"/>
      <c r="AQ11" s="374"/>
    </row>
    <row r="12" spans="2:43" ht="23" customHeight="1" x14ac:dyDescent="0.25">
      <c r="B12" s="253">
        <v>2</v>
      </c>
      <c r="E12" s="378"/>
      <c r="F12" s="379"/>
      <c r="G12" s="380"/>
      <c r="H12" s="363" t="s">
        <v>255</v>
      </c>
      <c r="I12" s="363"/>
      <c r="J12" s="364"/>
      <c r="K12" s="363" t="s">
        <v>256</v>
      </c>
      <c r="L12" s="363"/>
      <c r="M12" s="364"/>
      <c r="N12" s="362" t="s">
        <v>257</v>
      </c>
      <c r="O12" s="363"/>
      <c r="P12" s="364"/>
      <c r="Q12" s="362" t="s">
        <v>258</v>
      </c>
      <c r="R12" s="363"/>
      <c r="S12" s="364"/>
      <c r="T12" s="362" t="s">
        <v>259</v>
      </c>
      <c r="U12" s="411"/>
      <c r="V12" s="364"/>
      <c r="W12" s="362" t="s">
        <v>260</v>
      </c>
      <c r="X12" s="411"/>
      <c r="Y12" s="364"/>
      <c r="Z12" s="413" t="s">
        <v>256</v>
      </c>
      <c r="AA12" s="413"/>
      <c r="AB12" s="377"/>
      <c r="AC12" s="413" t="s">
        <v>262</v>
      </c>
      <c r="AD12" s="413"/>
      <c r="AE12" s="377"/>
      <c r="AF12" s="375" t="s">
        <v>257</v>
      </c>
      <c r="AG12" s="413"/>
      <c r="AH12" s="377"/>
      <c r="AI12" s="375" t="s">
        <v>258</v>
      </c>
      <c r="AJ12" s="413"/>
      <c r="AK12" s="377"/>
      <c r="AL12" s="375" t="s">
        <v>259</v>
      </c>
      <c r="AM12" s="376"/>
      <c r="AN12" s="377"/>
      <c r="AO12" s="375" t="s">
        <v>260</v>
      </c>
      <c r="AP12" s="376"/>
      <c r="AQ12" s="377"/>
    </row>
    <row r="13" spans="2:43" ht="23" customHeight="1" x14ac:dyDescent="0.25">
      <c r="B13" s="253">
        <v>3</v>
      </c>
      <c r="C13" s="254"/>
      <c r="E13" s="262"/>
      <c r="F13" s="263"/>
      <c r="G13" s="264"/>
      <c r="H13" s="265"/>
      <c r="I13" s="265"/>
      <c r="J13" s="266"/>
      <c r="K13" s="267"/>
      <c r="L13" s="267"/>
      <c r="M13" s="268"/>
      <c r="N13" s="267"/>
      <c r="O13" s="267"/>
      <c r="P13" s="268"/>
      <c r="Q13" s="269"/>
      <c r="R13" s="270"/>
      <c r="S13" s="266"/>
      <c r="T13" s="265"/>
      <c r="U13" s="265"/>
      <c r="V13" s="271"/>
      <c r="W13" s="265"/>
      <c r="X13" s="265"/>
      <c r="Y13" s="266"/>
      <c r="Z13" s="267"/>
      <c r="AA13" s="267"/>
      <c r="AB13" s="268"/>
      <c r="AC13" s="267"/>
      <c r="AD13" s="267"/>
      <c r="AE13" s="268"/>
      <c r="AF13" s="269"/>
      <c r="AG13" s="270"/>
      <c r="AH13" s="266"/>
      <c r="AI13" s="265"/>
      <c r="AJ13" s="265"/>
      <c r="AK13" s="271"/>
      <c r="AL13" s="263"/>
      <c r="AM13" s="263"/>
      <c r="AN13" s="264"/>
      <c r="AO13" s="262"/>
      <c r="AP13" s="263"/>
      <c r="AQ13" s="264"/>
    </row>
    <row r="14" spans="2:43" ht="23" customHeight="1" x14ac:dyDescent="0.25">
      <c r="B14" s="253">
        <v>4</v>
      </c>
      <c r="D14" s="264"/>
      <c r="G14" s="264"/>
      <c r="J14" s="264"/>
      <c r="M14" s="264"/>
      <c r="P14" s="264"/>
      <c r="S14" s="264"/>
      <c r="V14" s="273"/>
      <c r="Y14" s="264"/>
      <c r="AB14" s="264"/>
      <c r="AE14" s="264"/>
      <c r="AH14" s="264"/>
      <c r="AK14" s="273"/>
      <c r="AL14" s="263"/>
      <c r="AM14" s="263"/>
      <c r="AN14" s="264"/>
      <c r="AO14" s="262"/>
      <c r="AP14" s="263"/>
      <c r="AQ14" s="264"/>
    </row>
    <row r="15" spans="2:43" ht="23" customHeight="1" x14ac:dyDescent="0.25">
      <c r="B15" s="253">
        <v>5</v>
      </c>
      <c r="D15" s="276"/>
      <c r="E15" s="277">
        <v>0</v>
      </c>
      <c r="F15" s="278"/>
      <c r="G15" s="279">
        <v>0</v>
      </c>
      <c r="H15" s="277">
        <v>0</v>
      </c>
      <c r="I15" s="278"/>
      <c r="J15" s="279">
        <v>0</v>
      </c>
      <c r="K15" s="277">
        <v>0</v>
      </c>
      <c r="L15" s="278"/>
      <c r="M15" s="279">
        <v>0</v>
      </c>
      <c r="N15" s="277">
        <v>0</v>
      </c>
      <c r="O15" s="278"/>
      <c r="P15" s="279">
        <v>0</v>
      </c>
      <c r="Q15" s="277">
        <v>0</v>
      </c>
      <c r="R15" s="278"/>
      <c r="S15" s="279">
        <v>0</v>
      </c>
      <c r="T15" s="280">
        <v>0</v>
      </c>
      <c r="U15" s="281"/>
      <c r="V15" s="282">
        <v>0</v>
      </c>
      <c r="W15" s="277"/>
      <c r="X15" s="278"/>
      <c r="Y15" s="279">
        <v>0</v>
      </c>
      <c r="Z15" s="277">
        <v>0</v>
      </c>
      <c r="AA15" s="278"/>
      <c r="AB15" s="279">
        <v>0</v>
      </c>
      <c r="AC15" s="277">
        <v>0</v>
      </c>
      <c r="AD15" s="278"/>
      <c r="AE15" s="279">
        <v>0</v>
      </c>
      <c r="AF15" s="277">
        <v>0</v>
      </c>
      <c r="AG15" s="278"/>
      <c r="AH15" s="279">
        <v>0</v>
      </c>
      <c r="AI15" s="280">
        <v>0</v>
      </c>
      <c r="AJ15" s="281"/>
      <c r="AK15" s="282">
        <v>0</v>
      </c>
      <c r="AL15" s="280">
        <v>0</v>
      </c>
      <c r="AM15" s="281"/>
      <c r="AN15" s="282">
        <v>0</v>
      </c>
      <c r="AO15" s="280">
        <v>0</v>
      </c>
      <c r="AP15" s="281"/>
      <c r="AQ15" s="282">
        <v>0</v>
      </c>
    </row>
    <row r="16" spans="2:43" ht="23" customHeight="1" x14ac:dyDescent="0.25">
      <c r="B16" s="253">
        <v>6</v>
      </c>
      <c r="D16" s="283"/>
      <c r="E16" s="284"/>
      <c r="F16" s="285"/>
      <c r="G16" s="286"/>
      <c r="H16" s="284"/>
      <c r="I16" s="285"/>
      <c r="J16" s="287"/>
      <c r="K16" s="288"/>
      <c r="L16" s="289"/>
      <c r="M16" s="290"/>
      <c r="N16" s="288"/>
      <c r="O16" s="289"/>
      <c r="P16" s="290"/>
      <c r="Q16" s="284"/>
      <c r="R16" s="285"/>
      <c r="S16" s="286"/>
      <c r="T16" s="291"/>
      <c r="U16" s="292"/>
      <c r="V16" s="293"/>
      <c r="W16" s="284"/>
      <c r="X16" s="285"/>
      <c r="Y16" s="287"/>
      <c r="Z16" s="288"/>
      <c r="AA16" s="289"/>
      <c r="AB16" s="290"/>
      <c r="AC16" s="288"/>
      <c r="AD16" s="289"/>
      <c r="AE16" s="290"/>
      <c r="AF16" s="284"/>
      <c r="AG16" s="285"/>
      <c r="AH16" s="286"/>
      <c r="AI16" s="291"/>
      <c r="AJ16" s="292"/>
      <c r="AK16" s="293"/>
      <c r="AL16" s="414"/>
      <c r="AM16" s="415"/>
      <c r="AN16" s="416"/>
      <c r="AO16" s="417"/>
      <c r="AP16" s="415"/>
      <c r="AQ16" s="416"/>
    </row>
    <row r="17" spans="2:43" ht="23" customHeight="1" x14ac:dyDescent="0.25">
      <c r="B17" s="253">
        <v>7</v>
      </c>
      <c r="D17" s="294"/>
      <c r="E17" s="295"/>
      <c r="F17" s="296"/>
      <c r="G17" s="297"/>
      <c r="H17" s="295"/>
      <c r="I17" s="296"/>
      <c r="J17" s="297"/>
      <c r="K17" s="274"/>
      <c r="L17" s="275"/>
      <c r="M17" s="298"/>
      <c r="N17" s="274"/>
      <c r="O17" s="275"/>
      <c r="P17" s="298"/>
      <c r="Q17" s="295"/>
      <c r="R17" s="296"/>
      <c r="S17" s="297"/>
      <c r="T17" s="295"/>
      <c r="U17" s="296"/>
      <c r="V17" s="299"/>
      <c r="W17" s="295"/>
      <c r="X17" s="296"/>
      <c r="Y17" s="297"/>
      <c r="Z17" s="274"/>
      <c r="AA17" s="275"/>
      <c r="AB17" s="298"/>
      <c r="AC17" s="274"/>
      <c r="AD17" s="275"/>
      <c r="AE17" s="298"/>
      <c r="AF17" s="295"/>
      <c r="AG17" s="296"/>
      <c r="AH17" s="297"/>
      <c r="AI17" s="295"/>
      <c r="AJ17" s="296"/>
      <c r="AK17" s="299"/>
      <c r="AL17" s="263"/>
      <c r="AM17" s="263"/>
      <c r="AN17" s="264"/>
      <c r="AO17" s="262"/>
      <c r="AP17" s="263"/>
      <c r="AQ17" s="264"/>
    </row>
    <row r="18" spans="2:43" ht="23" customHeight="1" x14ac:dyDescent="0.25">
      <c r="B18" s="253">
        <v>8</v>
      </c>
      <c r="D18" s="264"/>
      <c r="G18" s="264"/>
      <c r="J18" s="264"/>
      <c r="M18" s="264"/>
      <c r="P18" s="264"/>
      <c r="S18" s="264"/>
      <c r="V18" s="273"/>
      <c r="Y18" s="264"/>
      <c r="AB18" s="264"/>
      <c r="AE18" s="264"/>
      <c r="AH18" s="264"/>
      <c r="AK18" s="273"/>
      <c r="AL18" s="263"/>
      <c r="AM18" s="263"/>
      <c r="AN18" s="264"/>
      <c r="AO18" s="262"/>
      <c r="AP18" s="263"/>
      <c r="AQ18" s="264"/>
    </row>
    <row r="19" spans="2:43" ht="23" customHeight="1" x14ac:dyDescent="0.25">
      <c r="B19" s="253">
        <v>9</v>
      </c>
      <c r="D19" s="301"/>
      <c r="E19" s="277">
        <v>0</v>
      </c>
      <c r="F19" s="278"/>
      <c r="G19" s="279">
        <v>0</v>
      </c>
      <c r="H19" s="277">
        <v>0</v>
      </c>
      <c r="I19" s="278"/>
      <c r="J19" s="279">
        <v>0</v>
      </c>
      <c r="K19" s="277">
        <v>0</v>
      </c>
      <c r="L19" s="278"/>
      <c r="M19" s="279">
        <v>0</v>
      </c>
      <c r="N19" s="277">
        <v>0</v>
      </c>
      <c r="O19" s="278"/>
      <c r="P19" s="279">
        <v>0</v>
      </c>
      <c r="Q19" s="277">
        <v>0</v>
      </c>
      <c r="R19" s="278"/>
      <c r="S19" s="279">
        <v>0</v>
      </c>
      <c r="T19" s="280">
        <v>0</v>
      </c>
      <c r="U19" s="281"/>
      <c r="V19" s="282">
        <v>0</v>
      </c>
      <c r="W19" s="277"/>
      <c r="X19" s="278"/>
      <c r="Y19" s="279">
        <v>0</v>
      </c>
      <c r="Z19" s="277">
        <v>0</v>
      </c>
      <c r="AA19" s="278"/>
      <c r="AB19" s="279">
        <v>0</v>
      </c>
      <c r="AC19" s="277">
        <v>0</v>
      </c>
      <c r="AD19" s="278"/>
      <c r="AE19" s="279">
        <v>0</v>
      </c>
      <c r="AF19" s="277">
        <v>0</v>
      </c>
      <c r="AG19" s="278"/>
      <c r="AH19" s="279">
        <v>0</v>
      </c>
      <c r="AI19" s="280">
        <v>0</v>
      </c>
      <c r="AJ19" s="281"/>
      <c r="AK19" s="282">
        <v>0</v>
      </c>
      <c r="AL19" s="280">
        <v>0</v>
      </c>
      <c r="AM19" s="281"/>
      <c r="AN19" s="282">
        <v>0</v>
      </c>
      <c r="AO19" s="280">
        <v>0</v>
      </c>
      <c r="AP19" s="281"/>
      <c r="AQ19" s="282">
        <v>0</v>
      </c>
    </row>
    <row r="20" spans="2:43" ht="23" customHeight="1" x14ac:dyDescent="0.25">
      <c r="B20" s="253">
        <v>10</v>
      </c>
      <c r="D20" s="302"/>
      <c r="E20" s="284"/>
      <c r="F20" s="285"/>
      <c r="G20" s="286"/>
      <c r="H20" s="291"/>
      <c r="I20" s="285"/>
      <c r="J20" s="303"/>
      <c r="K20" s="288"/>
      <c r="L20" s="289"/>
      <c r="M20" s="290"/>
      <c r="N20" s="288"/>
      <c r="O20" s="289"/>
      <c r="P20" s="290"/>
      <c r="Q20" s="284"/>
      <c r="R20" s="285"/>
      <c r="S20" s="286"/>
      <c r="T20" s="291"/>
      <c r="U20" s="292"/>
      <c r="V20" s="304"/>
      <c r="W20" s="291"/>
      <c r="X20" s="285"/>
      <c r="Y20" s="303"/>
      <c r="Z20" s="288"/>
      <c r="AA20" s="289"/>
      <c r="AB20" s="290"/>
      <c r="AC20" s="288"/>
      <c r="AD20" s="289"/>
      <c r="AE20" s="290"/>
      <c r="AF20" s="284"/>
      <c r="AG20" s="285"/>
      <c r="AH20" s="286"/>
      <c r="AI20" s="291"/>
      <c r="AJ20" s="292"/>
      <c r="AK20" s="304"/>
      <c r="AL20" s="414"/>
      <c r="AM20" s="415"/>
      <c r="AN20" s="416"/>
      <c r="AO20" s="417"/>
      <c r="AP20" s="415"/>
      <c r="AQ20" s="416"/>
    </row>
    <row r="21" spans="2:43" ht="23" customHeight="1" x14ac:dyDescent="0.25">
      <c r="B21" s="253">
        <v>11</v>
      </c>
      <c r="D21" s="294"/>
      <c r="E21" s="295"/>
      <c r="F21" s="296"/>
      <c r="G21" s="297"/>
      <c r="H21" s="295"/>
      <c r="I21" s="296"/>
      <c r="J21" s="297"/>
      <c r="K21" s="274"/>
      <c r="L21" s="275"/>
      <c r="M21" s="298"/>
      <c r="N21" s="274"/>
      <c r="O21" s="275"/>
      <c r="P21" s="298"/>
      <c r="Q21" s="295"/>
      <c r="R21" s="296"/>
      <c r="S21" s="297"/>
      <c r="T21" s="295"/>
      <c r="U21" s="296"/>
      <c r="V21" s="299"/>
      <c r="W21" s="295"/>
      <c r="X21" s="296"/>
      <c r="Y21" s="297"/>
      <c r="Z21" s="274"/>
      <c r="AA21" s="275"/>
      <c r="AB21" s="298"/>
      <c r="AC21" s="274"/>
      <c r="AD21" s="275"/>
      <c r="AE21" s="298"/>
      <c r="AF21" s="295"/>
      <c r="AG21" s="296"/>
      <c r="AH21" s="297"/>
      <c r="AI21" s="295"/>
      <c r="AJ21" s="296"/>
      <c r="AK21" s="299"/>
      <c r="AL21" s="263"/>
      <c r="AM21" s="263"/>
      <c r="AN21" s="264"/>
      <c r="AO21" s="262"/>
      <c r="AP21" s="263"/>
      <c r="AQ21" s="264"/>
    </row>
    <row r="22" spans="2:43" ht="23" customHeight="1" x14ac:dyDescent="0.25">
      <c r="B22" s="253">
        <v>12</v>
      </c>
      <c r="D22" s="264"/>
      <c r="G22" s="264"/>
      <c r="J22" s="264"/>
      <c r="M22" s="264"/>
      <c r="P22" s="264"/>
      <c r="S22" s="264"/>
      <c r="V22" s="273"/>
      <c r="Y22" s="264"/>
      <c r="AB22" s="264"/>
      <c r="AE22" s="264"/>
      <c r="AH22" s="264"/>
      <c r="AK22" s="273"/>
      <c r="AL22" s="263"/>
      <c r="AM22" s="263"/>
      <c r="AN22" s="264"/>
      <c r="AO22" s="262"/>
      <c r="AP22" s="263"/>
      <c r="AQ22" s="264"/>
    </row>
    <row r="23" spans="2:43" ht="23" customHeight="1" x14ac:dyDescent="0.25">
      <c r="B23" s="253">
        <v>13</v>
      </c>
      <c r="D23" s="305"/>
      <c r="E23" s="277">
        <v>0</v>
      </c>
      <c r="F23" s="278"/>
      <c r="G23" s="279">
        <v>0</v>
      </c>
      <c r="H23" s="277">
        <v>0</v>
      </c>
      <c r="I23" s="278"/>
      <c r="J23" s="279">
        <v>0</v>
      </c>
      <c r="K23" s="277">
        <v>0</v>
      </c>
      <c r="L23" s="278"/>
      <c r="M23" s="279">
        <v>0</v>
      </c>
      <c r="N23" s="277">
        <v>0</v>
      </c>
      <c r="O23" s="278"/>
      <c r="P23" s="279">
        <v>0</v>
      </c>
      <c r="Q23" s="277">
        <v>0</v>
      </c>
      <c r="R23" s="278"/>
      <c r="S23" s="279">
        <v>0</v>
      </c>
      <c r="T23" s="280">
        <v>0</v>
      </c>
      <c r="U23" s="281"/>
      <c r="V23" s="282">
        <v>0</v>
      </c>
      <c r="W23" s="277"/>
      <c r="X23" s="278"/>
      <c r="Y23" s="279">
        <v>0</v>
      </c>
      <c r="Z23" s="277">
        <v>0</v>
      </c>
      <c r="AA23" s="278"/>
      <c r="AB23" s="279">
        <v>0</v>
      </c>
      <c r="AC23" s="277">
        <v>0</v>
      </c>
      <c r="AD23" s="278"/>
      <c r="AE23" s="279">
        <v>0</v>
      </c>
      <c r="AF23" s="277">
        <v>0</v>
      </c>
      <c r="AG23" s="278"/>
      <c r="AH23" s="279">
        <v>0</v>
      </c>
      <c r="AI23" s="280">
        <v>0</v>
      </c>
      <c r="AJ23" s="281"/>
      <c r="AK23" s="282">
        <v>0</v>
      </c>
      <c r="AL23" s="280">
        <v>0</v>
      </c>
      <c r="AM23" s="281"/>
      <c r="AN23" s="282">
        <v>0</v>
      </c>
      <c r="AO23" s="280">
        <v>0</v>
      </c>
      <c r="AP23" s="281"/>
      <c r="AQ23" s="282">
        <v>0</v>
      </c>
    </row>
    <row r="24" spans="2:43" ht="23" customHeight="1" x14ac:dyDescent="0.25">
      <c r="B24" s="253">
        <v>14</v>
      </c>
      <c r="D24" s="302"/>
      <c r="E24" s="284"/>
      <c r="F24" s="285"/>
      <c r="G24" s="286"/>
      <c r="H24" s="291"/>
      <c r="I24" s="285"/>
      <c r="J24" s="303"/>
      <c r="K24" s="288"/>
      <c r="L24" s="289"/>
      <c r="M24" s="290"/>
      <c r="N24" s="288"/>
      <c r="O24" s="289"/>
      <c r="P24" s="290"/>
      <c r="Q24" s="284"/>
      <c r="R24" s="285"/>
      <c r="S24" s="286"/>
      <c r="T24" s="291"/>
      <c r="U24" s="292"/>
      <c r="V24" s="304"/>
      <c r="W24" s="291"/>
      <c r="X24" s="285"/>
      <c r="Y24" s="303"/>
      <c r="Z24" s="288"/>
      <c r="AA24" s="289"/>
      <c r="AB24" s="290"/>
      <c r="AC24" s="288"/>
      <c r="AD24" s="289"/>
      <c r="AE24" s="290"/>
      <c r="AF24" s="284"/>
      <c r="AG24" s="285"/>
      <c r="AH24" s="286"/>
      <c r="AI24" s="291"/>
      <c r="AJ24" s="292"/>
      <c r="AK24" s="304"/>
      <c r="AL24" s="414"/>
      <c r="AM24" s="415"/>
      <c r="AN24" s="416"/>
      <c r="AO24" s="417"/>
      <c r="AP24" s="415"/>
      <c r="AQ24" s="416"/>
    </row>
    <row r="25" spans="2:43" ht="23" customHeight="1" x14ac:dyDescent="0.25">
      <c r="B25" s="253">
        <v>15</v>
      </c>
      <c r="D25" s="306"/>
      <c r="E25" s="307"/>
      <c r="F25" s="308"/>
      <c r="G25" s="309"/>
      <c r="H25" s="310"/>
      <c r="I25" s="308"/>
      <c r="J25" s="309"/>
      <c r="K25" s="311"/>
      <c r="L25" s="312"/>
      <c r="M25" s="313"/>
      <c r="N25" s="311"/>
      <c r="O25" s="312"/>
      <c r="P25" s="313"/>
      <c r="Q25" s="307"/>
      <c r="R25" s="308"/>
      <c r="S25" s="309"/>
      <c r="T25" s="307"/>
      <c r="U25" s="308"/>
      <c r="V25" s="309"/>
      <c r="W25" s="310"/>
      <c r="X25" s="308"/>
      <c r="Y25" s="309"/>
      <c r="Z25" s="311"/>
      <c r="AA25" s="312"/>
      <c r="AB25" s="313"/>
      <c r="AC25" s="311"/>
      <c r="AD25" s="312"/>
      <c r="AE25" s="313"/>
      <c r="AF25" s="307"/>
      <c r="AG25" s="308"/>
      <c r="AH25" s="309"/>
      <c r="AI25" s="307"/>
      <c r="AJ25" s="308"/>
      <c r="AK25" s="309"/>
      <c r="AL25" s="263"/>
      <c r="AM25" s="263"/>
      <c r="AN25" s="264"/>
      <c r="AO25" s="262"/>
      <c r="AP25" s="263"/>
      <c r="AQ25" s="264"/>
    </row>
    <row r="26" spans="2:43" ht="23" customHeight="1" x14ac:dyDescent="0.25">
      <c r="B26" s="253">
        <v>16</v>
      </c>
      <c r="D26" s="314"/>
      <c r="E26" s="315"/>
      <c r="F26" s="296"/>
      <c r="G26" s="299"/>
      <c r="H26" s="295"/>
      <c r="I26" s="296"/>
      <c r="J26" s="299"/>
      <c r="K26" s="274"/>
      <c r="L26" s="275"/>
      <c r="M26" s="274"/>
      <c r="N26" s="316"/>
      <c r="O26" s="275"/>
      <c r="P26" s="274"/>
      <c r="Q26" s="315"/>
      <c r="R26" s="296"/>
      <c r="S26" s="295"/>
      <c r="T26" s="315"/>
      <c r="U26" s="296"/>
      <c r="V26" s="299"/>
      <c r="W26" s="295"/>
      <c r="X26" s="296"/>
      <c r="Y26" s="299"/>
      <c r="Z26" s="274"/>
      <c r="AA26" s="275"/>
      <c r="AB26" s="274"/>
      <c r="AC26" s="316"/>
      <c r="AD26" s="275"/>
      <c r="AE26" s="274"/>
      <c r="AF26" s="315"/>
      <c r="AG26" s="296"/>
      <c r="AH26" s="295"/>
      <c r="AI26" s="315"/>
      <c r="AJ26" s="296"/>
      <c r="AK26" s="299"/>
      <c r="AL26" s="263"/>
      <c r="AM26" s="263"/>
      <c r="AN26" s="264"/>
      <c r="AO26" s="262"/>
      <c r="AP26" s="263"/>
      <c r="AQ26" s="264"/>
    </row>
    <row r="27" spans="2:43" ht="23" customHeight="1" x14ac:dyDescent="0.25">
      <c r="B27" s="253">
        <v>17</v>
      </c>
      <c r="D27" s="317"/>
      <c r="E27" s="318"/>
      <c r="F27" s="296"/>
      <c r="G27" s="297"/>
      <c r="H27" s="295"/>
      <c r="I27" s="296"/>
      <c r="J27" s="297"/>
      <c r="K27" s="319"/>
      <c r="L27" s="275"/>
      <c r="M27" s="298"/>
      <c r="N27" s="319"/>
      <c r="O27" s="275"/>
      <c r="P27" s="298"/>
      <c r="Q27" s="318"/>
      <c r="R27" s="296"/>
      <c r="S27" s="297"/>
      <c r="T27" s="318"/>
      <c r="U27" s="296"/>
      <c r="V27" s="297"/>
      <c r="W27" s="295"/>
      <c r="X27" s="296"/>
      <c r="Y27" s="297"/>
      <c r="Z27" s="319"/>
      <c r="AA27" s="275"/>
      <c r="AB27" s="298"/>
      <c r="AC27" s="319"/>
      <c r="AD27" s="275"/>
      <c r="AE27" s="298"/>
      <c r="AF27" s="318"/>
      <c r="AG27" s="296"/>
      <c r="AH27" s="297"/>
      <c r="AI27" s="318"/>
      <c r="AJ27" s="296"/>
      <c r="AK27" s="297"/>
      <c r="AL27" s="263"/>
      <c r="AM27" s="263"/>
      <c r="AN27" s="264"/>
      <c r="AO27" s="262"/>
      <c r="AP27" s="263"/>
      <c r="AQ27" s="264"/>
    </row>
    <row r="28" spans="2:43" ht="23" customHeight="1" x14ac:dyDescent="0.25">
      <c r="B28" s="253">
        <v>18</v>
      </c>
      <c r="D28" s="320"/>
      <c r="E28" s="318"/>
      <c r="F28" s="321"/>
      <c r="G28" s="297"/>
      <c r="H28" s="322"/>
      <c r="I28" s="296"/>
      <c r="J28" s="297"/>
      <c r="K28" s="274"/>
      <c r="L28" s="300"/>
      <c r="M28" s="298"/>
      <c r="N28" s="274"/>
      <c r="O28" s="300"/>
      <c r="P28" s="298"/>
      <c r="Q28" s="318"/>
      <c r="R28" s="321"/>
      <c r="S28" s="297"/>
      <c r="T28" s="323"/>
      <c r="U28" s="296"/>
      <c r="V28" s="297"/>
      <c r="W28" s="322"/>
      <c r="X28" s="296"/>
      <c r="Y28" s="297"/>
      <c r="Z28" s="274"/>
      <c r="AA28" s="300"/>
      <c r="AB28" s="298"/>
      <c r="AC28" s="274"/>
      <c r="AD28" s="300"/>
      <c r="AE28" s="298"/>
      <c r="AF28" s="318"/>
      <c r="AG28" s="321"/>
      <c r="AH28" s="297"/>
      <c r="AI28" s="323"/>
      <c r="AJ28" s="296"/>
      <c r="AK28" s="297"/>
      <c r="AL28" s="263"/>
      <c r="AM28" s="263"/>
      <c r="AN28" s="264"/>
      <c r="AO28" s="262"/>
      <c r="AP28" s="263"/>
      <c r="AQ28" s="264"/>
    </row>
    <row r="29" spans="2:43" ht="23" customHeight="1" x14ac:dyDescent="0.25">
      <c r="B29" s="253">
        <v>19</v>
      </c>
      <c r="C29" s="324" t="s">
        <v>153</v>
      </c>
      <c r="E29" s="269"/>
      <c r="F29" s="325"/>
      <c r="G29" s="266"/>
      <c r="H29" s="326"/>
      <c r="I29" s="325"/>
      <c r="J29" s="266"/>
      <c r="K29" s="267"/>
      <c r="L29" s="327"/>
      <c r="M29" s="268"/>
      <c r="N29" s="267"/>
      <c r="O29" s="327"/>
      <c r="P29" s="268"/>
      <c r="Q29" s="269"/>
      <c r="R29" s="328"/>
      <c r="S29" s="266"/>
      <c r="T29" s="326"/>
      <c r="U29" s="325"/>
      <c r="V29" s="266"/>
      <c r="W29" s="326"/>
      <c r="X29" s="325"/>
      <c r="Y29" s="266"/>
      <c r="Z29" s="267"/>
      <c r="AA29" s="327"/>
      <c r="AB29" s="268"/>
      <c r="AC29" s="267"/>
      <c r="AD29" s="327"/>
      <c r="AE29" s="268"/>
      <c r="AF29" s="269"/>
      <c r="AG29" s="328"/>
      <c r="AH29" s="266"/>
      <c r="AI29" s="326"/>
      <c r="AJ29" s="325"/>
      <c r="AK29" s="266"/>
      <c r="AL29" s="263"/>
      <c r="AM29" s="263"/>
      <c r="AN29" s="264"/>
      <c r="AO29" s="262"/>
      <c r="AP29" s="263"/>
      <c r="AQ29" s="264"/>
    </row>
    <row r="30" spans="2:43" ht="23" customHeight="1" x14ac:dyDescent="0.25">
      <c r="B30" s="253">
        <v>20</v>
      </c>
      <c r="D30" s="330" t="s">
        <v>152</v>
      </c>
      <c r="E30" s="351">
        <v>6</v>
      </c>
      <c r="F30" s="281"/>
      <c r="G30" s="331" t="s">
        <v>129</v>
      </c>
      <c r="H30" s="332">
        <v>0</v>
      </c>
      <c r="I30" s="278"/>
      <c r="J30" s="279">
        <v>0</v>
      </c>
      <c r="K30" s="332">
        <v>0</v>
      </c>
      <c r="L30" s="278"/>
      <c r="M30" s="279">
        <v>0</v>
      </c>
      <c r="N30" s="332">
        <v>0</v>
      </c>
      <c r="O30" s="278"/>
      <c r="P30" s="279">
        <v>0</v>
      </c>
      <c r="Q30" s="332">
        <v>0</v>
      </c>
      <c r="R30" s="278"/>
      <c r="S30" s="279">
        <v>0</v>
      </c>
      <c r="T30" s="280">
        <v>0</v>
      </c>
      <c r="U30" s="281"/>
      <c r="V30" s="333">
        <v>0</v>
      </c>
      <c r="W30" s="332"/>
      <c r="X30" s="278"/>
      <c r="Y30" s="279">
        <v>0</v>
      </c>
      <c r="Z30" s="332">
        <v>0</v>
      </c>
      <c r="AA30" s="278"/>
      <c r="AB30" s="279">
        <v>0</v>
      </c>
      <c r="AC30" s="332">
        <v>0</v>
      </c>
      <c r="AD30" s="278"/>
      <c r="AE30" s="279">
        <v>0</v>
      </c>
      <c r="AF30" s="332">
        <v>0</v>
      </c>
      <c r="AG30" s="278"/>
      <c r="AH30" s="279">
        <v>0</v>
      </c>
      <c r="AI30" s="280">
        <v>0</v>
      </c>
      <c r="AJ30" s="281"/>
      <c r="AK30" s="333">
        <v>0</v>
      </c>
      <c r="AL30" s="280">
        <v>0</v>
      </c>
      <c r="AM30" s="281"/>
      <c r="AN30" s="333">
        <v>0</v>
      </c>
      <c r="AO30" s="280">
        <v>0</v>
      </c>
      <c r="AP30" s="281"/>
      <c r="AQ30" s="333">
        <v>0</v>
      </c>
    </row>
    <row r="31" spans="2:43" ht="23" customHeight="1" x14ac:dyDescent="0.25">
      <c r="B31" s="253">
        <v>21</v>
      </c>
      <c r="D31" s="352" t="s">
        <v>138</v>
      </c>
      <c r="E31" s="353">
        <v>3.8</v>
      </c>
      <c r="F31" s="335"/>
      <c r="G31" s="331" t="s">
        <v>175</v>
      </c>
      <c r="H31" s="332">
        <v>0</v>
      </c>
      <c r="I31" s="278"/>
      <c r="J31" s="279">
        <v>0</v>
      </c>
      <c r="K31" s="332">
        <v>0</v>
      </c>
      <c r="L31" s="278"/>
      <c r="M31" s="279">
        <v>0</v>
      </c>
      <c r="N31" s="332">
        <v>0</v>
      </c>
      <c r="O31" s="278"/>
      <c r="P31" s="279">
        <v>0</v>
      </c>
      <c r="Q31" s="332">
        <v>0</v>
      </c>
      <c r="R31" s="278"/>
      <c r="S31" s="279">
        <v>0</v>
      </c>
      <c r="T31" s="336">
        <v>0</v>
      </c>
      <c r="U31" s="335"/>
      <c r="V31" s="337">
        <v>0</v>
      </c>
      <c r="W31" s="332"/>
      <c r="X31" s="278"/>
      <c r="Y31" s="279">
        <v>0</v>
      </c>
      <c r="Z31" s="332">
        <v>0</v>
      </c>
      <c r="AA31" s="278"/>
      <c r="AB31" s="279">
        <v>0</v>
      </c>
      <c r="AC31" s="332">
        <v>0</v>
      </c>
      <c r="AD31" s="278"/>
      <c r="AE31" s="279">
        <v>0</v>
      </c>
      <c r="AF31" s="332">
        <v>0</v>
      </c>
      <c r="AG31" s="278"/>
      <c r="AH31" s="279">
        <v>0</v>
      </c>
      <c r="AI31" s="336">
        <v>0</v>
      </c>
      <c r="AJ31" s="335"/>
      <c r="AK31" s="337">
        <v>0</v>
      </c>
      <c r="AL31" s="336">
        <v>0</v>
      </c>
      <c r="AM31" s="335"/>
      <c r="AN31" s="337">
        <v>0</v>
      </c>
      <c r="AO31" s="336">
        <v>0</v>
      </c>
      <c r="AP31" s="335"/>
      <c r="AQ31" s="337">
        <v>0</v>
      </c>
    </row>
    <row r="32" spans="2:43" ht="23" customHeight="1" x14ac:dyDescent="0.25">
      <c r="B32" s="253">
        <v>22</v>
      </c>
      <c r="D32" s="338" t="s">
        <v>125</v>
      </c>
      <c r="E32" s="353">
        <v>2</v>
      </c>
      <c r="F32" s="335"/>
      <c r="G32" s="339" t="s">
        <v>174</v>
      </c>
      <c r="H32" s="332">
        <v>0</v>
      </c>
      <c r="I32" s="278"/>
      <c r="J32" s="279">
        <v>0</v>
      </c>
      <c r="K32" s="332">
        <v>0</v>
      </c>
      <c r="L32" s="278"/>
      <c r="M32" s="279">
        <v>0</v>
      </c>
      <c r="N32" s="332">
        <v>0</v>
      </c>
      <c r="O32" s="278"/>
      <c r="P32" s="279">
        <v>0</v>
      </c>
      <c r="Q32" s="332">
        <v>0</v>
      </c>
      <c r="R32" s="278"/>
      <c r="S32" s="279">
        <v>0</v>
      </c>
      <c r="T32" s="322">
        <v>0</v>
      </c>
      <c r="U32" s="296"/>
      <c r="V32" s="297">
        <v>0</v>
      </c>
      <c r="W32" s="332"/>
      <c r="X32" s="278"/>
      <c r="Y32" s="279">
        <v>0</v>
      </c>
      <c r="Z32" s="332">
        <v>0</v>
      </c>
      <c r="AA32" s="278"/>
      <c r="AB32" s="279">
        <v>0</v>
      </c>
      <c r="AC32" s="332">
        <v>0</v>
      </c>
      <c r="AD32" s="278"/>
      <c r="AE32" s="279">
        <v>0</v>
      </c>
      <c r="AF32" s="332">
        <v>0</v>
      </c>
      <c r="AG32" s="278"/>
      <c r="AH32" s="279">
        <v>0</v>
      </c>
      <c r="AI32" s="322">
        <v>0</v>
      </c>
      <c r="AJ32" s="296"/>
      <c r="AK32" s="297">
        <v>0</v>
      </c>
      <c r="AL32" s="322">
        <v>0</v>
      </c>
      <c r="AM32" s="296"/>
      <c r="AN32" s="297">
        <v>0</v>
      </c>
      <c r="AO32" s="322">
        <v>0</v>
      </c>
      <c r="AP32" s="296"/>
      <c r="AQ32" s="297">
        <v>0</v>
      </c>
    </row>
    <row r="33" spans="3:43" ht="23" customHeight="1" x14ac:dyDescent="0.25">
      <c r="D33" s="354"/>
      <c r="E33" s="355"/>
      <c r="F33" s="356"/>
      <c r="G33" s="357"/>
      <c r="J33" s="264"/>
      <c r="K33" s="342"/>
      <c r="L33" s="343"/>
      <c r="M33" s="344"/>
      <c r="N33" s="342"/>
      <c r="O33" s="343"/>
      <c r="P33" s="344"/>
      <c r="Q33" s="340"/>
      <c r="R33" s="345"/>
      <c r="S33" s="264"/>
      <c r="T33" s="346"/>
      <c r="U33" s="341"/>
      <c r="V33" s="264"/>
      <c r="Y33" s="264"/>
      <c r="Z33" s="342"/>
      <c r="AA33" s="343"/>
      <c r="AB33" s="344"/>
      <c r="AC33" s="342"/>
      <c r="AD33" s="343"/>
      <c r="AE33" s="344"/>
      <c r="AF33" s="340"/>
      <c r="AG33" s="345"/>
      <c r="AH33" s="264"/>
      <c r="AI33" s="346"/>
      <c r="AJ33" s="341"/>
      <c r="AK33" s="264"/>
      <c r="AL33" s="263"/>
      <c r="AM33" s="263"/>
      <c r="AN33" s="264"/>
      <c r="AO33" s="262"/>
      <c r="AP33" s="263"/>
      <c r="AQ33" s="264"/>
    </row>
    <row r="34" spans="3:43" ht="23" customHeight="1" x14ac:dyDescent="0.25"/>
    <row r="35" spans="3:43" x14ac:dyDescent="0.25">
      <c r="C35" s="349"/>
    </row>
    <row r="37" spans="3:43" x14ac:dyDescent="0.25">
      <c r="D37" s="350"/>
      <c r="E37" s="350"/>
      <c r="F37" s="350"/>
      <c r="G37" s="350"/>
      <c r="H37" s="350"/>
      <c r="I37" s="350"/>
      <c r="J37" s="350"/>
      <c r="K37" s="350"/>
      <c r="L37" s="350"/>
      <c r="M37" s="350"/>
      <c r="N37" s="350"/>
      <c r="O37" s="350"/>
      <c r="P37" s="350"/>
      <c r="Q37" s="350"/>
      <c r="R37" s="350"/>
      <c r="S37" s="350"/>
      <c r="T37" s="350"/>
      <c r="U37" s="350"/>
      <c r="V37" s="350"/>
    </row>
    <row r="38" spans="3:43" x14ac:dyDescent="0.25">
      <c r="D38" s="350"/>
      <c r="E38" s="350"/>
      <c r="F38" s="350"/>
      <c r="G38" s="350"/>
      <c r="H38" s="350"/>
      <c r="I38" s="350"/>
      <c r="J38" s="350"/>
      <c r="K38" s="350"/>
      <c r="L38" s="350"/>
      <c r="M38" s="350"/>
      <c r="N38" s="350"/>
      <c r="O38" s="350"/>
      <c r="P38" s="350"/>
      <c r="Q38" s="350"/>
      <c r="R38" s="350"/>
      <c r="S38" s="350"/>
      <c r="T38" s="350"/>
      <c r="U38" s="350"/>
      <c r="V38" s="350"/>
    </row>
    <row r="40" spans="3:43" x14ac:dyDescent="0.25">
      <c r="K40" s="349"/>
      <c r="L40" s="349"/>
      <c r="M40" s="349"/>
    </row>
  </sheetData>
  <mergeCells count="28">
    <mergeCell ref="AL11:AN11"/>
    <mergeCell ref="AO11:AQ11"/>
    <mergeCell ref="AL12:AN12"/>
    <mergeCell ref="AO12:AQ12"/>
    <mergeCell ref="W11:Y11"/>
    <mergeCell ref="Z11:AB11"/>
    <mergeCell ref="AC11:AE11"/>
    <mergeCell ref="AF11:AH11"/>
    <mergeCell ref="AI11:AK11"/>
    <mergeCell ref="W12:Y12"/>
    <mergeCell ref="Z12:AB12"/>
    <mergeCell ref="AC12:AE12"/>
    <mergeCell ref="AF12:AH12"/>
    <mergeCell ref="AI12:AK12"/>
    <mergeCell ref="E12:G12"/>
    <mergeCell ref="H12:J12"/>
    <mergeCell ref="K12:M12"/>
    <mergeCell ref="N12:P12"/>
    <mergeCell ref="Q12:S12"/>
    <mergeCell ref="T12:V12"/>
    <mergeCell ref="C7:V7"/>
    <mergeCell ref="C11:D11"/>
    <mergeCell ref="E11:G11"/>
    <mergeCell ref="H11:J11"/>
    <mergeCell ref="K11:M11"/>
    <mergeCell ref="N11:P11"/>
    <mergeCell ref="Q11:S11"/>
    <mergeCell ref="T11:V11"/>
  </mergeCells>
  <pageMargins left="0.25" right="0.25" top="0.75" bottom="0.75" header="0.3" footer="0.3"/>
  <pageSetup scale="64"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D9C53-41A5-9541-AD3C-E2F70B83672D}">
  <sheetPr>
    <pageSetUpPr fitToPage="1"/>
  </sheetPr>
  <dimension ref="B2:AL44"/>
  <sheetViews>
    <sheetView tabSelected="1" topLeftCell="E1" zoomScaleNormal="100" workbookViewId="0">
      <selection activeCell="AM18" sqref="AM18"/>
    </sheetView>
  </sheetViews>
  <sheetFormatPr baseColWidth="10" defaultColWidth="10.6640625" defaultRowHeight="19" x14ac:dyDescent="0.25"/>
  <cols>
    <col min="1" max="1" width="10.6640625" style="255"/>
    <col min="2" max="2" width="5.6640625" style="253" customWidth="1"/>
    <col min="3" max="3" width="5.5" style="253" customWidth="1"/>
    <col min="4" max="4" width="31.5" style="255" customWidth="1"/>
    <col min="5" max="5" width="9.33203125" style="255" customWidth="1"/>
    <col min="6" max="6" width="2" style="255" customWidth="1"/>
    <col min="7" max="7" width="9.33203125" style="255" customWidth="1"/>
    <col min="8" max="8" width="11.83203125" style="255" customWidth="1"/>
    <col min="9" max="9" width="2" style="255" customWidth="1"/>
    <col min="10" max="11" width="11.83203125" style="255" customWidth="1"/>
    <col min="12" max="12" width="2" style="255" customWidth="1"/>
    <col min="13" max="14" width="11.83203125" style="255" customWidth="1"/>
    <col min="15" max="15" width="2" style="255" customWidth="1"/>
    <col min="16" max="17" width="11.83203125" style="255" customWidth="1"/>
    <col min="18" max="18" width="2" style="255" customWidth="1"/>
    <col min="19" max="20" width="11.83203125" style="255" customWidth="1"/>
    <col min="21" max="21" width="2" style="255" customWidth="1"/>
    <col min="22" max="23" width="11.83203125" style="255" customWidth="1"/>
    <col min="24" max="24" width="2" style="255" customWidth="1"/>
    <col min="25" max="26" width="11.83203125" style="255" customWidth="1"/>
    <col min="27" max="27" width="2" style="255" customWidth="1"/>
    <col min="28" max="29" width="11.83203125" style="255" customWidth="1"/>
    <col min="30" max="30" width="2" style="255" customWidth="1"/>
    <col min="31" max="32" width="11.83203125" style="255" customWidth="1"/>
    <col min="33" max="33" width="2" style="255" customWidth="1"/>
    <col min="34" max="34" width="11.83203125" style="255" customWidth="1"/>
    <col min="35" max="16384" width="10.6640625" style="255"/>
  </cols>
  <sheetData>
    <row r="2" spans="2:38" x14ac:dyDescent="0.25">
      <c r="C2" s="254" t="s">
        <v>0</v>
      </c>
    </row>
    <row r="3" spans="2:38" x14ac:dyDescent="0.25">
      <c r="C3" s="255" t="s">
        <v>1</v>
      </c>
    </row>
    <row r="4" spans="2:38" x14ac:dyDescent="0.25">
      <c r="C4" s="255" t="s">
        <v>2</v>
      </c>
    </row>
    <row r="5" spans="2:38" x14ac:dyDescent="0.25">
      <c r="C5" s="256" t="s">
        <v>238</v>
      </c>
    </row>
    <row r="6" spans="2:38" x14ac:dyDescent="0.25">
      <c r="C6" s="255" t="s">
        <v>177</v>
      </c>
    </row>
    <row r="7" spans="2:38" ht="34.25" customHeight="1" x14ac:dyDescent="0.25">
      <c r="C7" s="365" t="s">
        <v>240</v>
      </c>
      <c r="D7" s="365"/>
      <c r="E7" s="365"/>
      <c r="F7" s="365"/>
      <c r="G7" s="365"/>
      <c r="H7" s="365"/>
      <c r="I7" s="365"/>
      <c r="J7" s="365"/>
      <c r="K7" s="365"/>
      <c r="L7" s="365"/>
      <c r="M7" s="365"/>
      <c r="N7" s="365"/>
      <c r="O7" s="365"/>
      <c r="P7" s="365"/>
      <c r="Q7" s="365"/>
      <c r="R7" s="365"/>
      <c r="S7" s="365"/>
      <c r="T7" s="365"/>
      <c r="U7" s="365"/>
      <c r="V7" s="365"/>
    </row>
    <row r="9" spans="2:38" ht="23" customHeight="1" x14ac:dyDescent="0.25">
      <c r="C9" s="257" t="s">
        <v>251</v>
      </c>
      <c r="D9" s="257"/>
      <c r="E9" s="257"/>
      <c r="F9" s="257"/>
      <c r="G9" s="257"/>
      <c r="H9" s="258"/>
      <c r="I9" s="258"/>
      <c r="J9" s="258"/>
      <c r="K9" s="258"/>
      <c r="L9" s="258"/>
      <c r="M9" s="258"/>
      <c r="N9" s="258"/>
      <c r="O9" s="258"/>
      <c r="P9" s="258"/>
      <c r="Q9" s="258"/>
      <c r="R9" s="258"/>
      <c r="S9" s="258"/>
      <c r="T9" s="258"/>
      <c r="U9" s="258"/>
      <c r="V9" s="258"/>
      <c r="W9" s="258"/>
      <c r="X9" s="258"/>
      <c r="Y9" s="258"/>
      <c r="Z9" s="258"/>
      <c r="AA9" s="258"/>
      <c r="AB9" s="258"/>
      <c r="AC9" s="258"/>
      <c r="AD9" s="258"/>
      <c r="AE9" s="258"/>
      <c r="AF9" s="258"/>
      <c r="AG9" s="258"/>
      <c r="AH9" s="258"/>
      <c r="AI9" s="258"/>
      <c r="AJ9" s="258"/>
      <c r="AK9" s="258"/>
      <c r="AL9" s="258"/>
    </row>
    <row r="10" spans="2:38" ht="23" customHeight="1" x14ac:dyDescent="0.25">
      <c r="X10" s="260"/>
      <c r="Y10" s="260"/>
      <c r="Z10" s="260"/>
      <c r="AA10" s="260"/>
      <c r="AB10" s="260"/>
      <c r="AC10" s="260"/>
    </row>
    <row r="11" spans="2:38" ht="38" customHeight="1" x14ac:dyDescent="0.25">
      <c r="B11" s="253">
        <v>1</v>
      </c>
      <c r="C11" s="366" t="s">
        <v>66</v>
      </c>
      <c r="D11" s="366"/>
      <c r="E11" s="367" t="s">
        <v>176</v>
      </c>
      <c r="F11" s="368"/>
      <c r="G11" s="369"/>
      <c r="H11" s="370" t="s">
        <v>270</v>
      </c>
      <c r="I11" s="370"/>
      <c r="J11" s="371"/>
      <c r="K11" s="370" t="s">
        <v>270</v>
      </c>
      <c r="L11" s="370"/>
      <c r="M11" s="371"/>
      <c r="N11" s="370" t="s">
        <v>270</v>
      </c>
      <c r="O11" s="370"/>
      <c r="P11" s="371"/>
      <c r="Q11" s="370" t="s">
        <v>270</v>
      </c>
      <c r="R11" s="370"/>
      <c r="S11" s="371"/>
      <c r="T11" s="370" t="s">
        <v>270</v>
      </c>
      <c r="U11" s="370"/>
      <c r="V11" s="371"/>
      <c r="W11" s="370" t="s">
        <v>270</v>
      </c>
      <c r="X11" s="370"/>
      <c r="Y11" s="371"/>
      <c r="Z11" s="370" t="s">
        <v>270</v>
      </c>
      <c r="AA11" s="370"/>
      <c r="AB11" s="371"/>
      <c r="AC11" s="370" t="s">
        <v>270</v>
      </c>
      <c r="AD11" s="370"/>
      <c r="AE11" s="371"/>
      <c r="AF11" s="370" t="s">
        <v>270</v>
      </c>
      <c r="AG11" s="370"/>
      <c r="AH11" s="371"/>
      <c r="AI11" s="370" t="s">
        <v>270</v>
      </c>
      <c r="AJ11" s="370"/>
      <c r="AK11" s="371"/>
    </row>
    <row r="12" spans="2:38" ht="23" customHeight="1" x14ac:dyDescent="0.25">
      <c r="B12" s="253">
        <v>2</v>
      </c>
      <c r="E12" s="378"/>
      <c r="F12" s="379"/>
      <c r="G12" s="380"/>
      <c r="H12" s="363" t="s">
        <v>252</v>
      </c>
      <c r="I12" s="363"/>
      <c r="J12" s="364"/>
      <c r="K12" s="363" t="s">
        <v>263</v>
      </c>
      <c r="L12" s="363"/>
      <c r="M12" s="364"/>
      <c r="N12" s="362" t="s">
        <v>253</v>
      </c>
      <c r="O12" s="363"/>
      <c r="P12" s="364"/>
      <c r="Q12" s="362" t="s">
        <v>264</v>
      </c>
      <c r="R12" s="411"/>
      <c r="S12" s="364"/>
      <c r="T12" s="362" t="s">
        <v>265</v>
      </c>
      <c r="U12" s="411"/>
      <c r="V12" s="364"/>
      <c r="W12" s="362" t="s">
        <v>266</v>
      </c>
      <c r="X12" s="411"/>
      <c r="Y12" s="364"/>
      <c r="Z12" s="362" t="s">
        <v>267</v>
      </c>
      <c r="AA12" s="411"/>
      <c r="AB12" s="364"/>
      <c r="AC12" s="362" t="s">
        <v>268</v>
      </c>
      <c r="AD12" s="411"/>
      <c r="AE12" s="364"/>
      <c r="AF12" s="362" t="s">
        <v>269</v>
      </c>
      <c r="AG12" s="411"/>
      <c r="AH12" s="364"/>
      <c r="AI12" s="362" t="s">
        <v>271</v>
      </c>
      <c r="AJ12" s="411"/>
      <c r="AK12" s="364"/>
    </row>
    <row r="13" spans="2:38" ht="23" customHeight="1" x14ac:dyDescent="0.25">
      <c r="B13" s="253">
        <v>3</v>
      </c>
      <c r="C13" s="254"/>
      <c r="E13" s="262"/>
      <c r="F13" s="263"/>
      <c r="G13" s="264"/>
      <c r="H13" s="265"/>
      <c r="I13" s="265"/>
      <c r="J13" s="266"/>
      <c r="K13" s="267"/>
      <c r="L13" s="267"/>
      <c r="M13" s="268"/>
      <c r="N13" s="267"/>
      <c r="O13" s="267"/>
      <c r="P13" s="268"/>
      <c r="Q13" s="269"/>
      <c r="R13" s="270"/>
      <c r="S13" s="266"/>
      <c r="T13" s="265"/>
      <c r="U13" s="265"/>
      <c r="V13" s="271"/>
      <c r="W13" s="265"/>
      <c r="X13" s="265"/>
      <c r="Y13" s="271"/>
      <c r="Z13" s="265"/>
      <c r="AA13" s="265"/>
      <c r="AB13" s="271"/>
      <c r="AC13" s="265"/>
      <c r="AD13" s="265"/>
      <c r="AE13" s="271"/>
      <c r="AF13" s="265"/>
      <c r="AG13" s="265"/>
      <c r="AH13" s="271"/>
      <c r="AI13" s="265"/>
      <c r="AJ13" s="265"/>
      <c r="AK13" s="271"/>
    </row>
    <row r="14" spans="2:38" ht="23" customHeight="1" x14ac:dyDescent="0.25">
      <c r="B14" s="253">
        <v>4</v>
      </c>
      <c r="D14" s="264"/>
      <c r="G14" s="264"/>
      <c r="J14" s="264"/>
      <c r="M14" s="264"/>
      <c r="P14" s="264"/>
      <c r="S14" s="264"/>
      <c r="V14" s="273"/>
      <c r="Y14" s="273"/>
      <c r="AB14" s="273"/>
      <c r="AE14" s="273"/>
      <c r="AH14" s="273"/>
      <c r="AK14" s="273"/>
    </row>
    <row r="15" spans="2:38" ht="23" customHeight="1" x14ac:dyDescent="0.25">
      <c r="B15" s="253">
        <v>5</v>
      </c>
      <c r="D15" s="276" t="s">
        <v>7</v>
      </c>
      <c r="E15" s="277">
        <v>0</v>
      </c>
      <c r="F15" s="278"/>
      <c r="G15" s="279">
        <v>0</v>
      </c>
      <c r="H15" s="277">
        <v>0</v>
      </c>
      <c r="I15" s="278"/>
      <c r="J15" s="279">
        <v>0</v>
      </c>
      <c r="K15" s="277">
        <v>0</v>
      </c>
      <c r="L15" s="278"/>
      <c r="M15" s="279">
        <v>0</v>
      </c>
      <c r="N15" s="277">
        <v>0</v>
      </c>
      <c r="O15" s="278"/>
      <c r="P15" s="279">
        <v>0</v>
      </c>
      <c r="Q15" s="277">
        <v>0</v>
      </c>
      <c r="R15" s="278"/>
      <c r="S15" s="279">
        <v>0</v>
      </c>
      <c r="T15" s="280">
        <v>0</v>
      </c>
      <c r="U15" s="281"/>
      <c r="V15" s="282">
        <v>0</v>
      </c>
      <c r="W15" s="280">
        <v>0</v>
      </c>
      <c r="X15" s="281"/>
      <c r="Y15" s="282">
        <v>0</v>
      </c>
      <c r="Z15" s="280">
        <v>0</v>
      </c>
      <c r="AA15" s="281"/>
      <c r="AB15" s="282">
        <v>0</v>
      </c>
      <c r="AC15" s="280">
        <v>0</v>
      </c>
      <c r="AD15" s="281"/>
      <c r="AE15" s="282">
        <v>0</v>
      </c>
      <c r="AF15" s="280">
        <v>0</v>
      </c>
      <c r="AG15" s="281"/>
      <c r="AH15" s="282">
        <v>0</v>
      </c>
      <c r="AI15" s="280">
        <v>0</v>
      </c>
      <c r="AJ15" s="281"/>
      <c r="AK15" s="282">
        <v>0</v>
      </c>
    </row>
    <row r="16" spans="2:38" ht="23" customHeight="1" x14ac:dyDescent="0.25">
      <c r="B16" s="253">
        <v>6</v>
      </c>
      <c r="D16" s="283"/>
      <c r="E16" s="284"/>
      <c r="F16" s="285"/>
      <c r="G16" s="286"/>
      <c r="H16" s="284"/>
      <c r="I16" s="285"/>
      <c r="J16" s="287"/>
      <c r="K16" s="288"/>
      <c r="L16" s="289"/>
      <c r="M16" s="290"/>
      <c r="N16" s="288"/>
      <c r="O16" s="289"/>
      <c r="P16" s="290"/>
      <c r="Q16" s="284"/>
      <c r="R16" s="285"/>
      <c r="S16" s="286"/>
      <c r="T16" s="291"/>
      <c r="U16" s="292"/>
      <c r="V16" s="293"/>
      <c r="W16" s="291"/>
      <c r="X16" s="292"/>
      <c r="Y16" s="293"/>
      <c r="Z16" s="291"/>
      <c r="AA16" s="292"/>
      <c r="AB16" s="293"/>
      <c r="AC16" s="291"/>
      <c r="AD16" s="292"/>
      <c r="AE16" s="293"/>
      <c r="AF16" s="291"/>
      <c r="AG16" s="292"/>
      <c r="AH16" s="293"/>
      <c r="AI16" s="291"/>
      <c r="AJ16" s="292"/>
      <c r="AK16" s="293"/>
    </row>
    <row r="17" spans="2:37" ht="23" customHeight="1" x14ac:dyDescent="0.25">
      <c r="B17" s="253">
        <v>7</v>
      </c>
      <c r="D17" s="294"/>
      <c r="E17" s="295"/>
      <c r="F17" s="296"/>
      <c r="G17" s="297"/>
      <c r="H17" s="295"/>
      <c r="I17" s="296"/>
      <c r="J17" s="297"/>
      <c r="K17" s="274"/>
      <c r="L17" s="275"/>
      <c r="M17" s="298"/>
      <c r="N17" s="274"/>
      <c r="O17" s="275"/>
      <c r="P17" s="298"/>
      <c r="Q17" s="295"/>
      <c r="R17" s="296"/>
      <c r="S17" s="297"/>
      <c r="T17" s="295"/>
      <c r="U17" s="296"/>
      <c r="V17" s="299"/>
      <c r="W17" s="295"/>
      <c r="X17" s="296"/>
      <c r="Y17" s="299"/>
      <c r="Z17" s="295"/>
      <c r="AA17" s="296"/>
      <c r="AB17" s="299"/>
      <c r="AC17" s="295"/>
      <c r="AD17" s="296"/>
      <c r="AE17" s="299"/>
      <c r="AF17" s="295"/>
      <c r="AG17" s="296"/>
      <c r="AH17" s="299"/>
      <c r="AI17" s="295"/>
      <c r="AJ17" s="296"/>
      <c r="AK17" s="299"/>
    </row>
    <row r="18" spans="2:37" ht="23" customHeight="1" x14ac:dyDescent="0.25">
      <c r="B18" s="253">
        <v>8</v>
      </c>
      <c r="D18" s="264"/>
      <c r="G18" s="264"/>
      <c r="J18" s="264"/>
      <c r="M18" s="264"/>
      <c r="P18" s="264"/>
      <c r="S18" s="264"/>
      <c r="V18" s="273"/>
      <c r="Y18" s="273"/>
      <c r="AB18" s="273"/>
      <c r="AE18" s="273"/>
      <c r="AH18" s="273"/>
      <c r="AK18" s="273"/>
    </row>
    <row r="19" spans="2:37" ht="23" customHeight="1" x14ac:dyDescent="0.25">
      <c r="B19" s="253">
        <v>9</v>
      </c>
      <c r="D19" s="301" t="s">
        <v>8</v>
      </c>
      <c r="E19" s="277">
        <v>0</v>
      </c>
      <c r="F19" s="278"/>
      <c r="G19" s="279">
        <v>0</v>
      </c>
      <c r="H19" s="277">
        <v>0</v>
      </c>
      <c r="I19" s="278"/>
      <c r="J19" s="279">
        <v>0</v>
      </c>
      <c r="K19" s="277">
        <v>0</v>
      </c>
      <c r="L19" s="278"/>
      <c r="M19" s="279">
        <v>0</v>
      </c>
      <c r="N19" s="277">
        <v>0</v>
      </c>
      <c r="O19" s="278"/>
      <c r="P19" s="279">
        <v>0</v>
      </c>
      <c r="Q19" s="277">
        <v>0</v>
      </c>
      <c r="R19" s="278"/>
      <c r="S19" s="279">
        <v>0</v>
      </c>
      <c r="T19" s="280">
        <v>0</v>
      </c>
      <c r="U19" s="281"/>
      <c r="V19" s="282">
        <v>0</v>
      </c>
      <c r="W19" s="280">
        <v>0</v>
      </c>
      <c r="X19" s="281"/>
      <c r="Y19" s="282">
        <v>0</v>
      </c>
      <c r="Z19" s="280">
        <v>0</v>
      </c>
      <c r="AA19" s="281"/>
      <c r="AB19" s="282">
        <v>0</v>
      </c>
      <c r="AC19" s="280">
        <v>0</v>
      </c>
      <c r="AD19" s="281"/>
      <c r="AE19" s="282">
        <v>0</v>
      </c>
      <c r="AF19" s="280">
        <v>0</v>
      </c>
      <c r="AG19" s="281"/>
      <c r="AH19" s="282">
        <v>0</v>
      </c>
      <c r="AI19" s="280">
        <v>0</v>
      </c>
      <c r="AJ19" s="281"/>
      <c r="AK19" s="282">
        <v>0</v>
      </c>
    </row>
    <row r="20" spans="2:37" ht="23" customHeight="1" x14ac:dyDescent="0.25">
      <c r="B20" s="253">
        <v>10</v>
      </c>
      <c r="D20" s="302"/>
      <c r="E20" s="284"/>
      <c r="F20" s="285"/>
      <c r="G20" s="286"/>
      <c r="H20" s="291"/>
      <c r="I20" s="285"/>
      <c r="J20" s="303"/>
      <c r="K20" s="288"/>
      <c r="L20" s="289"/>
      <c r="M20" s="290"/>
      <c r="N20" s="288"/>
      <c r="O20" s="289"/>
      <c r="P20" s="290"/>
      <c r="Q20" s="284"/>
      <c r="R20" s="285"/>
      <c r="S20" s="286"/>
      <c r="T20" s="291"/>
      <c r="U20" s="292"/>
      <c r="V20" s="304"/>
      <c r="W20" s="291"/>
      <c r="X20" s="292"/>
      <c r="Y20" s="304"/>
      <c r="Z20" s="291"/>
      <c r="AA20" s="292"/>
      <c r="AB20" s="304"/>
      <c r="AC20" s="291"/>
      <c r="AD20" s="292"/>
      <c r="AE20" s="304"/>
      <c r="AF20" s="291"/>
      <c r="AG20" s="292"/>
      <c r="AH20" s="304"/>
      <c r="AI20" s="291"/>
      <c r="AJ20" s="292"/>
      <c r="AK20" s="304"/>
    </row>
    <row r="21" spans="2:37" ht="23" customHeight="1" x14ac:dyDescent="0.25">
      <c r="B21" s="253">
        <v>11</v>
      </c>
      <c r="D21" s="294"/>
      <c r="E21" s="295"/>
      <c r="F21" s="296"/>
      <c r="G21" s="297"/>
      <c r="H21" s="295"/>
      <c r="I21" s="296"/>
      <c r="J21" s="297"/>
      <c r="K21" s="274"/>
      <c r="L21" s="275"/>
      <c r="M21" s="298"/>
      <c r="N21" s="274"/>
      <c r="O21" s="275"/>
      <c r="P21" s="298"/>
      <c r="Q21" s="295"/>
      <c r="R21" s="296"/>
      <c r="S21" s="297"/>
      <c r="T21" s="295"/>
      <c r="U21" s="296"/>
      <c r="V21" s="299"/>
      <c r="W21" s="295"/>
      <c r="X21" s="296"/>
      <c r="Y21" s="299"/>
      <c r="Z21" s="295"/>
      <c r="AA21" s="296"/>
      <c r="AB21" s="299"/>
      <c r="AC21" s="295"/>
      <c r="AD21" s="296"/>
      <c r="AE21" s="299"/>
      <c r="AF21" s="295"/>
      <c r="AG21" s="296"/>
      <c r="AH21" s="299"/>
      <c r="AI21" s="295"/>
      <c r="AJ21" s="296"/>
      <c r="AK21" s="299"/>
    </row>
    <row r="22" spans="2:37" ht="23" customHeight="1" x14ac:dyDescent="0.25">
      <c r="B22" s="253">
        <v>12</v>
      </c>
      <c r="D22" s="264"/>
      <c r="G22" s="264"/>
      <c r="J22" s="264"/>
      <c r="M22" s="264"/>
      <c r="P22" s="264"/>
      <c r="S22" s="264"/>
      <c r="V22" s="273"/>
      <c r="Y22" s="273"/>
      <c r="AB22" s="273"/>
      <c r="AE22" s="273"/>
      <c r="AH22" s="273"/>
      <c r="AK22" s="273"/>
    </row>
    <row r="23" spans="2:37" ht="23" customHeight="1" x14ac:dyDescent="0.25">
      <c r="B23" s="253">
        <v>13</v>
      </c>
      <c r="D23" s="305" t="s">
        <v>9</v>
      </c>
      <c r="E23" s="277">
        <v>0</v>
      </c>
      <c r="F23" s="278"/>
      <c r="G23" s="279">
        <v>0</v>
      </c>
      <c r="H23" s="277">
        <v>0</v>
      </c>
      <c r="I23" s="278"/>
      <c r="J23" s="279">
        <v>0</v>
      </c>
      <c r="K23" s="277">
        <v>0</v>
      </c>
      <c r="L23" s="278"/>
      <c r="M23" s="279">
        <v>0</v>
      </c>
      <c r="N23" s="277">
        <v>0</v>
      </c>
      <c r="O23" s="278"/>
      <c r="P23" s="279">
        <v>0</v>
      </c>
      <c r="Q23" s="277">
        <v>0</v>
      </c>
      <c r="R23" s="278"/>
      <c r="S23" s="279">
        <v>0</v>
      </c>
      <c r="T23" s="280">
        <v>0</v>
      </c>
      <c r="U23" s="281"/>
      <c r="V23" s="282">
        <v>0</v>
      </c>
      <c r="W23" s="280">
        <v>0</v>
      </c>
      <c r="X23" s="281"/>
      <c r="Y23" s="282">
        <v>0</v>
      </c>
      <c r="Z23" s="280">
        <v>0</v>
      </c>
      <c r="AA23" s="281"/>
      <c r="AB23" s="282">
        <v>0</v>
      </c>
      <c r="AC23" s="280">
        <v>0</v>
      </c>
      <c r="AD23" s="281"/>
      <c r="AE23" s="282">
        <v>0</v>
      </c>
      <c r="AF23" s="280">
        <v>0</v>
      </c>
      <c r="AG23" s="281"/>
      <c r="AH23" s="282">
        <v>0</v>
      </c>
      <c r="AI23" s="280">
        <v>0</v>
      </c>
      <c r="AJ23" s="281"/>
      <c r="AK23" s="282">
        <v>0</v>
      </c>
    </row>
    <row r="24" spans="2:37" ht="23" customHeight="1" x14ac:dyDescent="0.25">
      <c r="B24" s="253">
        <v>14</v>
      </c>
      <c r="D24" s="302"/>
      <c r="E24" s="284"/>
      <c r="F24" s="285"/>
      <c r="G24" s="286"/>
      <c r="H24" s="291"/>
      <c r="I24" s="285"/>
      <c r="J24" s="303"/>
      <c r="K24" s="288"/>
      <c r="L24" s="289"/>
      <c r="M24" s="290"/>
      <c r="N24" s="288"/>
      <c r="O24" s="289"/>
      <c r="P24" s="290"/>
      <c r="Q24" s="284"/>
      <c r="R24" s="285"/>
      <c r="S24" s="286"/>
      <c r="T24" s="291"/>
      <c r="U24" s="292"/>
      <c r="V24" s="304"/>
      <c r="W24" s="291"/>
      <c r="X24" s="292"/>
      <c r="Y24" s="304"/>
      <c r="Z24" s="291"/>
      <c r="AA24" s="292"/>
      <c r="AB24" s="304"/>
      <c r="AC24" s="291"/>
      <c r="AD24" s="292"/>
      <c r="AE24" s="304"/>
      <c r="AF24" s="291"/>
      <c r="AG24" s="292"/>
      <c r="AH24" s="304"/>
      <c r="AI24" s="291"/>
      <c r="AJ24" s="292"/>
      <c r="AK24" s="304"/>
    </row>
    <row r="25" spans="2:37" ht="23" customHeight="1" x14ac:dyDescent="0.25">
      <c r="B25" s="253">
        <v>15</v>
      </c>
      <c r="D25" s="306"/>
      <c r="E25" s="307"/>
      <c r="F25" s="308"/>
      <c r="G25" s="309"/>
      <c r="H25" s="310"/>
      <c r="I25" s="308"/>
      <c r="J25" s="309"/>
      <c r="K25" s="311"/>
      <c r="L25" s="312"/>
      <c r="M25" s="313"/>
      <c r="N25" s="311"/>
      <c r="O25" s="312"/>
      <c r="P25" s="313"/>
      <c r="Q25" s="307"/>
      <c r="R25" s="308"/>
      <c r="S25" s="309"/>
      <c r="T25" s="307"/>
      <c r="U25" s="308"/>
      <c r="V25" s="309"/>
      <c r="W25" s="307"/>
      <c r="X25" s="308"/>
      <c r="Y25" s="309"/>
      <c r="Z25" s="307"/>
      <c r="AA25" s="308"/>
      <c r="AB25" s="309"/>
      <c r="AC25" s="307"/>
      <c r="AD25" s="308"/>
      <c r="AE25" s="309"/>
      <c r="AF25" s="307"/>
      <c r="AG25" s="308"/>
      <c r="AH25" s="309"/>
      <c r="AI25" s="307"/>
      <c r="AJ25" s="308"/>
      <c r="AK25" s="309"/>
    </row>
    <row r="26" spans="2:37" ht="23" customHeight="1" x14ac:dyDescent="0.25">
      <c r="B26" s="253">
        <v>16</v>
      </c>
      <c r="D26" s="314"/>
      <c r="E26" s="315"/>
      <c r="F26" s="296"/>
      <c r="G26" s="299"/>
      <c r="H26" s="295"/>
      <c r="I26" s="296"/>
      <c r="J26" s="299"/>
      <c r="K26" s="274"/>
      <c r="L26" s="275"/>
      <c r="M26" s="274"/>
      <c r="N26" s="316"/>
      <c r="O26" s="275"/>
      <c r="P26" s="274"/>
      <c r="Q26" s="315"/>
      <c r="R26" s="296"/>
      <c r="S26" s="295"/>
      <c r="T26" s="315"/>
      <c r="U26" s="296"/>
      <c r="V26" s="299"/>
      <c r="W26" s="315"/>
      <c r="X26" s="296"/>
      <c r="Y26" s="299"/>
      <c r="Z26" s="315"/>
      <c r="AA26" s="296"/>
      <c r="AB26" s="299"/>
      <c r="AC26" s="315"/>
      <c r="AD26" s="296"/>
      <c r="AE26" s="299"/>
      <c r="AF26" s="315"/>
      <c r="AG26" s="296"/>
      <c r="AH26" s="299"/>
      <c r="AI26" s="315"/>
      <c r="AJ26" s="296"/>
      <c r="AK26" s="299"/>
    </row>
    <row r="27" spans="2:37" ht="23" customHeight="1" x14ac:dyDescent="0.25">
      <c r="B27" s="253">
        <v>17</v>
      </c>
      <c r="D27" s="317"/>
      <c r="E27" s="318"/>
      <c r="F27" s="296"/>
      <c r="G27" s="297"/>
      <c r="H27" s="295"/>
      <c r="I27" s="296"/>
      <c r="J27" s="297"/>
      <c r="K27" s="319"/>
      <c r="L27" s="275"/>
      <c r="M27" s="298"/>
      <c r="N27" s="319"/>
      <c r="O27" s="275"/>
      <c r="P27" s="298"/>
      <c r="Q27" s="318"/>
      <c r="R27" s="296"/>
      <c r="S27" s="297"/>
      <c r="T27" s="318"/>
      <c r="U27" s="296"/>
      <c r="V27" s="297"/>
      <c r="W27" s="318"/>
      <c r="X27" s="296"/>
      <c r="Y27" s="297"/>
      <c r="Z27" s="318"/>
      <c r="AA27" s="296"/>
      <c r="AB27" s="297"/>
      <c r="AC27" s="318"/>
      <c r="AD27" s="296"/>
      <c r="AE27" s="297"/>
      <c r="AF27" s="318"/>
      <c r="AG27" s="296"/>
      <c r="AH27" s="297"/>
      <c r="AI27" s="318"/>
      <c r="AJ27" s="296"/>
      <c r="AK27" s="297"/>
    </row>
    <row r="28" spans="2:37" ht="23" customHeight="1" x14ac:dyDescent="0.25">
      <c r="B28" s="253">
        <v>18</v>
      </c>
      <c r="D28" s="320"/>
      <c r="E28" s="318"/>
      <c r="F28" s="321"/>
      <c r="G28" s="297"/>
      <c r="H28" s="322"/>
      <c r="I28" s="296"/>
      <c r="J28" s="297"/>
      <c r="K28" s="274"/>
      <c r="L28" s="300"/>
      <c r="M28" s="298"/>
      <c r="N28" s="274"/>
      <c r="O28" s="300"/>
      <c r="P28" s="298"/>
      <c r="Q28" s="318"/>
      <c r="R28" s="321"/>
      <c r="S28" s="297"/>
      <c r="T28" s="323"/>
      <c r="U28" s="296"/>
      <c r="V28" s="297"/>
      <c r="W28" s="323"/>
      <c r="X28" s="296"/>
      <c r="Y28" s="297"/>
      <c r="Z28" s="323"/>
      <c r="AA28" s="296"/>
      <c r="AB28" s="297"/>
      <c r="AC28" s="323"/>
      <c r="AD28" s="296"/>
      <c r="AE28" s="297"/>
      <c r="AF28" s="323"/>
      <c r="AG28" s="296"/>
      <c r="AH28" s="297"/>
      <c r="AI28" s="323"/>
      <c r="AJ28" s="296"/>
      <c r="AK28" s="297"/>
    </row>
    <row r="29" spans="2:37" ht="23" customHeight="1" x14ac:dyDescent="0.25">
      <c r="B29" s="253">
        <v>19</v>
      </c>
      <c r="C29" s="324" t="s">
        <v>153</v>
      </c>
      <c r="E29" s="269"/>
      <c r="F29" s="325"/>
      <c r="G29" s="266"/>
      <c r="H29" s="326"/>
      <c r="I29" s="325"/>
      <c r="J29" s="266"/>
      <c r="K29" s="267"/>
      <c r="L29" s="327"/>
      <c r="M29" s="268"/>
      <c r="N29" s="267"/>
      <c r="O29" s="327"/>
      <c r="P29" s="268"/>
      <c r="Q29" s="269"/>
      <c r="R29" s="328"/>
      <c r="S29" s="266"/>
      <c r="T29" s="326"/>
      <c r="U29" s="325"/>
      <c r="V29" s="266"/>
      <c r="W29" s="326"/>
      <c r="X29" s="325"/>
      <c r="Y29" s="266"/>
      <c r="Z29" s="326"/>
      <c r="AA29" s="325"/>
      <c r="AB29" s="266"/>
      <c r="AC29" s="326"/>
      <c r="AD29" s="325"/>
      <c r="AE29" s="266"/>
      <c r="AF29" s="326"/>
      <c r="AG29" s="325"/>
      <c r="AH29" s="266"/>
      <c r="AI29" s="326"/>
      <c r="AJ29" s="325"/>
      <c r="AK29" s="266"/>
    </row>
    <row r="30" spans="2:37" ht="23" customHeight="1" x14ac:dyDescent="0.25">
      <c r="B30" s="253">
        <v>20</v>
      </c>
      <c r="D30" s="330" t="s">
        <v>152</v>
      </c>
      <c r="E30" s="351">
        <v>6</v>
      </c>
      <c r="F30" s="281"/>
      <c r="G30" s="331" t="s">
        <v>129</v>
      </c>
      <c r="H30" s="332">
        <v>0</v>
      </c>
      <c r="I30" s="278"/>
      <c r="J30" s="279">
        <v>0</v>
      </c>
      <c r="K30" s="332">
        <v>0</v>
      </c>
      <c r="L30" s="278"/>
      <c r="M30" s="279">
        <v>0</v>
      </c>
      <c r="N30" s="332">
        <v>0</v>
      </c>
      <c r="O30" s="278"/>
      <c r="P30" s="279">
        <v>0</v>
      </c>
      <c r="Q30" s="332">
        <v>0</v>
      </c>
      <c r="R30" s="278"/>
      <c r="S30" s="279">
        <v>0</v>
      </c>
      <c r="T30" s="280">
        <v>0</v>
      </c>
      <c r="U30" s="281"/>
      <c r="V30" s="333">
        <v>0</v>
      </c>
      <c r="W30" s="280">
        <v>0</v>
      </c>
      <c r="X30" s="281"/>
      <c r="Y30" s="333">
        <v>0</v>
      </c>
      <c r="Z30" s="280">
        <v>0</v>
      </c>
      <c r="AA30" s="281"/>
      <c r="AB30" s="333">
        <v>0</v>
      </c>
      <c r="AC30" s="280">
        <v>0</v>
      </c>
      <c r="AD30" s="281"/>
      <c r="AE30" s="333">
        <v>0</v>
      </c>
      <c r="AF30" s="280">
        <v>0</v>
      </c>
      <c r="AG30" s="281"/>
      <c r="AH30" s="333">
        <v>0</v>
      </c>
      <c r="AI30" s="280">
        <v>0</v>
      </c>
      <c r="AJ30" s="281"/>
      <c r="AK30" s="333">
        <v>0</v>
      </c>
    </row>
    <row r="31" spans="2:37" ht="23" customHeight="1" x14ac:dyDescent="0.25">
      <c r="B31" s="253">
        <v>21</v>
      </c>
      <c r="D31" s="352" t="s">
        <v>138</v>
      </c>
      <c r="E31" s="353">
        <v>3.8</v>
      </c>
      <c r="F31" s="335"/>
      <c r="G31" s="331" t="s">
        <v>175</v>
      </c>
      <c r="H31" s="332">
        <v>0</v>
      </c>
      <c r="I31" s="278"/>
      <c r="J31" s="279">
        <v>0</v>
      </c>
      <c r="K31" s="332">
        <v>0</v>
      </c>
      <c r="L31" s="278"/>
      <c r="M31" s="279">
        <v>0</v>
      </c>
      <c r="N31" s="332">
        <v>0</v>
      </c>
      <c r="O31" s="278"/>
      <c r="P31" s="279">
        <v>0</v>
      </c>
      <c r="Q31" s="332">
        <v>0</v>
      </c>
      <c r="R31" s="278"/>
      <c r="S31" s="279">
        <v>0</v>
      </c>
      <c r="T31" s="336">
        <v>0</v>
      </c>
      <c r="U31" s="335"/>
      <c r="V31" s="337">
        <v>0</v>
      </c>
      <c r="W31" s="336">
        <v>0</v>
      </c>
      <c r="X31" s="335"/>
      <c r="Y31" s="337">
        <v>0</v>
      </c>
      <c r="Z31" s="336">
        <v>0</v>
      </c>
      <c r="AA31" s="335"/>
      <c r="AB31" s="337">
        <v>0</v>
      </c>
      <c r="AC31" s="336">
        <v>0</v>
      </c>
      <c r="AD31" s="335"/>
      <c r="AE31" s="337">
        <v>0</v>
      </c>
      <c r="AF31" s="336">
        <v>0</v>
      </c>
      <c r="AG31" s="335"/>
      <c r="AH31" s="337">
        <v>0</v>
      </c>
      <c r="AI31" s="336">
        <v>0</v>
      </c>
      <c r="AJ31" s="335"/>
      <c r="AK31" s="337">
        <v>0</v>
      </c>
    </row>
    <row r="32" spans="2:37" ht="23" customHeight="1" x14ac:dyDescent="0.25">
      <c r="B32" s="253">
        <v>22</v>
      </c>
      <c r="D32" s="338" t="s">
        <v>125</v>
      </c>
      <c r="E32" s="353">
        <v>2</v>
      </c>
      <c r="F32" s="335"/>
      <c r="G32" s="339" t="s">
        <v>174</v>
      </c>
      <c r="H32" s="332">
        <v>0</v>
      </c>
      <c r="I32" s="278"/>
      <c r="J32" s="279">
        <v>0</v>
      </c>
      <c r="K32" s="332">
        <v>0</v>
      </c>
      <c r="L32" s="278"/>
      <c r="M32" s="279">
        <v>0</v>
      </c>
      <c r="N32" s="332">
        <v>0</v>
      </c>
      <c r="O32" s="278"/>
      <c r="P32" s="279">
        <v>0</v>
      </c>
      <c r="Q32" s="332">
        <v>0</v>
      </c>
      <c r="R32" s="278"/>
      <c r="S32" s="279">
        <v>0</v>
      </c>
      <c r="T32" s="322">
        <v>0</v>
      </c>
      <c r="U32" s="296"/>
      <c r="V32" s="297">
        <v>0</v>
      </c>
      <c r="W32" s="322">
        <v>0</v>
      </c>
      <c r="X32" s="296"/>
      <c r="Y32" s="297">
        <v>0</v>
      </c>
      <c r="Z32" s="322">
        <v>0</v>
      </c>
      <c r="AA32" s="296"/>
      <c r="AB32" s="297">
        <v>0</v>
      </c>
      <c r="AC32" s="322">
        <v>0</v>
      </c>
      <c r="AD32" s="296"/>
      <c r="AE32" s="297">
        <v>0</v>
      </c>
      <c r="AF32" s="322">
        <v>0</v>
      </c>
      <c r="AG32" s="296"/>
      <c r="AH32" s="297">
        <v>0</v>
      </c>
      <c r="AI32" s="322">
        <v>0</v>
      </c>
      <c r="AJ32" s="296"/>
      <c r="AK32" s="297">
        <v>0</v>
      </c>
    </row>
    <row r="33" spans="3:37" ht="23" customHeight="1" x14ac:dyDescent="0.25">
      <c r="D33" s="354"/>
      <c r="E33" s="355"/>
      <c r="F33" s="356"/>
      <c r="G33" s="357"/>
      <c r="J33" s="264"/>
      <c r="K33" s="342"/>
      <c r="L33" s="343"/>
      <c r="M33" s="344"/>
      <c r="N33" s="342"/>
      <c r="O33" s="343"/>
      <c r="P33" s="344"/>
      <c r="Q33" s="340"/>
      <c r="R33" s="345"/>
      <c r="S33" s="264"/>
      <c r="T33" s="346"/>
      <c r="U33" s="341"/>
      <c r="V33" s="264"/>
      <c r="W33" s="346"/>
      <c r="X33" s="341"/>
      <c r="Y33" s="264"/>
      <c r="Z33" s="346"/>
      <c r="AA33" s="341"/>
      <c r="AB33" s="264"/>
      <c r="AC33" s="346"/>
      <c r="AD33" s="341"/>
      <c r="AE33" s="264"/>
      <c r="AF33" s="346"/>
      <c r="AG33" s="341"/>
      <c r="AH33" s="264"/>
      <c r="AI33" s="346"/>
      <c r="AJ33" s="341"/>
      <c r="AK33" s="264"/>
    </row>
    <row r="34" spans="3:37" ht="23" customHeight="1" x14ac:dyDescent="0.25"/>
    <row r="35" spans="3:37" x14ac:dyDescent="0.25">
      <c r="C35" s="349"/>
    </row>
    <row r="36" spans="3:37" x14ac:dyDescent="0.25">
      <c r="D36" s="418"/>
    </row>
    <row r="37" spans="3:37" x14ac:dyDescent="0.25">
      <c r="D37" s="418"/>
      <c r="E37" s="350"/>
      <c r="F37" s="350"/>
      <c r="G37" s="350"/>
      <c r="H37" s="350"/>
      <c r="I37" s="350"/>
      <c r="J37" s="350"/>
      <c r="K37" s="350"/>
      <c r="L37" s="350"/>
      <c r="M37" s="350"/>
      <c r="N37" s="350"/>
      <c r="O37" s="350"/>
      <c r="P37" s="350"/>
      <c r="Q37" s="350"/>
      <c r="R37" s="350"/>
      <c r="S37" s="350"/>
      <c r="T37" s="350"/>
      <c r="U37" s="350"/>
      <c r="V37" s="350"/>
    </row>
    <row r="38" spans="3:37" x14ac:dyDescent="0.25">
      <c r="D38" s="418"/>
      <c r="E38" s="350"/>
      <c r="F38" s="350"/>
      <c r="G38" s="350"/>
      <c r="H38" s="350"/>
      <c r="I38" s="350"/>
      <c r="J38" s="350"/>
      <c r="K38" s="350"/>
      <c r="L38" s="350"/>
      <c r="M38" s="350"/>
      <c r="N38" s="350"/>
      <c r="O38" s="350"/>
      <c r="P38" s="350"/>
      <c r="Q38" s="350"/>
      <c r="R38" s="350"/>
      <c r="S38" s="350"/>
      <c r="T38" s="350"/>
      <c r="U38" s="350"/>
      <c r="V38" s="350"/>
    </row>
    <row r="39" spans="3:37" x14ac:dyDescent="0.25">
      <c r="D39" s="418"/>
    </row>
    <row r="40" spans="3:37" x14ac:dyDescent="0.25">
      <c r="D40" s="418"/>
      <c r="K40" s="349"/>
      <c r="L40" s="349"/>
      <c r="M40" s="349"/>
    </row>
    <row r="41" spans="3:37" x14ac:dyDescent="0.25">
      <c r="D41" s="418"/>
    </row>
    <row r="42" spans="3:37" x14ac:dyDescent="0.25">
      <c r="D42" s="418"/>
    </row>
    <row r="43" spans="3:37" x14ac:dyDescent="0.25">
      <c r="D43" s="418"/>
    </row>
    <row r="44" spans="3:37" x14ac:dyDescent="0.25">
      <c r="D44" s="418"/>
    </row>
  </sheetData>
  <mergeCells count="24">
    <mergeCell ref="AF11:AH11"/>
    <mergeCell ref="AF12:AH12"/>
    <mergeCell ref="AI11:AK11"/>
    <mergeCell ref="AI12:AK12"/>
    <mergeCell ref="W11:Y11"/>
    <mergeCell ref="W12:Y12"/>
    <mergeCell ref="Z11:AB11"/>
    <mergeCell ref="Z12:AB12"/>
    <mergeCell ref="AC11:AE11"/>
    <mergeCell ref="AC12:AE12"/>
    <mergeCell ref="E12:G12"/>
    <mergeCell ref="H12:J12"/>
    <mergeCell ref="N12:P12"/>
    <mergeCell ref="Q12:S12"/>
    <mergeCell ref="T12:V12"/>
    <mergeCell ref="K12:M12"/>
    <mergeCell ref="C7:V7"/>
    <mergeCell ref="C11:D11"/>
    <mergeCell ref="E11:G11"/>
    <mergeCell ref="H11:J11"/>
    <mergeCell ref="K11:M11"/>
    <mergeCell ref="N11:P11"/>
    <mergeCell ref="Q11:S11"/>
    <mergeCell ref="T11:V11"/>
  </mergeCells>
  <pageMargins left="0.25" right="0.25" top="0.75" bottom="0.75" header="0.3" footer="0.3"/>
  <pageSetup scale="64"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FFECF-B1B3-C24F-94B5-26921868336C}">
  <sheetPr>
    <pageSetUpPr fitToPage="1"/>
  </sheetPr>
  <dimension ref="B2:AC40"/>
  <sheetViews>
    <sheetView view="pageBreakPreview" zoomScale="60" zoomScaleNormal="100" workbookViewId="0">
      <selection activeCell="T13" sqref="T13"/>
    </sheetView>
  </sheetViews>
  <sheetFormatPr baseColWidth="10" defaultColWidth="10.6640625" defaultRowHeight="19" x14ac:dyDescent="0.25"/>
  <cols>
    <col min="1" max="1" width="10.6640625" style="255"/>
    <col min="2" max="2" width="5.6640625" style="253" customWidth="1"/>
    <col min="3" max="3" width="5.5" style="253" customWidth="1"/>
    <col min="4" max="4" width="31.5" style="255" customWidth="1"/>
    <col min="5" max="5" width="9.33203125" style="255" customWidth="1"/>
    <col min="6" max="6" width="2" style="255" customWidth="1"/>
    <col min="7" max="7" width="9.33203125" style="255" customWidth="1"/>
    <col min="8" max="8" width="11.83203125" style="255" customWidth="1"/>
    <col min="9" max="9" width="2" style="255" customWidth="1"/>
    <col min="10" max="11" width="11.83203125" style="255" customWidth="1"/>
    <col min="12" max="12" width="2" style="255" customWidth="1"/>
    <col min="13" max="14" width="11.83203125" style="255" customWidth="1"/>
    <col min="15" max="15" width="2" style="255" customWidth="1"/>
    <col min="16" max="17" width="11.83203125" style="255" customWidth="1"/>
    <col min="18" max="18" width="2" style="255" customWidth="1"/>
    <col min="19" max="20" width="11.83203125" style="255" customWidth="1"/>
    <col min="21" max="21" width="2" style="255" customWidth="1"/>
    <col min="22" max="22" width="11.83203125" style="255" customWidth="1"/>
    <col min="23" max="23" width="4.33203125" style="255" customWidth="1"/>
    <col min="24" max="24" width="2" style="255" customWidth="1"/>
    <col min="25" max="25" width="12.6640625" style="255" customWidth="1"/>
    <col min="26" max="26" width="11.5" style="255" customWidth="1"/>
    <col min="27" max="27" width="2" style="255" customWidth="1"/>
    <col min="28" max="16384" width="10.6640625" style="255"/>
  </cols>
  <sheetData>
    <row r="2" spans="2:29" x14ac:dyDescent="0.25">
      <c r="C2" s="254" t="s">
        <v>0</v>
      </c>
    </row>
    <row r="3" spans="2:29" x14ac:dyDescent="0.25">
      <c r="C3" s="255" t="s">
        <v>1</v>
      </c>
    </row>
    <row r="4" spans="2:29" x14ac:dyDescent="0.25">
      <c r="C4" s="255" t="s">
        <v>2</v>
      </c>
    </row>
    <row r="5" spans="2:29" x14ac:dyDescent="0.25">
      <c r="C5" s="256" t="s">
        <v>238</v>
      </c>
    </row>
    <row r="6" spans="2:29" x14ac:dyDescent="0.25">
      <c r="C6" s="255" t="s">
        <v>177</v>
      </c>
    </row>
    <row r="7" spans="2:29" ht="34.25" customHeight="1" x14ac:dyDescent="0.25">
      <c r="C7" s="365" t="s">
        <v>240</v>
      </c>
      <c r="D7" s="365"/>
      <c r="E7" s="365"/>
      <c r="F7" s="365"/>
      <c r="G7" s="365"/>
      <c r="H7" s="365"/>
      <c r="I7" s="365"/>
      <c r="J7" s="365"/>
      <c r="K7" s="365"/>
      <c r="L7" s="365"/>
      <c r="M7" s="365"/>
      <c r="N7" s="365"/>
      <c r="O7" s="365"/>
      <c r="P7" s="365"/>
      <c r="Q7" s="365"/>
      <c r="R7" s="365"/>
      <c r="S7" s="365"/>
      <c r="T7" s="365"/>
      <c r="U7" s="365"/>
      <c r="V7" s="365"/>
    </row>
    <row r="9" spans="2:29" ht="23" customHeight="1" x14ac:dyDescent="0.25">
      <c r="C9" s="257" t="s">
        <v>239</v>
      </c>
      <c r="D9" s="257"/>
      <c r="E9" s="257"/>
      <c r="F9" s="257"/>
      <c r="G9" s="257"/>
      <c r="H9" s="258"/>
      <c r="I9" s="258"/>
      <c r="J9" s="258"/>
      <c r="K9" s="258"/>
      <c r="L9" s="258"/>
      <c r="M9" s="258"/>
      <c r="N9" s="258"/>
      <c r="O9" s="258"/>
      <c r="P9" s="258"/>
      <c r="Q9" s="258"/>
      <c r="R9" s="258"/>
      <c r="S9" s="258"/>
      <c r="T9" s="258"/>
      <c r="U9" s="258"/>
      <c r="V9" s="258"/>
      <c r="W9" s="258"/>
      <c r="X9" s="259"/>
      <c r="Y9" s="259"/>
      <c r="Z9" s="259"/>
      <c r="AA9" s="259"/>
      <c r="AB9" s="259"/>
      <c r="AC9" s="260"/>
    </row>
    <row r="10" spans="2:29" ht="23" customHeight="1" x14ac:dyDescent="0.25">
      <c r="X10" s="260"/>
      <c r="Y10" s="260"/>
      <c r="Z10" s="260"/>
      <c r="AA10" s="260"/>
      <c r="AB10" s="260"/>
      <c r="AC10" s="260"/>
    </row>
    <row r="11" spans="2:29" ht="38" customHeight="1" x14ac:dyDescent="0.25">
      <c r="B11" s="253">
        <v>1</v>
      </c>
      <c r="C11" s="366" t="s">
        <v>66</v>
      </c>
      <c r="D11" s="366"/>
      <c r="E11" s="367" t="s">
        <v>176</v>
      </c>
      <c r="F11" s="368"/>
      <c r="G11" s="369"/>
      <c r="H11" s="370" t="s">
        <v>236</v>
      </c>
      <c r="I11" s="370"/>
      <c r="J11" s="371"/>
      <c r="K11" s="370" t="s">
        <v>236</v>
      </c>
      <c r="L11" s="370"/>
      <c r="M11" s="371"/>
      <c r="N11" s="370" t="s">
        <v>205</v>
      </c>
      <c r="O11" s="370"/>
      <c r="P11" s="371"/>
      <c r="Q11" s="372" t="s">
        <v>201</v>
      </c>
      <c r="R11" s="373"/>
      <c r="S11" s="374"/>
      <c r="T11" s="372" t="s">
        <v>201</v>
      </c>
      <c r="U11" s="373"/>
      <c r="V11" s="374"/>
      <c r="W11" s="261"/>
      <c r="X11" s="261"/>
      <c r="Y11" s="261"/>
      <c r="Z11" s="261"/>
      <c r="AA11" s="261"/>
      <c r="AB11" s="261"/>
    </row>
    <row r="12" spans="2:29" ht="23" customHeight="1" x14ac:dyDescent="0.25">
      <c r="B12" s="253">
        <v>2</v>
      </c>
      <c r="E12" s="378"/>
      <c r="F12" s="379"/>
      <c r="G12" s="380"/>
      <c r="H12" s="363" t="s">
        <v>184</v>
      </c>
      <c r="I12" s="363"/>
      <c r="J12" s="364"/>
      <c r="K12" s="362" t="s">
        <v>194</v>
      </c>
      <c r="L12" s="363"/>
      <c r="M12" s="364"/>
      <c r="N12" s="362" t="s">
        <v>220</v>
      </c>
      <c r="O12" s="363"/>
      <c r="P12" s="364"/>
      <c r="Q12" s="375" t="s">
        <v>202</v>
      </c>
      <c r="R12" s="376"/>
      <c r="S12" s="377"/>
      <c r="T12" s="375" t="s">
        <v>250</v>
      </c>
      <c r="U12" s="376"/>
      <c r="V12" s="377"/>
      <c r="W12" s="261"/>
      <c r="X12" s="261"/>
      <c r="Y12" s="261"/>
      <c r="Z12" s="261"/>
      <c r="AA12" s="261"/>
      <c r="AB12" s="261"/>
    </row>
    <row r="13" spans="2:29" ht="23" customHeight="1" x14ac:dyDescent="0.25">
      <c r="B13" s="253">
        <v>3</v>
      </c>
      <c r="C13" s="254"/>
      <c r="E13" s="262"/>
      <c r="F13" s="263"/>
      <c r="G13" s="264"/>
      <c r="H13" s="265"/>
      <c r="I13" s="265"/>
      <c r="J13" s="266"/>
      <c r="K13" s="267"/>
      <c r="L13" s="267"/>
      <c r="M13" s="268"/>
      <c r="N13" s="267"/>
      <c r="O13" s="267"/>
      <c r="P13" s="268"/>
      <c r="Q13" s="269"/>
      <c r="R13" s="270"/>
      <c r="S13" s="266"/>
      <c r="T13" s="265"/>
      <c r="U13" s="265"/>
      <c r="V13" s="271"/>
      <c r="W13" s="272"/>
      <c r="X13" s="272"/>
      <c r="Y13" s="272"/>
      <c r="Z13" s="272"/>
      <c r="AA13" s="272"/>
      <c r="AB13" s="272"/>
    </row>
    <row r="14" spans="2:29" ht="23" customHeight="1" x14ac:dyDescent="0.25">
      <c r="B14" s="253">
        <v>4</v>
      </c>
      <c r="D14" s="264"/>
      <c r="G14" s="264"/>
      <c r="J14" s="264"/>
      <c r="M14" s="264"/>
      <c r="P14" s="264"/>
      <c r="S14" s="264"/>
      <c r="V14" s="273"/>
      <c r="W14" s="274"/>
      <c r="X14" s="275"/>
      <c r="Y14" s="274"/>
      <c r="Z14" s="274"/>
      <c r="AA14" s="275"/>
      <c r="AB14" s="274"/>
    </row>
    <row r="15" spans="2:29" ht="23" customHeight="1" x14ac:dyDescent="0.25">
      <c r="B15" s="253">
        <v>5</v>
      </c>
      <c r="D15" s="276" t="s">
        <v>7</v>
      </c>
      <c r="E15" s="277">
        <v>0</v>
      </c>
      <c r="F15" s="278"/>
      <c r="G15" s="279">
        <v>0</v>
      </c>
      <c r="H15" s="277">
        <v>0</v>
      </c>
      <c r="I15" s="278"/>
      <c r="J15" s="279">
        <v>0</v>
      </c>
      <c r="K15" s="277">
        <v>0</v>
      </c>
      <c r="L15" s="278"/>
      <c r="M15" s="279">
        <v>0</v>
      </c>
      <c r="N15" s="277">
        <v>0</v>
      </c>
      <c r="O15" s="278"/>
      <c r="P15" s="279">
        <v>0</v>
      </c>
      <c r="Q15" s="277">
        <v>0</v>
      </c>
      <c r="R15" s="278"/>
      <c r="S15" s="279">
        <v>0</v>
      </c>
      <c r="T15" s="280">
        <v>0</v>
      </c>
      <c r="U15" s="281"/>
      <c r="V15" s="282">
        <v>0</v>
      </c>
      <c r="W15" s="274"/>
      <c r="X15" s="275"/>
      <c r="Y15" s="274"/>
      <c r="Z15" s="274"/>
      <c r="AA15" s="275"/>
      <c r="AB15" s="274"/>
    </row>
    <row r="16" spans="2:29" ht="23" customHeight="1" x14ac:dyDescent="0.25">
      <c r="B16" s="253">
        <v>6</v>
      </c>
      <c r="D16" s="283"/>
      <c r="E16" s="284"/>
      <c r="F16" s="285"/>
      <c r="G16" s="286"/>
      <c r="H16" s="284"/>
      <c r="I16" s="285"/>
      <c r="J16" s="287"/>
      <c r="K16" s="288"/>
      <c r="L16" s="289"/>
      <c r="M16" s="290"/>
      <c r="N16" s="288"/>
      <c r="O16" s="289"/>
      <c r="P16" s="290"/>
      <c r="Q16" s="284"/>
      <c r="R16" s="285"/>
      <c r="S16" s="286"/>
      <c r="T16" s="291"/>
      <c r="U16" s="292"/>
      <c r="V16" s="293"/>
      <c r="W16" s="274"/>
      <c r="X16" s="275"/>
      <c r="Y16" s="274"/>
      <c r="Z16" s="274"/>
      <c r="AA16" s="275"/>
      <c r="AB16" s="274"/>
    </row>
    <row r="17" spans="2:28" ht="23" customHeight="1" x14ac:dyDescent="0.25">
      <c r="B17" s="253">
        <v>7</v>
      </c>
      <c r="D17" s="294"/>
      <c r="E17" s="295"/>
      <c r="F17" s="296"/>
      <c r="G17" s="297"/>
      <c r="H17" s="295"/>
      <c r="I17" s="296"/>
      <c r="J17" s="297"/>
      <c r="K17" s="274"/>
      <c r="L17" s="275"/>
      <c r="M17" s="298"/>
      <c r="N17" s="274"/>
      <c r="O17" s="275"/>
      <c r="P17" s="298"/>
      <c r="Q17" s="295"/>
      <c r="R17" s="296"/>
      <c r="S17" s="297"/>
      <c r="T17" s="295"/>
      <c r="U17" s="296"/>
      <c r="V17" s="299"/>
      <c r="W17" s="274"/>
      <c r="X17" s="275"/>
      <c r="Y17" s="274"/>
      <c r="Z17" s="274"/>
      <c r="AA17" s="275"/>
      <c r="AB17" s="274"/>
    </row>
    <row r="18" spans="2:28" ht="23" customHeight="1" x14ac:dyDescent="0.25">
      <c r="B18" s="253">
        <v>8</v>
      </c>
      <c r="D18" s="264"/>
      <c r="G18" s="264"/>
      <c r="J18" s="264"/>
      <c r="M18" s="264"/>
      <c r="P18" s="264"/>
      <c r="S18" s="264"/>
      <c r="V18" s="273"/>
      <c r="W18" s="274"/>
      <c r="X18" s="300"/>
      <c r="Y18" s="274"/>
      <c r="Z18" s="274"/>
      <c r="AA18" s="300"/>
      <c r="AB18" s="274"/>
    </row>
    <row r="19" spans="2:28" ht="23" customHeight="1" x14ac:dyDescent="0.25">
      <c r="B19" s="253">
        <v>9</v>
      </c>
      <c r="D19" s="301" t="s">
        <v>8</v>
      </c>
      <c r="E19" s="277">
        <v>0</v>
      </c>
      <c r="F19" s="278"/>
      <c r="G19" s="279">
        <v>0</v>
      </c>
      <c r="H19" s="277">
        <v>0</v>
      </c>
      <c r="I19" s="278"/>
      <c r="J19" s="279">
        <v>0</v>
      </c>
      <c r="K19" s="277">
        <v>0</v>
      </c>
      <c r="L19" s="278"/>
      <c r="M19" s="279">
        <v>0</v>
      </c>
      <c r="N19" s="277">
        <v>0</v>
      </c>
      <c r="O19" s="278"/>
      <c r="P19" s="279">
        <v>0</v>
      </c>
      <c r="Q19" s="277">
        <v>0</v>
      </c>
      <c r="R19" s="278"/>
      <c r="S19" s="279">
        <v>0</v>
      </c>
      <c r="T19" s="280">
        <v>0</v>
      </c>
      <c r="U19" s="281"/>
      <c r="V19" s="282">
        <v>0</v>
      </c>
      <c r="W19" s="274"/>
      <c r="X19" s="275"/>
      <c r="Y19" s="274"/>
      <c r="Z19" s="274"/>
      <c r="AA19" s="275"/>
      <c r="AB19" s="274"/>
    </row>
    <row r="20" spans="2:28" ht="23" customHeight="1" x14ac:dyDescent="0.25">
      <c r="B20" s="253">
        <v>10</v>
      </c>
      <c r="D20" s="302"/>
      <c r="E20" s="284"/>
      <c r="F20" s="285"/>
      <c r="G20" s="286"/>
      <c r="H20" s="291"/>
      <c r="I20" s="285"/>
      <c r="J20" s="303"/>
      <c r="K20" s="288"/>
      <c r="L20" s="289"/>
      <c r="M20" s="290"/>
      <c r="N20" s="288"/>
      <c r="O20" s="289"/>
      <c r="P20" s="290"/>
      <c r="Q20" s="284"/>
      <c r="R20" s="285"/>
      <c r="S20" s="286"/>
      <c r="T20" s="291"/>
      <c r="U20" s="292"/>
      <c r="V20" s="304"/>
      <c r="W20" s="274"/>
      <c r="X20" s="275"/>
      <c r="Y20" s="274"/>
      <c r="Z20" s="274"/>
      <c r="AA20" s="275"/>
      <c r="AB20" s="274"/>
    </row>
    <row r="21" spans="2:28" ht="23" customHeight="1" x14ac:dyDescent="0.25">
      <c r="B21" s="253">
        <v>11</v>
      </c>
      <c r="D21" s="294"/>
      <c r="E21" s="295"/>
      <c r="F21" s="296"/>
      <c r="G21" s="297"/>
      <c r="H21" s="295"/>
      <c r="I21" s="296"/>
      <c r="J21" s="297"/>
      <c r="K21" s="274"/>
      <c r="L21" s="275"/>
      <c r="M21" s="298"/>
      <c r="N21" s="274"/>
      <c r="O21" s="275"/>
      <c r="P21" s="298"/>
      <c r="Q21" s="295"/>
      <c r="R21" s="296"/>
      <c r="S21" s="297"/>
      <c r="T21" s="295"/>
      <c r="U21" s="296"/>
      <c r="V21" s="299"/>
      <c r="W21" s="274"/>
      <c r="X21" s="275"/>
      <c r="Y21" s="274"/>
      <c r="Z21" s="274"/>
      <c r="AA21" s="275"/>
      <c r="AB21" s="274"/>
    </row>
    <row r="22" spans="2:28" ht="23" customHeight="1" x14ac:dyDescent="0.25">
      <c r="B22" s="253">
        <v>12</v>
      </c>
      <c r="D22" s="264"/>
      <c r="G22" s="264"/>
      <c r="J22" s="264"/>
      <c r="M22" s="264"/>
      <c r="P22" s="264"/>
      <c r="S22" s="264"/>
      <c r="V22" s="273"/>
      <c r="W22" s="274"/>
      <c r="X22" s="300"/>
      <c r="Y22" s="274"/>
      <c r="Z22" s="274"/>
      <c r="AA22" s="300"/>
      <c r="AB22" s="274"/>
    </row>
    <row r="23" spans="2:28" ht="23" customHeight="1" x14ac:dyDescent="0.25">
      <c r="B23" s="253">
        <v>13</v>
      </c>
      <c r="D23" s="305" t="s">
        <v>9</v>
      </c>
      <c r="E23" s="277">
        <v>0</v>
      </c>
      <c r="F23" s="278"/>
      <c r="G23" s="279">
        <v>0</v>
      </c>
      <c r="H23" s="277">
        <v>0</v>
      </c>
      <c r="I23" s="278"/>
      <c r="J23" s="279">
        <v>0</v>
      </c>
      <c r="K23" s="277">
        <v>0</v>
      </c>
      <c r="L23" s="278"/>
      <c r="M23" s="279">
        <v>0</v>
      </c>
      <c r="N23" s="277">
        <v>0</v>
      </c>
      <c r="O23" s="278"/>
      <c r="P23" s="279">
        <v>0</v>
      </c>
      <c r="Q23" s="277">
        <v>0</v>
      </c>
      <c r="R23" s="278"/>
      <c r="S23" s="279">
        <v>0</v>
      </c>
      <c r="T23" s="280">
        <v>0</v>
      </c>
      <c r="U23" s="281"/>
      <c r="V23" s="282">
        <v>0</v>
      </c>
      <c r="W23" s="274"/>
      <c r="X23" s="300"/>
      <c r="Y23" s="274"/>
      <c r="Z23" s="274"/>
      <c r="AA23" s="300"/>
      <c r="AB23" s="274"/>
    </row>
    <row r="24" spans="2:28" ht="23" customHeight="1" x14ac:dyDescent="0.25">
      <c r="B24" s="253">
        <v>14</v>
      </c>
      <c r="D24" s="302"/>
      <c r="E24" s="284"/>
      <c r="F24" s="285"/>
      <c r="G24" s="286"/>
      <c r="H24" s="291"/>
      <c r="I24" s="285"/>
      <c r="J24" s="303"/>
      <c r="K24" s="288"/>
      <c r="L24" s="289"/>
      <c r="M24" s="290"/>
      <c r="N24" s="288"/>
      <c r="O24" s="289"/>
      <c r="P24" s="290"/>
      <c r="Q24" s="284"/>
      <c r="R24" s="285"/>
      <c r="S24" s="286"/>
      <c r="T24" s="291"/>
      <c r="U24" s="292"/>
      <c r="V24" s="304"/>
      <c r="W24" s="274"/>
      <c r="X24" s="275"/>
      <c r="Y24" s="274"/>
      <c r="Z24" s="274"/>
      <c r="AA24" s="275"/>
      <c r="AB24" s="274"/>
    </row>
    <row r="25" spans="2:28" ht="23" customHeight="1" x14ac:dyDescent="0.25">
      <c r="B25" s="253">
        <v>15</v>
      </c>
      <c r="D25" s="306"/>
      <c r="E25" s="307"/>
      <c r="F25" s="308"/>
      <c r="G25" s="309"/>
      <c r="H25" s="310"/>
      <c r="I25" s="308"/>
      <c r="J25" s="309"/>
      <c r="K25" s="311"/>
      <c r="L25" s="312"/>
      <c r="M25" s="313"/>
      <c r="N25" s="311"/>
      <c r="O25" s="312"/>
      <c r="P25" s="313"/>
      <c r="Q25" s="307"/>
      <c r="R25" s="308"/>
      <c r="S25" s="309"/>
      <c r="T25" s="307"/>
      <c r="U25" s="308"/>
      <c r="V25" s="309"/>
      <c r="W25" s="274"/>
      <c r="X25" s="275"/>
      <c r="Y25" s="274"/>
      <c r="Z25" s="274"/>
      <c r="AA25" s="275"/>
      <c r="AB25" s="274"/>
    </row>
    <row r="26" spans="2:28" ht="23" customHeight="1" x14ac:dyDescent="0.25">
      <c r="B26" s="253">
        <v>16</v>
      </c>
      <c r="D26" s="314"/>
      <c r="E26" s="315"/>
      <c r="F26" s="296"/>
      <c r="G26" s="299"/>
      <c r="H26" s="295"/>
      <c r="I26" s="296"/>
      <c r="J26" s="299"/>
      <c r="K26" s="274"/>
      <c r="L26" s="275"/>
      <c r="M26" s="274"/>
      <c r="N26" s="316"/>
      <c r="O26" s="275"/>
      <c r="P26" s="274"/>
      <c r="Q26" s="315"/>
      <c r="R26" s="296"/>
      <c r="S26" s="295"/>
      <c r="T26" s="315"/>
      <c r="U26" s="296"/>
      <c r="V26" s="299"/>
      <c r="W26" s="274"/>
      <c r="X26" s="275"/>
      <c r="Y26" s="274"/>
      <c r="Z26" s="274"/>
      <c r="AA26" s="275"/>
      <c r="AB26" s="274"/>
    </row>
    <row r="27" spans="2:28" ht="23" customHeight="1" x14ac:dyDescent="0.25">
      <c r="B27" s="253">
        <v>17</v>
      </c>
      <c r="D27" s="317"/>
      <c r="E27" s="318"/>
      <c r="F27" s="296"/>
      <c r="G27" s="297"/>
      <c r="H27" s="295"/>
      <c r="I27" s="296"/>
      <c r="J27" s="297"/>
      <c r="K27" s="319"/>
      <c r="L27" s="275"/>
      <c r="M27" s="298"/>
      <c r="N27" s="319"/>
      <c r="O27" s="275"/>
      <c r="P27" s="298"/>
      <c r="Q27" s="318"/>
      <c r="R27" s="296"/>
      <c r="S27" s="297"/>
      <c r="T27" s="318"/>
      <c r="U27" s="296"/>
      <c r="V27" s="297"/>
      <c r="W27" s="274"/>
      <c r="X27" s="275"/>
      <c r="Y27" s="274"/>
      <c r="Z27" s="274"/>
      <c r="AA27" s="275"/>
      <c r="AB27" s="274"/>
    </row>
    <row r="28" spans="2:28" ht="23" customHeight="1" x14ac:dyDescent="0.25">
      <c r="B28" s="253">
        <v>18</v>
      </c>
      <c r="D28" s="320"/>
      <c r="E28" s="318"/>
      <c r="F28" s="321"/>
      <c r="G28" s="297"/>
      <c r="H28" s="322"/>
      <c r="I28" s="296"/>
      <c r="J28" s="297"/>
      <c r="K28" s="274"/>
      <c r="L28" s="300"/>
      <c r="M28" s="298"/>
      <c r="N28" s="274"/>
      <c r="O28" s="300"/>
      <c r="P28" s="298"/>
      <c r="Q28" s="318"/>
      <c r="R28" s="321"/>
      <c r="S28" s="297"/>
      <c r="T28" s="323"/>
      <c r="U28" s="296"/>
      <c r="V28" s="297"/>
      <c r="W28" s="274"/>
      <c r="X28" s="300"/>
      <c r="Y28" s="274"/>
      <c r="Z28" s="274"/>
      <c r="AA28" s="300"/>
      <c r="AB28" s="274"/>
    </row>
    <row r="29" spans="2:28" ht="23" customHeight="1" x14ac:dyDescent="0.25">
      <c r="B29" s="253">
        <v>19</v>
      </c>
      <c r="C29" s="324" t="s">
        <v>153</v>
      </c>
      <c r="E29" s="269"/>
      <c r="F29" s="325"/>
      <c r="G29" s="266"/>
      <c r="H29" s="326"/>
      <c r="I29" s="325"/>
      <c r="J29" s="266"/>
      <c r="K29" s="267"/>
      <c r="L29" s="327"/>
      <c r="M29" s="268"/>
      <c r="N29" s="267"/>
      <c r="O29" s="327"/>
      <c r="P29" s="268"/>
      <c r="Q29" s="269"/>
      <c r="R29" s="328"/>
      <c r="S29" s="266"/>
      <c r="T29" s="326"/>
      <c r="U29" s="325"/>
      <c r="V29" s="266"/>
      <c r="W29" s="272"/>
      <c r="X29" s="329"/>
      <c r="Y29" s="272"/>
      <c r="Z29" s="272"/>
      <c r="AA29" s="329"/>
      <c r="AB29" s="272"/>
    </row>
    <row r="30" spans="2:28" ht="23" customHeight="1" x14ac:dyDescent="0.25">
      <c r="B30" s="253">
        <v>20</v>
      </c>
      <c r="D30" s="330" t="s">
        <v>152</v>
      </c>
      <c r="E30" s="351">
        <v>6</v>
      </c>
      <c r="F30" s="281"/>
      <c r="G30" s="331" t="s">
        <v>129</v>
      </c>
      <c r="H30" s="332">
        <v>0</v>
      </c>
      <c r="I30" s="278"/>
      <c r="J30" s="279">
        <v>0</v>
      </c>
      <c r="K30" s="332">
        <v>0</v>
      </c>
      <c r="L30" s="278"/>
      <c r="M30" s="279">
        <v>0</v>
      </c>
      <c r="N30" s="332">
        <v>0</v>
      </c>
      <c r="O30" s="278"/>
      <c r="P30" s="279">
        <v>0</v>
      </c>
      <c r="Q30" s="332">
        <v>0</v>
      </c>
      <c r="R30" s="278"/>
      <c r="S30" s="279">
        <v>0</v>
      </c>
      <c r="T30" s="280">
        <v>0</v>
      </c>
      <c r="U30" s="281"/>
      <c r="V30" s="333">
        <v>0</v>
      </c>
      <c r="W30" s="334"/>
      <c r="X30" s="275"/>
      <c r="Y30" s="274"/>
      <c r="Z30" s="334"/>
      <c r="AA30" s="275"/>
      <c r="AB30" s="274"/>
    </row>
    <row r="31" spans="2:28" ht="23" customHeight="1" x14ac:dyDescent="0.25">
      <c r="B31" s="253">
        <v>21</v>
      </c>
      <c r="D31" s="352" t="s">
        <v>138</v>
      </c>
      <c r="E31" s="353">
        <v>3.8</v>
      </c>
      <c r="F31" s="335"/>
      <c r="G31" s="331" t="s">
        <v>175</v>
      </c>
      <c r="H31" s="332">
        <v>0</v>
      </c>
      <c r="I31" s="278"/>
      <c r="J31" s="279">
        <v>0</v>
      </c>
      <c r="K31" s="332">
        <v>0</v>
      </c>
      <c r="L31" s="278"/>
      <c r="M31" s="279">
        <v>0</v>
      </c>
      <c r="N31" s="332">
        <v>0</v>
      </c>
      <c r="O31" s="278"/>
      <c r="P31" s="279">
        <v>0</v>
      </c>
      <c r="Q31" s="332">
        <v>0</v>
      </c>
      <c r="R31" s="278"/>
      <c r="S31" s="279">
        <v>0</v>
      </c>
      <c r="T31" s="336">
        <v>0</v>
      </c>
      <c r="U31" s="335"/>
      <c r="V31" s="337">
        <v>0</v>
      </c>
      <c r="W31" s="334"/>
      <c r="X31" s="275"/>
      <c r="Y31" s="274"/>
      <c r="Z31" s="334"/>
      <c r="AA31" s="275"/>
      <c r="AB31" s="274"/>
    </row>
    <row r="32" spans="2:28" ht="23" customHeight="1" x14ac:dyDescent="0.25">
      <c r="B32" s="253">
        <v>22</v>
      </c>
      <c r="D32" s="338" t="s">
        <v>125</v>
      </c>
      <c r="E32" s="353">
        <v>2</v>
      </c>
      <c r="F32" s="335"/>
      <c r="G32" s="339" t="s">
        <v>174</v>
      </c>
      <c r="H32" s="332">
        <v>0</v>
      </c>
      <c r="I32" s="278"/>
      <c r="J32" s="279">
        <v>0</v>
      </c>
      <c r="K32" s="332">
        <v>0</v>
      </c>
      <c r="L32" s="278"/>
      <c r="M32" s="279">
        <v>0</v>
      </c>
      <c r="N32" s="332">
        <v>0</v>
      </c>
      <c r="O32" s="278"/>
      <c r="P32" s="279">
        <v>0</v>
      </c>
      <c r="Q32" s="332">
        <v>0</v>
      </c>
      <c r="R32" s="278"/>
      <c r="S32" s="279">
        <v>0</v>
      </c>
      <c r="T32" s="322">
        <v>0</v>
      </c>
      <c r="U32" s="296"/>
      <c r="V32" s="297">
        <v>0</v>
      </c>
      <c r="W32" s="334"/>
      <c r="X32" s="275"/>
      <c r="Y32" s="274"/>
      <c r="Z32" s="334"/>
      <c r="AA32" s="275"/>
      <c r="AB32" s="274"/>
    </row>
    <row r="33" spans="3:28" ht="23" customHeight="1" x14ac:dyDescent="0.25">
      <c r="D33" s="354"/>
      <c r="E33" s="355"/>
      <c r="F33" s="356"/>
      <c r="G33" s="357"/>
      <c r="J33" s="264"/>
      <c r="K33" s="342"/>
      <c r="L33" s="343"/>
      <c r="M33" s="344"/>
      <c r="N33" s="342"/>
      <c r="O33" s="343"/>
      <c r="P33" s="344"/>
      <c r="Q33" s="340"/>
      <c r="R33" s="345"/>
      <c r="S33" s="264"/>
      <c r="T33" s="346"/>
      <c r="U33" s="341"/>
      <c r="V33" s="264"/>
      <c r="W33" s="347"/>
      <c r="X33" s="347"/>
      <c r="Y33" s="348"/>
      <c r="Z33" s="347"/>
      <c r="AA33" s="347"/>
      <c r="AB33" s="348"/>
    </row>
    <row r="34" spans="3:28" ht="23" customHeight="1" x14ac:dyDescent="0.25"/>
    <row r="35" spans="3:28" x14ac:dyDescent="0.25">
      <c r="C35" s="349"/>
    </row>
    <row r="37" spans="3:28" x14ac:dyDescent="0.25">
      <c r="D37" s="350"/>
      <c r="E37" s="350"/>
      <c r="F37" s="350"/>
      <c r="G37" s="350"/>
      <c r="H37" s="350"/>
      <c r="I37" s="350"/>
      <c r="J37" s="350"/>
      <c r="K37" s="350"/>
      <c r="L37" s="350"/>
      <c r="M37" s="350"/>
      <c r="N37" s="350"/>
      <c r="O37" s="350"/>
      <c r="P37" s="350"/>
      <c r="Q37" s="350"/>
      <c r="R37" s="350"/>
      <c r="S37" s="350"/>
      <c r="T37" s="350"/>
      <c r="U37" s="350"/>
      <c r="V37" s="350"/>
    </row>
    <row r="38" spans="3:28" x14ac:dyDescent="0.25">
      <c r="D38" s="350"/>
      <c r="E38" s="350"/>
      <c r="F38" s="350"/>
      <c r="G38" s="350"/>
      <c r="H38" s="350"/>
      <c r="I38" s="350"/>
      <c r="J38" s="350"/>
      <c r="K38" s="350"/>
      <c r="L38" s="350"/>
      <c r="M38" s="350"/>
      <c r="N38" s="350"/>
      <c r="O38" s="350"/>
      <c r="P38" s="350"/>
      <c r="Q38" s="350"/>
      <c r="R38" s="350"/>
      <c r="S38" s="350"/>
      <c r="T38" s="350"/>
      <c r="U38" s="350"/>
      <c r="V38" s="350"/>
    </row>
    <row r="40" spans="3:28" x14ac:dyDescent="0.25">
      <c r="K40" s="349"/>
      <c r="L40" s="349"/>
      <c r="M40" s="349"/>
    </row>
  </sheetData>
  <mergeCells count="14">
    <mergeCell ref="T12:V12"/>
    <mergeCell ref="C7:V7"/>
    <mergeCell ref="C11:D11"/>
    <mergeCell ref="E11:G11"/>
    <mergeCell ref="H11:J11"/>
    <mergeCell ref="N11:P11"/>
    <mergeCell ref="K11:M11"/>
    <mergeCell ref="Q11:S11"/>
    <mergeCell ref="T11:V11"/>
    <mergeCell ref="N12:P12"/>
    <mergeCell ref="Q12:S12"/>
    <mergeCell ref="E12:G12"/>
    <mergeCell ref="H12:J12"/>
    <mergeCell ref="K12:M12"/>
  </mergeCells>
  <pageMargins left="0.25" right="0.25" top="0.75" bottom="0.75" header="0.3" footer="0.3"/>
  <pageSetup scale="64"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D0DF5-4710-6048-84B3-C6353E0BBDBB}">
  <sheetPr>
    <pageSetUpPr fitToPage="1"/>
  </sheetPr>
  <dimension ref="B2:W40"/>
  <sheetViews>
    <sheetView zoomScaleNormal="100" workbookViewId="0">
      <selection activeCell="Y26" sqref="Y26"/>
    </sheetView>
  </sheetViews>
  <sheetFormatPr baseColWidth="10" defaultColWidth="10.6640625" defaultRowHeight="16" x14ac:dyDescent="0.2"/>
  <cols>
    <col min="1" max="1" width="10.6640625" style="80"/>
    <col min="2" max="2" width="5.6640625" style="81" customWidth="1"/>
    <col min="3" max="3" width="5.5" style="81" customWidth="1"/>
    <col min="4" max="4" width="23.1640625" style="80" customWidth="1"/>
    <col min="5" max="5" width="8.83203125" style="80" customWidth="1"/>
    <col min="6" max="6" width="2" style="80" customWidth="1"/>
    <col min="7" max="7" width="8.83203125" style="80" customWidth="1"/>
    <col min="8" max="8" width="9.83203125" style="80" customWidth="1"/>
    <col min="9" max="9" width="2" style="80" bestFit="1" customWidth="1"/>
    <col min="10" max="11" width="9.83203125" style="80" customWidth="1"/>
    <col min="12" max="12" width="2" style="80" bestFit="1" customWidth="1"/>
    <col min="13" max="14" width="9.83203125" style="80" customWidth="1"/>
    <col min="15" max="15" width="2" style="80" bestFit="1" customWidth="1"/>
    <col min="16" max="17" width="9.83203125" style="80" customWidth="1"/>
    <col min="18" max="18" width="2" style="80" bestFit="1" customWidth="1"/>
    <col min="19" max="20" width="9.83203125" style="80" customWidth="1"/>
    <col min="21" max="21" width="2.1640625" style="80" customWidth="1"/>
    <col min="22" max="22" width="9.83203125" style="80" customWidth="1"/>
    <col min="23" max="16384" width="10.6640625" style="80"/>
  </cols>
  <sheetData>
    <row r="2" spans="2:23" x14ac:dyDescent="0.2">
      <c r="C2" s="150" t="s">
        <v>0</v>
      </c>
    </row>
    <row r="3" spans="2:23" x14ac:dyDescent="0.2">
      <c r="C3" s="80" t="s">
        <v>1</v>
      </c>
    </row>
    <row r="4" spans="2:23" x14ac:dyDescent="0.2">
      <c r="C4" s="80" t="s">
        <v>2</v>
      </c>
    </row>
    <row r="5" spans="2:23" x14ac:dyDescent="0.2">
      <c r="C5" s="160" t="s">
        <v>200</v>
      </c>
    </row>
    <row r="6" spans="2:23" x14ac:dyDescent="0.2">
      <c r="C6" s="80" t="s">
        <v>177</v>
      </c>
    </row>
    <row r="7" spans="2:23" ht="34.25" customHeight="1" x14ac:dyDescent="0.2">
      <c r="C7" s="391" t="s">
        <v>151</v>
      </c>
      <c r="D7" s="391"/>
      <c r="E7" s="391"/>
      <c r="F7" s="391"/>
      <c r="G7" s="391"/>
      <c r="H7" s="391"/>
      <c r="I7" s="391"/>
      <c r="J7" s="391"/>
      <c r="K7" s="391"/>
      <c r="L7" s="391"/>
      <c r="M7" s="391"/>
      <c r="N7" s="391"/>
      <c r="O7" s="391"/>
      <c r="P7" s="391"/>
      <c r="Q7" s="391"/>
      <c r="R7" s="391"/>
      <c r="S7" s="391"/>
    </row>
    <row r="9" spans="2:23" x14ac:dyDescent="0.2">
      <c r="C9" s="159" t="s">
        <v>204</v>
      </c>
      <c r="D9" s="159"/>
      <c r="E9" s="159"/>
      <c r="F9" s="159"/>
      <c r="G9" s="159"/>
      <c r="H9" s="158"/>
      <c r="I9" s="158"/>
      <c r="J9" s="158"/>
      <c r="K9" s="158"/>
      <c r="L9" s="158"/>
      <c r="M9" s="158"/>
      <c r="N9" s="158"/>
      <c r="O9" s="158"/>
      <c r="P9" s="158"/>
      <c r="Q9" s="158"/>
      <c r="R9" s="158"/>
      <c r="S9" s="158"/>
      <c r="T9" s="158"/>
      <c r="U9" s="158"/>
      <c r="V9" s="158"/>
      <c r="W9" s="158"/>
    </row>
    <row r="11" spans="2:23" ht="30" customHeight="1" x14ac:dyDescent="0.2">
      <c r="B11" s="81">
        <v>1</v>
      </c>
      <c r="C11" s="392" t="s">
        <v>66</v>
      </c>
      <c r="D11" s="392"/>
      <c r="E11" s="393" t="s">
        <v>176</v>
      </c>
      <c r="F11" s="394"/>
      <c r="G11" s="395"/>
      <c r="H11" s="381" t="s">
        <v>237</v>
      </c>
      <c r="I11" s="396"/>
      <c r="J11" s="382"/>
      <c r="K11" s="381" t="s">
        <v>237</v>
      </c>
      <c r="L11" s="396"/>
      <c r="M11" s="382"/>
      <c r="N11" s="381" t="s">
        <v>237</v>
      </c>
      <c r="O11" s="396"/>
      <c r="P11" s="382"/>
      <c r="Q11" s="381" t="s">
        <v>237</v>
      </c>
      <c r="R11" s="396"/>
      <c r="S11" s="382"/>
      <c r="T11" s="381" t="s">
        <v>237</v>
      </c>
      <c r="U11" s="396"/>
      <c r="V11" s="382"/>
    </row>
    <row r="12" spans="2:23" x14ac:dyDescent="0.2">
      <c r="B12" s="81">
        <v>2</v>
      </c>
      <c r="E12" s="387"/>
      <c r="F12" s="388"/>
      <c r="G12" s="389"/>
      <c r="H12" s="390" t="s">
        <v>195</v>
      </c>
      <c r="I12" s="390"/>
      <c r="J12" s="385"/>
      <c r="K12" s="383" t="s">
        <v>196</v>
      </c>
      <c r="L12" s="390"/>
      <c r="M12" s="385"/>
      <c r="N12" s="383" t="s">
        <v>191</v>
      </c>
      <c r="O12" s="390"/>
      <c r="P12" s="385"/>
      <c r="Q12" s="383" t="s">
        <v>197</v>
      </c>
      <c r="R12" s="390"/>
      <c r="S12" s="385"/>
      <c r="T12" s="383" t="s">
        <v>198</v>
      </c>
      <c r="U12" s="384"/>
      <c r="V12" s="385"/>
    </row>
    <row r="13" spans="2:23" x14ac:dyDescent="0.2">
      <c r="B13" s="81">
        <v>3</v>
      </c>
      <c r="C13" s="150"/>
      <c r="E13" s="87"/>
      <c r="F13" s="193"/>
      <c r="G13" s="233"/>
      <c r="H13" s="113"/>
      <c r="I13" s="113"/>
      <c r="J13" s="239"/>
      <c r="K13" s="113"/>
      <c r="L13" s="113"/>
      <c r="M13" s="239"/>
      <c r="N13" s="113"/>
      <c r="O13" s="113"/>
      <c r="P13" s="239"/>
      <c r="Q13" s="113"/>
      <c r="R13" s="113"/>
      <c r="S13" s="239"/>
      <c r="T13" s="113"/>
      <c r="U13" s="113"/>
      <c r="V13" s="239"/>
    </row>
    <row r="14" spans="2:23" x14ac:dyDescent="0.2">
      <c r="B14" s="81">
        <v>4</v>
      </c>
      <c r="D14" s="233"/>
      <c r="G14" s="233"/>
      <c r="J14" s="233"/>
      <c r="M14" s="233"/>
      <c r="P14" s="233"/>
      <c r="S14" s="233"/>
      <c r="V14" s="233"/>
    </row>
    <row r="15" spans="2:23" x14ac:dyDescent="0.2">
      <c r="B15" s="81">
        <v>5</v>
      </c>
      <c r="D15" s="246" t="s">
        <v>7</v>
      </c>
      <c r="E15" s="105">
        <v>0</v>
      </c>
      <c r="F15" s="104"/>
      <c r="G15" s="247">
        <v>0</v>
      </c>
      <c r="H15" s="105">
        <v>0</v>
      </c>
      <c r="I15" s="104"/>
      <c r="J15" s="247">
        <v>0</v>
      </c>
      <c r="K15" s="105">
        <v>0</v>
      </c>
      <c r="L15" s="104"/>
      <c r="M15" s="247">
        <v>0</v>
      </c>
      <c r="N15" s="105">
        <v>0</v>
      </c>
      <c r="O15" s="104"/>
      <c r="P15" s="247">
        <v>0</v>
      </c>
      <c r="Q15" s="105">
        <v>0</v>
      </c>
      <c r="R15" s="104"/>
      <c r="S15" s="247">
        <v>0</v>
      </c>
      <c r="T15" s="105">
        <v>0</v>
      </c>
      <c r="U15" s="104"/>
      <c r="V15" s="247">
        <v>0</v>
      </c>
    </row>
    <row r="16" spans="2:23" x14ac:dyDescent="0.2">
      <c r="B16" s="81">
        <v>6</v>
      </c>
      <c r="D16" s="234"/>
      <c r="E16" s="141"/>
      <c r="F16" s="245"/>
      <c r="G16" s="236"/>
      <c r="H16" s="211"/>
      <c r="I16" s="245"/>
      <c r="J16" s="240"/>
      <c r="K16" s="211"/>
      <c r="L16" s="245"/>
      <c r="M16" s="236"/>
      <c r="N16" s="141"/>
      <c r="O16" s="245"/>
      <c r="P16" s="241"/>
      <c r="Q16" s="141"/>
      <c r="R16" s="245"/>
      <c r="S16" s="241"/>
      <c r="T16" s="211"/>
      <c r="U16" s="245"/>
      <c r="V16" s="236"/>
    </row>
    <row r="17" spans="2:22" x14ac:dyDescent="0.2">
      <c r="B17" s="81">
        <v>7</v>
      </c>
      <c r="D17" s="235"/>
      <c r="E17" s="133"/>
      <c r="F17" s="89"/>
      <c r="G17" s="232"/>
      <c r="H17" s="133"/>
      <c r="I17" s="89"/>
      <c r="J17" s="232"/>
      <c r="K17" s="133"/>
      <c r="L17" s="89"/>
      <c r="M17" s="232"/>
      <c r="N17" s="133"/>
      <c r="O17" s="89"/>
      <c r="P17" s="232"/>
      <c r="Q17" s="133"/>
      <c r="R17" s="89"/>
      <c r="S17" s="232"/>
      <c r="T17" s="133"/>
      <c r="U17" s="89"/>
      <c r="V17" s="232"/>
    </row>
    <row r="18" spans="2:22" x14ac:dyDescent="0.2">
      <c r="B18" s="81">
        <v>8</v>
      </c>
      <c r="D18" s="233"/>
      <c r="G18" s="233"/>
      <c r="J18" s="233"/>
      <c r="M18" s="233"/>
      <c r="P18" s="233"/>
      <c r="S18" s="233"/>
      <c r="V18" s="233"/>
    </row>
    <row r="19" spans="2:22" x14ac:dyDescent="0.2">
      <c r="B19" s="81">
        <v>11</v>
      </c>
      <c r="D19" s="246" t="s">
        <v>8</v>
      </c>
      <c r="E19" s="105">
        <v>0</v>
      </c>
      <c r="F19" s="104"/>
      <c r="G19" s="247">
        <v>0</v>
      </c>
      <c r="H19" s="105">
        <v>0</v>
      </c>
      <c r="I19" s="104"/>
      <c r="J19" s="247">
        <v>0</v>
      </c>
      <c r="K19" s="105">
        <v>0</v>
      </c>
      <c r="L19" s="104"/>
      <c r="M19" s="247">
        <v>0</v>
      </c>
      <c r="N19" s="105">
        <v>0</v>
      </c>
      <c r="O19" s="104"/>
      <c r="P19" s="247">
        <v>0</v>
      </c>
      <c r="Q19" s="105">
        <v>0</v>
      </c>
      <c r="R19" s="104"/>
      <c r="S19" s="247">
        <v>0</v>
      </c>
      <c r="T19" s="105">
        <v>0</v>
      </c>
      <c r="U19" s="104"/>
      <c r="V19" s="247">
        <v>0</v>
      </c>
    </row>
    <row r="20" spans="2:22" x14ac:dyDescent="0.2">
      <c r="B20" s="81">
        <v>12</v>
      </c>
      <c r="D20" s="234"/>
      <c r="E20" s="211"/>
      <c r="F20" s="245"/>
      <c r="G20" s="236"/>
      <c r="H20" s="141"/>
      <c r="I20" s="245"/>
      <c r="J20" s="241"/>
      <c r="K20" s="237"/>
      <c r="L20" s="248"/>
      <c r="M20" s="242"/>
      <c r="N20" s="141"/>
      <c r="O20" s="245"/>
      <c r="P20" s="244"/>
      <c r="Q20" s="141"/>
      <c r="R20" s="245"/>
      <c r="S20" s="244"/>
      <c r="T20" s="211"/>
      <c r="U20" s="245"/>
      <c r="V20" s="236"/>
    </row>
    <row r="21" spans="2:22" x14ac:dyDescent="0.2">
      <c r="B21" s="81">
        <v>13</v>
      </c>
      <c r="D21" s="235"/>
      <c r="E21" s="133"/>
      <c r="F21" s="89"/>
      <c r="G21" s="232"/>
      <c r="H21" s="133"/>
      <c r="I21" s="89"/>
      <c r="J21" s="232"/>
      <c r="K21" s="238"/>
      <c r="L21" s="205"/>
      <c r="M21" s="243"/>
      <c r="N21" s="133"/>
      <c r="O21" s="89"/>
      <c r="P21" s="232"/>
      <c r="Q21" s="133"/>
      <c r="R21" s="89"/>
      <c r="S21" s="232"/>
      <c r="T21" s="133"/>
      <c r="U21" s="89"/>
      <c r="V21" s="232"/>
    </row>
    <row r="22" spans="2:22" x14ac:dyDescent="0.2">
      <c r="B22" s="81">
        <v>14</v>
      </c>
      <c r="D22" s="233"/>
      <c r="G22" s="233"/>
      <c r="J22" s="233"/>
      <c r="M22" s="233"/>
      <c r="P22" s="233"/>
      <c r="S22" s="233"/>
      <c r="V22" s="233"/>
    </row>
    <row r="23" spans="2:22" x14ac:dyDescent="0.2">
      <c r="B23" s="81">
        <v>15</v>
      </c>
      <c r="D23" s="246" t="s">
        <v>9</v>
      </c>
      <c r="E23" s="105">
        <v>0</v>
      </c>
      <c r="F23" s="104"/>
      <c r="G23" s="247">
        <v>0</v>
      </c>
      <c r="H23" s="105">
        <v>0</v>
      </c>
      <c r="I23" s="104"/>
      <c r="J23" s="247">
        <v>0</v>
      </c>
      <c r="K23" s="105">
        <v>0</v>
      </c>
      <c r="L23" s="104"/>
      <c r="M23" s="247">
        <v>0</v>
      </c>
      <c r="N23" s="105">
        <v>0</v>
      </c>
      <c r="O23" s="104"/>
      <c r="P23" s="247">
        <v>0</v>
      </c>
      <c r="Q23" s="105">
        <v>0</v>
      </c>
      <c r="R23" s="104"/>
      <c r="S23" s="247">
        <v>0</v>
      </c>
      <c r="T23" s="105">
        <v>0</v>
      </c>
      <c r="U23" s="104"/>
      <c r="V23" s="247">
        <v>0</v>
      </c>
    </row>
    <row r="24" spans="2:22" x14ac:dyDescent="0.2">
      <c r="B24" s="81">
        <v>16</v>
      </c>
      <c r="D24" s="234"/>
      <c r="E24" s="211"/>
      <c r="F24" s="245"/>
      <c r="G24" s="236"/>
      <c r="H24" s="141"/>
      <c r="I24" s="245"/>
      <c r="J24" s="241"/>
      <c r="K24" s="237"/>
      <c r="L24" s="248"/>
      <c r="M24" s="242"/>
      <c r="N24" s="141"/>
      <c r="O24" s="245"/>
      <c r="P24" s="244"/>
      <c r="Q24" s="141"/>
      <c r="R24" s="245"/>
      <c r="S24" s="244"/>
      <c r="T24" s="211"/>
      <c r="U24" s="245"/>
      <c r="V24" s="236"/>
    </row>
    <row r="25" spans="2:22" x14ac:dyDescent="0.2">
      <c r="B25" s="81">
        <v>17</v>
      </c>
      <c r="D25" s="226"/>
      <c r="E25" s="227"/>
      <c r="F25" s="228"/>
      <c r="G25" s="229"/>
      <c r="H25" s="230"/>
      <c r="I25" s="228"/>
      <c r="J25" s="229"/>
      <c r="K25" s="249"/>
      <c r="L25" s="250"/>
      <c r="M25" s="229"/>
      <c r="N25" s="227"/>
      <c r="O25" s="228"/>
      <c r="P25" s="229"/>
      <c r="Q25" s="227"/>
      <c r="R25" s="228"/>
      <c r="S25" s="229"/>
      <c r="T25" s="227"/>
      <c r="U25" s="228"/>
      <c r="V25" s="229"/>
    </row>
    <row r="26" spans="2:22" x14ac:dyDescent="0.2">
      <c r="B26" s="81">
        <v>18</v>
      </c>
      <c r="D26" s="251"/>
      <c r="E26" s="133"/>
      <c r="F26" s="89"/>
      <c r="G26" s="232"/>
      <c r="H26" s="133"/>
      <c r="I26" s="89"/>
      <c r="J26" s="133"/>
      <c r="K26" s="252"/>
      <c r="L26" s="205"/>
      <c r="M26" s="133"/>
      <c r="N26" s="231"/>
      <c r="O26" s="89"/>
      <c r="P26" s="232"/>
      <c r="Q26" s="133"/>
      <c r="R26" s="89"/>
      <c r="S26" s="232"/>
      <c r="T26" s="133"/>
      <c r="U26" s="89"/>
      <c r="V26" s="232"/>
    </row>
    <row r="27" spans="2:22" x14ac:dyDescent="0.2">
      <c r="B27" s="81">
        <v>19</v>
      </c>
      <c r="D27" s="122"/>
      <c r="E27" s="118"/>
      <c r="F27" s="89"/>
      <c r="G27" s="88"/>
      <c r="H27" s="133"/>
      <c r="I27" s="89"/>
      <c r="J27" s="88"/>
      <c r="K27" s="204"/>
      <c r="L27" s="205"/>
      <c r="M27" s="88"/>
      <c r="N27" s="118"/>
      <c r="O27" s="89"/>
      <c r="P27" s="88"/>
      <c r="Q27" s="118"/>
      <c r="R27" s="89"/>
      <c r="S27" s="88"/>
      <c r="T27" s="133"/>
      <c r="U27" s="89"/>
      <c r="V27" s="88"/>
    </row>
    <row r="28" spans="2:22" x14ac:dyDescent="0.2">
      <c r="B28" s="81">
        <v>20</v>
      </c>
      <c r="D28" s="121"/>
      <c r="E28" s="118"/>
      <c r="F28" s="117"/>
      <c r="G28" s="88"/>
      <c r="H28" s="90"/>
      <c r="I28" s="89"/>
      <c r="J28" s="88"/>
      <c r="K28" s="120"/>
      <c r="L28" s="89"/>
      <c r="M28" s="119"/>
      <c r="N28" s="91"/>
      <c r="O28" s="89"/>
      <c r="P28" s="88"/>
      <c r="Q28" s="91"/>
      <c r="R28" s="89"/>
      <c r="S28" s="88"/>
      <c r="T28" s="133"/>
      <c r="U28" s="117"/>
      <c r="V28" s="88"/>
    </row>
    <row r="29" spans="2:22" x14ac:dyDescent="0.2">
      <c r="B29" s="81">
        <v>21</v>
      </c>
      <c r="C29" s="116" t="s">
        <v>153</v>
      </c>
      <c r="E29" s="195"/>
      <c r="F29" s="112"/>
      <c r="G29" s="111"/>
      <c r="H29" s="114"/>
      <c r="I29" s="112"/>
      <c r="J29" s="111"/>
      <c r="K29" s="115"/>
      <c r="L29" s="112"/>
      <c r="M29" s="111"/>
      <c r="N29" s="114"/>
      <c r="O29" s="112"/>
      <c r="P29" s="111"/>
      <c r="Q29" s="114"/>
      <c r="R29" s="112"/>
      <c r="S29" s="111"/>
      <c r="T29" s="113"/>
      <c r="U29" s="112"/>
      <c r="V29" s="111"/>
    </row>
    <row r="30" spans="2:22" x14ac:dyDescent="0.2">
      <c r="B30" s="81">
        <v>22</v>
      </c>
      <c r="D30" s="110" t="s">
        <v>152</v>
      </c>
      <c r="E30" s="196">
        <v>6</v>
      </c>
      <c r="F30" s="104"/>
      <c r="G30" s="106" t="s">
        <v>129</v>
      </c>
      <c r="H30" s="105">
        <v>0</v>
      </c>
      <c r="I30" s="104"/>
      <c r="J30" s="103">
        <v>0</v>
      </c>
      <c r="K30" s="105">
        <v>0</v>
      </c>
      <c r="L30" s="104"/>
      <c r="M30" s="103">
        <v>0</v>
      </c>
      <c r="N30" s="105">
        <v>0</v>
      </c>
      <c r="O30" s="104"/>
      <c r="P30" s="103">
        <v>0</v>
      </c>
      <c r="Q30" s="105">
        <v>0</v>
      </c>
      <c r="R30" s="104"/>
      <c r="S30" s="103">
        <v>0</v>
      </c>
      <c r="T30" s="105">
        <v>0</v>
      </c>
      <c r="U30" s="104"/>
      <c r="V30" s="103">
        <v>0</v>
      </c>
    </row>
    <row r="31" spans="2:22" x14ac:dyDescent="0.2">
      <c r="B31" s="81">
        <v>23</v>
      </c>
      <c r="D31" s="102" t="s">
        <v>138</v>
      </c>
      <c r="E31" s="197">
        <v>3.8</v>
      </c>
      <c r="F31" s="95"/>
      <c r="G31" s="97" t="s">
        <v>175</v>
      </c>
      <c r="H31" s="96">
        <v>0</v>
      </c>
      <c r="I31" s="95"/>
      <c r="J31" s="94">
        <v>0</v>
      </c>
      <c r="K31" s="96">
        <v>0</v>
      </c>
      <c r="L31" s="95"/>
      <c r="M31" s="94">
        <v>0</v>
      </c>
      <c r="N31" s="96">
        <v>0</v>
      </c>
      <c r="O31" s="95"/>
      <c r="P31" s="94">
        <v>0</v>
      </c>
      <c r="Q31" s="96">
        <v>0</v>
      </c>
      <c r="R31" s="95"/>
      <c r="S31" s="94">
        <v>0</v>
      </c>
      <c r="T31" s="96">
        <v>0</v>
      </c>
      <c r="U31" s="95"/>
      <c r="V31" s="94">
        <v>0</v>
      </c>
    </row>
    <row r="32" spans="2:22" x14ac:dyDescent="0.2">
      <c r="B32" s="81">
        <v>24</v>
      </c>
      <c r="D32" s="81" t="s">
        <v>125</v>
      </c>
      <c r="E32" s="198">
        <v>2</v>
      </c>
      <c r="F32" s="89"/>
      <c r="G32" s="92" t="s">
        <v>174</v>
      </c>
      <c r="H32" s="90">
        <v>0</v>
      </c>
      <c r="I32" s="89"/>
      <c r="J32" s="88">
        <v>0</v>
      </c>
      <c r="K32" s="90">
        <v>0</v>
      </c>
      <c r="L32" s="89"/>
      <c r="M32" s="88">
        <v>0</v>
      </c>
      <c r="N32" s="90">
        <v>0</v>
      </c>
      <c r="O32" s="89"/>
      <c r="P32" s="88">
        <v>0</v>
      </c>
      <c r="Q32" s="90">
        <v>0</v>
      </c>
      <c r="R32" s="89"/>
      <c r="S32" s="88">
        <v>0</v>
      </c>
      <c r="T32" s="90">
        <v>0</v>
      </c>
      <c r="U32" s="89"/>
      <c r="V32" s="88">
        <v>0</v>
      </c>
    </row>
    <row r="33" spans="2:22" ht="16" customHeight="1" x14ac:dyDescent="0.2">
      <c r="B33" s="81">
        <v>25</v>
      </c>
      <c r="E33" s="85"/>
      <c r="F33" s="84"/>
      <c r="G33" s="83"/>
      <c r="J33" s="83"/>
      <c r="K33" s="87"/>
      <c r="N33" s="86"/>
      <c r="O33" s="84"/>
      <c r="P33" s="83"/>
      <c r="Q33" s="86"/>
      <c r="R33" s="84"/>
      <c r="S33" s="83"/>
      <c r="T33" s="85"/>
      <c r="U33" s="84"/>
      <c r="V33" s="83"/>
    </row>
    <row r="34" spans="2:22" x14ac:dyDescent="0.2">
      <c r="B34" s="81">
        <v>26</v>
      </c>
    </row>
    <row r="35" spans="2:22" x14ac:dyDescent="0.2">
      <c r="B35" s="81">
        <v>27</v>
      </c>
      <c r="C35" s="82" t="s">
        <v>87</v>
      </c>
    </row>
    <row r="36" spans="2:22" x14ac:dyDescent="0.2">
      <c r="B36" s="81">
        <v>28</v>
      </c>
      <c r="D36" s="80" t="s">
        <v>150</v>
      </c>
    </row>
    <row r="37" spans="2:22" x14ac:dyDescent="0.2">
      <c r="B37" s="81">
        <v>29</v>
      </c>
      <c r="D37" s="386" t="s">
        <v>157</v>
      </c>
      <c r="E37" s="386"/>
      <c r="F37" s="386"/>
      <c r="G37" s="386"/>
      <c r="H37" s="386"/>
      <c r="I37" s="386"/>
      <c r="J37" s="386"/>
      <c r="K37" s="386"/>
      <c r="L37" s="386"/>
      <c r="M37" s="386"/>
      <c r="N37" s="386"/>
      <c r="O37" s="386"/>
      <c r="P37" s="386"/>
      <c r="Q37" s="386"/>
      <c r="R37" s="386"/>
      <c r="S37" s="386"/>
    </row>
    <row r="38" spans="2:22" x14ac:dyDescent="0.2">
      <c r="B38" s="81">
        <v>30</v>
      </c>
      <c r="D38" s="386"/>
      <c r="E38" s="386"/>
      <c r="F38" s="386"/>
      <c r="G38" s="386"/>
      <c r="H38" s="386"/>
      <c r="I38" s="386"/>
      <c r="J38" s="386"/>
      <c r="K38" s="386"/>
      <c r="L38" s="386"/>
      <c r="M38" s="386"/>
      <c r="N38" s="386"/>
      <c r="O38" s="386"/>
      <c r="P38" s="386"/>
      <c r="Q38" s="386"/>
      <c r="R38" s="386"/>
      <c r="S38" s="386"/>
    </row>
    <row r="40" spans="2:22" x14ac:dyDescent="0.2">
      <c r="R40" s="82"/>
      <c r="S40" s="82"/>
    </row>
  </sheetData>
  <mergeCells count="15">
    <mergeCell ref="C7:S7"/>
    <mergeCell ref="C11:D11"/>
    <mergeCell ref="E11:G11"/>
    <mergeCell ref="H11:J11"/>
    <mergeCell ref="K11:M11"/>
    <mergeCell ref="Q11:S11"/>
    <mergeCell ref="N11:P11"/>
    <mergeCell ref="T11:V11"/>
    <mergeCell ref="T12:V12"/>
    <mergeCell ref="D37:S38"/>
    <mergeCell ref="E12:G12"/>
    <mergeCell ref="H12:J12"/>
    <mergeCell ref="K12:M12"/>
    <mergeCell ref="Q12:S12"/>
    <mergeCell ref="N12:P12"/>
  </mergeCells>
  <pageMargins left="0.25" right="0.25" top="0.75" bottom="0.75" header="0.3" footer="0.3"/>
  <pageSetup scale="8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D7A0F-4542-6E4D-8BCA-A064AFC22929}">
  <sheetPr>
    <pageSetUpPr fitToPage="1"/>
  </sheetPr>
  <dimension ref="B2:AC42"/>
  <sheetViews>
    <sheetView zoomScaleNormal="100" workbookViewId="0">
      <selection activeCell="B2" sqref="B2:AB40"/>
    </sheetView>
  </sheetViews>
  <sheetFormatPr baseColWidth="10" defaultColWidth="10.6640625" defaultRowHeight="16" x14ac:dyDescent="0.2"/>
  <cols>
    <col min="1" max="1" width="10.6640625" style="80"/>
    <col min="2" max="2" width="5.6640625" style="81" customWidth="1"/>
    <col min="3" max="3" width="5.5" style="81" customWidth="1"/>
    <col min="4" max="4" width="23.1640625" style="80" customWidth="1"/>
    <col min="5" max="5" width="8.83203125" style="80" customWidth="1"/>
    <col min="6" max="6" width="2" style="80" customWidth="1"/>
    <col min="7" max="8" width="8.83203125" style="80" customWidth="1"/>
    <col min="9" max="9" width="2" style="80" bestFit="1" customWidth="1"/>
    <col min="10" max="11" width="8.83203125" style="80" customWidth="1"/>
    <col min="12" max="12" width="2" style="80" bestFit="1" customWidth="1"/>
    <col min="13" max="14" width="8.83203125" style="80" customWidth="1"/>
    <col min="15" max="15" width="2" style="80" bestFit="1" customWidth="1"/>
    <col min="16" max="17" width="8.83203125" style="80" customWidth="1"/>
    <col min="18" max="18" width="2" style="80" bestFit="1" customWidth="1"/>
    <col min="19" max="20" width="8.83203125" style="80" customWidth="1"/>
    <col min="21" max="21" width="2" style="80" bestFit="1" customWidth="1"/>
    <col min="22" max="23" width="8.83203125" style="80" customWidth="1"/>
    <col min="24" max="24" width="2" style="80" bestFit="1" customWidth="1"/>
    <col min="25" max="26" width="8.83203125" style="80" customWidth="1"/>
    <col min="27" max="27" width="2" style="80" bestFit="1" customWidth="1"/>
    <col min="28" max="28" width="8.83203125" style="80" customWidth="1"/>
    <col min="29" max="29" width="5.5" style="80" customWidth="1"/>
    <col min="30" max="16384" width="10.6640625" style="80"/>
  </cols>
  <sheetData>
    <row r="2" spans="2:29" x14ac:dyDescent="0.2">
      <c r="C2" s="150" t="s">
        <v>0</v>
      </c>
    </row>
    <row r="3" spans="2:29" x14ac:dyDescent="0.2">
      <c r="C3" s="80" t="s">
        <v>1</v>
      </c>
    </row>
    <row r="4" spans="2:29" x14ac:dyDescent="0.2">
      <c r="C4" s="80" t="s">
        <v>2</v>
      </c>
    </row>
    <row r="5" spans="2:29" x14ac:dyDescent="0.2">
      <c r="C5" s="160" t="s">
        <v>238</v>
      </c>
    </row>
    <row r="6" spans="2:29" x14ac:dyDescent="0.2">
      <c r="C6" s="80" t="s">
        <v>177</v>
      </c>
    </row>
    <row r="7" spans="2:29" ht="34.25" customHeight="1" x14ac:dyDescent="0.2">
      <c r="C7" s="391" t="s">
        <v>151</v>
      </c>
      <c r="D7" s="391"/>
      <c r="E7" s="391"/>
      <c r="F7" s="391"/>
      <c r="G7" s="391"/>
      <c r="H7" s="391"/>
      <c r="I7" s="391"/>
      <c r="J7" s="391"/>
      <c r="K7" s="391"/>
      <c r="L7" s="391"/>
      <c r="M7" s="391"/>
      <c r="N7" s="391"/>
      <c r="O7" s="391"/>
      <c r="P7" s="391"/>
      <c r="Q7" s="391"/>
      <c r="R7" s="391"/>
      <c r="S7" s="391"/>
      <c r="T7" s="391"/>
      <c r="U7" s="391"/>
      <c r="V7" s="391"/>
      <c r="W7" s="391"/>
      <c r="X7" s="391"/>
      <c r="Y7" s="391"/>
      <c r="Z7" s="391"/>
      <c r="AA7" s="391"/>
      <c r="AB7" s="391"/>
    </row>
    <row r="9" spans="2:29" x14ac:dyDescent="0.2">
      <c r="C9" s="159" t="s">
        <v>203</v>
      </c>
      <c r="D9" s="159"/>
      <c r="E9" s="159"/>
      <c r="F9" s="159"/>
      <c r="G9" s="159"/>
      <c r="H9" s="158"/>
      <c r="I9" s="158"/>
      <c r="J9" s="158"/>
      <c r="K9" s="158"/>
      <c r="L9" s="158"/>
      <c r="M9" s="158"/>
      <c r="N9" s="158"/>
      <c r="O9" s="158"/>
      <c r="P9" s="158"/>
      <c r="Q9" s="158"/>
      <c r="R9" s="158"/>
      <c r="S9" s="158"/>
      <c r="T9" s="158"/>
      <c r="U9" s="158"/>
      <c r="V9" s="158"/>
      <c r="W9" s="158"/>
      <c r="X9" s="158"/>
      <c r="Y9" s="158"/>
      <c r="Z9" s="158"/>
      <c r="AA9" s="158"/>
      <c r="AB9" s="158"/>
      <c r="AC9" s="157"/>
    </row>
    <row r="11" spans="2:29" ht="30" customHeight="1" x14ac:dyDescent="0.2">
      <c r="B11" s="81">
        <v>1</v>
      </c>
      <c r="C11" s="392" t="s">
        <v>66</v>
      </c>
      <c r="D11" s="392"/>
      <c r="E11" s="393" t="s">
        <v>176</v>
      </c>
      <c r="F11" s="394"/>
      <c r="G11" s="395"/>
      <c r="H11" s="396" t="s">
        <v>130</v>
      </c>
      <c r="I11" s="396"/>
      <c r="J11" s="382"/>
      <c r="K11" s="381" t="s">
        <v>130</v>
      </c>
      <c r="L11" s="396"/>
      <c r="M11" s="382"/>
      <c r="N11" s="381" t="s">
        <v>130</v>
      </c>
      <c r="O11" s="396"/>
      <c r="P11" s="382"/>
      <c r="Q11" s="381" t="s">
        <v>130</v>
      </c>
      <c r="R11" s="396"/>
      <c r="S11" s="382"/>
      <c r="T11" s="381" t="s">
        <v>130</v>
      </c>
      <c r="U11" s="396"/>
      <c r="V11" s="382"/>
      <c r="W11" s="381" t="s">
        <v>130</v>
      </c>
      <c r="X11" s="396"/>
      <c r="Y11" s="382"/>
      <c r="Z11" s="397" t="s">
        <v>134</v>
      </c>
      <c r="AA11" s="398"/>
      <c r="AB11" s="399"/>
    </row>
    <row r="12" spans="2:29" x14ac:dyDescent="0.2">
      <c r="B12" s="81">
        <v>2</v>
      </c>
      <c r="E12" s="387"/>
      <c r="F12" s="388"/>
      <c r="G12" s="389"/>
      <c r="H12" s="390" t="s">
        <v>122</v>
      </c>
      <c r="I12" s="390"/>
      <c r="J12" s="385"/>
      <c r="K12" s="383" t="s">
        <v>135</v>
      </c>
      <c r="L12" s="390"/>
      <c r="M12" s="385"/>
      <c r="N12" s="383" t="s">
        <v>123</v>
      </c>
      <c r="O12" s="390"/>
      <c r="P12" s="385"/>
      <c r="Q12" s="383" t="s">
        <v>131</v>
      </c>
      <c r="R12" s="390"/>
      <c r="S12" s="385"/>
      <c r="T12" s="383" t="s">
        <v>132</v>
      </c>
      <c r="U12" s="390"/>
      <c r="V12" s="385"/>
      <c r="W12" s="383" t="s">
        <v>133</v>
      </c>
      <c r="X12" s="390"/>
      <c r="Y12" s="385"/>
      <c r="Z12" s="400" t="s">
        <v>101</v>
      </c>
      <c r="AA12" s="401"/>
      <c r="AB12" s="402"/>
    </row>
    <row r="13" spans="2:29" x14ac:dyDescent="0.2">
      <c r="B13" s="81">
        <v>3</v>
      </c>
      <c r="C13" s="150" t="s">
        <v>155</v>
      </c>
      <c r="E13" s="87"/>
      <c r="F13" s="193"/>
      <c r="G13" s="83"/>
      <c r="H13" s="113"/>
      <c r="I13" s="113"/>
      <c r="J13" s="111"/>
      <c r="K13" s="113"/>
      <c r="L13" s="113"/>
      <c r="M13" s="111"/>
      <c r="N13" s="113"/>
      <c r="O13" s="113"/>
      <c r="P13" s="111"/>
      <c r="Q13" s="113"/>
      <c r="R13" s="113"/>
      <c r="S13" s="111"/>
      <c r="T13" s="164"/>
      <c r="U13" s="164"/>
      <c r="V13" s="165"/>
      <c r="W13" s="113"/>
      <c r="X13" s="113"/>
      <c r="Y13" s="111"/>
      <c r="Z13" s="113"/>
      <c r="AA13" s="113"/>
      <c r="AB13" s="111"/>
    </row>
    <row r="14" spans="2:29" x14ac:dyDescent="0.2">
      <c r="B14" s="81">
        <v>4</v>
      </c>
      <c r="D14" s="132" t="s">
        <v>7</v>
      </c>
      <c r="E14" s="131">
        <v>0</v>
      </c>
      <c r="F14" s="130"/>
      <c r="G14" s="129">
        <v>0</v>
      </c>
      <c r="H14" s="149">
        <v>30.1935</v>
      </c>
      <c r="I14" s="130"/>
      <c r="J14" s="156">
        <v>325</v>
      </c>
      <c r="K14" s="131">
        <v>0</v>
      </c>
      <c r="L14" s="130"/>
      <c r="M14" s="129">
        <v>0</v>
      </c>
      <c r="N14" s="131">
        <v>0</v>
      </c>
      <c r="O14" s="130"/>
      <c r="P14" s="129">
        <v>0</v>
      </c>
      <c r="Q14" s="131">
        <v>0</v>
      </c>
      <c r="R14" s="130"/>
      <c r="S14" s="129">
        <v>0</v>
      </c>
      <c r="T14" s="166">
        <v>0</v>
      </c>
      <c r="U14" s="167"/>
      <c r="V14" s="148">
        <v>0</v>
      </c>
      <c r="W14" s="131">
        <v>0</v>
      </c>
      <c r="X14" s="130"/>
      <c r="Y14" s="129">
        <v>0</v>
      </c>
      <c r="Z14" s="131">
        <v>0</v>
      </c>
      <c r="AA14" s="130"/>
      <c r="AB14" s="129">
        <v>0</v>
      </c>
    </row>
    <row r="15" spans="2:29" x14ac:dyDescent="0.2">
      <c r="B15" s="81">
        <v>5</v>
      </c>
      <c r="D15" s="147" t="s">
        <v>8</v>
      </c>
      <c r="E15" s="144">
        <v>0</v>
      </c>
      <c r="F15" s="130"/>
      <c r="G15" s="143">
        <v>0</v>
      </c>
      <c r="H15" s="146">
        <v>43.198999999999998</v>
      </c>
      <c r="I15" s="130"/>
      <c r="J15" s="155">
        <v>465</v>
      </c>
      <c r="K15" s="144">
        <v>0</v>
      </c>
      <c r="L15" s="130"/>
      <c r="M15" s="143">
        <v>0</v>
      </c>
      <c r="N15" s="144">
        <v>0</v>
      </c>
      <c r="O15" s="130"/>
      <c r="P15" s="143">
        <v>0</v>
      </c>
      <c r="Q15" s="144">
        <v>0</v>
      </c>
      <c r="R15" s="130"/>
      <c r="S15" s="143">
        <v>0</v>
      </c>
      <c r="T15" s="168">
        <v>0</v>
      </c>
      <c r="U15" s="167"/>
      <c r="V15" s="145">
        <v>0</v>
      </c>
      <c r="W15" s="144">
        <v>0</v>
      </c>
      <c r="X15" s="130"/>
      <c r="Y15" s="143">
        <v>0</v>
      </c>
      <c r="Z15" s="144">
        <v>0</v>
      </c>
      <c r="AA15" s="130"/>
      <c r="AB15" s="143">
        <v>0</v>
      </c>
    </row>
    <row r="16" spans="2:29" x14ac:dyDescent="0.2">
      <c r="B16" s="81">
        <v>6</v>
      </c>
      <c r="D16" s="142" t="s">
        <v>9</v>
      </c>
      <c r="E16" s="137">
        <v>0</v>
      </c>
      <c r="F16" s="136"/>
      <c r="G16" s="135">
        <v>0</v>
      </c>
      <c r="H16" s="211">
        <v>63.638599999999997</v>
      </c>
      <c r="I16" s="136"/>
      <c r="J16" s="154">
        <v>685</v>
      </c>
      <c r="K16" s="137">
        <v>0</v>
      </c>
      <c r="L16" s="136"/>
      <c r="M16" s="135">
        <v>0</v>
      </c>
      <c r="N16" s="153">
        <v>0</v>
      </c>
      <c r="O16" s="136"/>
      <c r="P16" s="140">
        <v>0</v>
      </c>
      <c r="Q16" s="137">
        <v>0</v>
      </c>
      <c r="R16" s="136"/>
      <c r="S16" s="135">
        <v>0</v>
      </c>
      <c r="T16" s="169">
        <v>0</v>
      </c>
      <c r="U16" s="170"/>
      <c r="V16" s="139">
        <v>0</v>
      </c>
      <c r="W16" s="137">
        <v>0</v>
      </c>
      <c r="X16" s="136"/>
      <c r="Y16" s="135">
        <v>0</v>
      </c>
      <c r="Z16" s="137">
        <v>0</v>
      </c>
      <c r="AA16" s="136"/>
      <c r="AB16" s="135">
        <v>0</v>
      </c>
    </row>
    <row r="17" spans="2:28" x14ac:dyDescent="0.2">
      <c r="B17" s="81">
        <v>7</v>
      </c>
      <c r="D17" s="121" t="s">
        <v>89</v>
      </c>
      <c r="E17" s="118">
        <f>SUM(E14:E16)</f>
        <v>0</v>
      </c>
      <c r="F17" s="89"/>
      <c r="G17" s="88">
        <f>SUM(G14:G16)</f>
        <v>0</v>
      </c>
      <c r="H17" s="133">
        <f>SUM(H14:H16)</f>
        <v>137.03109999999998</v>
      </c>
      <c r="I17" s="89"/>
      <c r="J17" s="88">
        <f>SUM(J14:J16)</f>
        <v>1475</v>
      </c>
      <c r="K17" s="118">
        <f>SUM(K14:K16)</f>
        <v>0</v>
      </c>
      <c r="L17" s="89"/>
      <c r="M17" s="88">
        <f>SUM(M14:M16)</f>
        <v>0</v>
      </c>
      <c r="N17" s="118">
        <f>SUM(N14:N16)</f>
        <v>0</v>
      </c>
      <c r="O17" s="89"/>
      <c r="P17" s="88">
        <f>SUM(P14:P16)</f>
        <v>0</v>
      </c>
      <c r="Q17" s="118">
        <f>SUM(Q14:Q16)</f>
        <v>0</v>
      </c>
      <c r="R17" s="89"/>
      <c r="S17" s="88">
        <f>SUM(S14:S16)</f>
        <v>0</v>
      </c>
      <c r="T17" s="171">
        <f>SUM(T14:T16)</f>
        <v>0</v>
      </c>
      <c r="U17" s="151"/>
      <c r="V17" s="134">
        <f>SUM(V14:V16)</f>
        <v>0</v>
      </c>
      <c r="W17" s="118">
        <f>SUM(W14:W16)</f>
        <v>0</v>
      </c>
      <c r="X17" s="89"/>
      <c r="Y17" s="88">
        <f>SUM(Y14:Y16)</f>
        <v>0</v>
      </c>
      <c r="Z17" s="118">
        <f>SUM(Z14:Z16)</f>
        <v>0</v>
      </c>
      <c r="AA17" s="89"/>
      <c r="AB17" s="88">
        <f>SUM(AB14:AB16)</f>
        <v>0</v>
      </c>
    </row>
    <row r="18" spans="2:28" x14ac:dyDescent="0.2">
      <c r="B18" s="81">
        <v>8</v>
      </c>
      <c r="D18" s="152"/>
      <c r="E18" s="118"/>
      <c r="F18" s="117"/>
      <c r="G18" s="88"/>
      <c r="H18" s="133"/>
      <c r="I18" s="89"/>
      <c r="J18" s="88"/>
      <c r="K18" s="118"/>
      <c r="L18" s="151"/>
      <c r="M18" s="88"/>
      <c r="N18" s="118"/>
      <c r="O18" s="89"/>
      <c r="P18" s="88"/>
      <c r="Q18" s="118"/>
      <c r="R18" s="117"/>
      <c r="S18" s="88"/>
      <c r="T18" s="171"/>
      <c r="U18" s="172"/>
      <c r="V18" s="134"/>
      <c r="W18" s="118"/>
      <c r="X18" s="117"/>
      <c r="Y18" s="88"/>
      <c r="Z18" s="118"/>
      <c r="AA18" s="117"/>
      <c r="AB18" s="88"/>
    </row>
    <row r="19" spans="2:28" x14ac:dyDescent="0.2">
      <c r="B19" s="81">
        <v>9</v>
      </c>
      <c r="C19" s="150" t="s">
        <v>154</v>
      </c>
      <c r="E19" s="118"/>
      <c r="F19" s="117"/>
      <c r="G19" s="88"/>
      <c r="H19" s="133"/>
      <c r="I19" s="89"/>
      <c r="J19" s="88"/>
      <c r="K19" s="118"/>
      <c r="L19" s="89"/>
      <c r="M19" s="88"/>
      <c r="N19" s="118"/>
      <c r="O19" s="89"/>
      <c r="P19" s="88"/>
      <c r="Q19" s="118"/>
      <c r="R19" s="117"/>
      <c r="S19" s="88"/>
      <c r="T19" s="171"/>
      <c r="U19" s="172"/>
      <c r="V19" s="134"/>
      <c r="W19" s="118"/>
      <c r="X19" s="117"/>
      <c r="Y19" s="88"/>
      <c r="Z19" s="118"/>
      <c r="AA19" s="117"/>
      <c r="AB19" s="88"/>
    </row>
    <row r="20" spans="2:28" x14ac:dyDescent="0.2">
      <c r="B20" s="81">
        <v>10</v>
      </c>
      <c r="D20" s="132" t="s">
        <v>7</v>
      </c>
      <c r="E20" s="131">
        <v>130.06</v>
      </c>
      <c r="F20" s="130"/>
      <c r="G20" s="129">
        <v>1400</v>
      </c>
      <c r="H20" s="149">
        <v>0</v>
      </c>
      <c r="I20" s="130"/>
      <c r="J20" s="129">
        <v>0</v>
      </c>
      <c r="K20" s="199">
        <v>195.0035</v>
      </c>
      <c r="L20" s="200"/>
      <c r="M20" s="148">
        <v>2099</v>
      </c>
      <c r="N20" s="131">
        <v>105</v>
      </c>
      <c r="O20" s="130"/>
      <c r="P20" s="148">
        <v>1131</v>
      </c>
      <c r="Q20" s="131">
        <v>311.22000000000003</v>
      </c>
      <c r="R20" s="130"/>
      <c r="S20" s="129">
        <v>3349.9</v>
      </c>
      <c r="T20" s="166">
        <v>223</v>
      </c>
      <c r="U20" s="167"/>
      <c r="V20" s="148">
        <v>2401.5</v>
      </c>
      <c r="W20" s="131">
        <v>270</v>
      </c>
      <c r="X20" s="130"/>
      <c r="Y20" s="129">
        <v>2912</v>
      </c>
      <c r="Z20" s="131">
        <v>0</v>
      </c>
      <c r="AA20" s="130"/>
      <c r="AB20" s="129">
        <v>0</v>
      </c>
    </row>
    <row r="21" spans="2:28" x14ac:dyDescent="0.2">
      <c r="B21" s="81">
        <v>11</v>
      </c>
      <c r="D21" s="147" t="s">
        <v>8</v>
      </c>
      <c r="E21" s="144">
        <v>0</v>
      </c>
      <c r="F21" s="130"/>
      <c r="G21" s="143">
        <v>0</v>
      </c>
      <c r="H21" s="146">
        <v>0</v>
      </c>
      <c r="I21" s="130"/>
      <c r="J21" s="143">
        <v>0</v>
      </c>
      <c r="K21" s="201">
        <v>315.95999999999998</v>
      </c>
      <c r="L21" s="200"/>
      <c r="M21" s="145">
        <v>3401</v>
      </c>
      <c r="N21" s="144">
        <v>240</v>
      </c>
      <c r="O21" s="130"/>
      <c r="P21" s="145">
        <v>2583</v>
      </c>
      <c r="Q21" s="144">
        <v>399.66</v>
      </c>
      <c r="R21" s="130"/>
      <c r="S21" s="143">
        <v>4301.8999999999996</v>
      </c>
      <c r="T21" s="168">
        <v>331</v>
      </c>
      <c r="U21" s="167"/>
      <c r="V21" s="145">
        <v>3567.7</v>
      </c>
      <c r="W21" s="144">
        <v>577</v>
      </c>
      <c r="X21" s="130"/>
      <c r="Y21" s="143">
        <v>6215</v>
      </c>
      <c r="Z21" s="144">
        <v>0</v>
      </c>
      <c r="AA21" s="130"/>
      <c r="AB21" s="143">
        <v>0</v>
      </c>
    </row>
    <row r="22" spans="2:28" x14ac:dyDescent="0.2">
      <c r="B22" s="81">
        <v>12</v>
      </c>
      <c r="D22" s="142" t="s">
        <v>9</v>
      </c>
      <c r="E22" s="137">
        <v>0</v>
      </c>
      <c r="F22" s="136"/>
      <c r="G22" s="135">
        <v>0</v>
      </c>
      <c r="H22" s="141">
        <v>0</v>
      </c>
      <c r="I22" s="136"/>
      <c r="J22" s="140">
        <v>0</v>
      </c>
      <c r="K22" s="202">
        <v>400.69</v>
      </c>
      <c r="L22" s="203"/>
      <c r="M22" s="139">
        <v>4313</v>
      </c>
      <c r="N22" s="153">
        <v>378</v>
      </c>
      <c r="O22" s="136"/>
      <c r="P22" s="138">
        <v>4070</v>
      </c>
      <c r="Q22" s="137">
        <v>669</v>
      </c>
      <c r="R22" s="136"/>
      <c r="S22" s="135">
        <v>7523.97</v>
      </c>
      <c r="T22" s="169">
        <v>486</v>
      </c>
      <c r="U22" s="170"/>
      <c r="V22" s="139">
        <v>5231.3999999999996</v>
      </c>
      <c r="W22" s="137">
        <v>822</v>
      </c>
      <c r="X22" s="136"/>
      <c r="Y22" s="135">
        <v>8850</v>
      </c>
      <c r="Z22" s="137">
        <v>0</v>
      </c>
      <c r="AA22" s="136"/>
      <c r="AB22" s="135">
        <v>0</v>
      </c>
    </row>
    <row r="23" spans="2:28" x14ac:dyDescent="0.2">
      <c r="B23" s="81">
        <v>13</v>
      </c>
      <c r="D23" s="121" t="s">
        <v>89</v>
      </c>
      <c r="E23" s="118">
        <f>SUM(E20:E22)</f>
        <v>130.06</v>
      </c>
      <c r="F23" s="89"/>
      <c r="G23" s="88">
        <f>SUM(G20:G22)</f>
        <v>1400</v>
      </c>
      <c r="H23" s="133">
        <v>0</v>
      </c>
      <c r="I23" s="89"/>
      <c r="J23" s="88">
        <v>0</v>
      </c>
      <c r="K23" s="204">
        <f>SUM(K20:K22)</f>
        <v>911.65349999999989</v>
      </c>
      <c r="L23" s="205"/>
      <c r="M23" s="134">
        <f>SUM(M20:M22)</f>
        <v>9813</v>
      </c>
      <c r="N23" s="118">
        <f>SUM(N20:N22)</f>
        <v>723</v>
      </c>
      <c r="O23" s="89"/>
      <c r="P23" s="88">
        <f>SUM(P20:P22)</f>
        <v>7784</v>
      </c>
      <c r="Q23" s="118">
        <f>SUM(Q20:Q22)</f>
        <v>1379.88</v>
      </c>
      <c r="R23" s="89"/>
      <c r="S23" s="88">
        <f>SUM(S20:S22)</f>
        <v>15175.77</v>
      </c>
      <c r="T23" s="171">
        <f>SUM(T20:T22)</f>
        <v>1040</v>
      </c>
      <c r="U23" s="151"/>
      <c r="V23" s="134">
        <f>SUM(V20:V22)</f>
        <v>11200.599999999999</v>
      </c>
      <c r="W23" s="118">
        <f>SUM(W20:W22)</f>
        <v>1669</v>
      </c>
      <c r="X23" s="89"/>
      <c r="Y23" s="88">
        <f>SUM(Y20:Y22)</f>
        <v>17977</v>
      </c>
      <c r="Z23" s="118">
        <f>SUM(Z20:Z22)</f>
        <v>0</v>
      </c>
      <c r="AA23" s="89"/>
      <c r="AB23" s="88">
        <f>SUM(AB20:AB22)</f>
        <v>0</v>
      </c>
    </row>
    <row r="24" spans="2:28" x14ac:dyDescent="0.2">
      <c r="B24" s="81">
        <v>14</v>
      </c>
      <c r="D24" s="121"/>
      <c r="E24" s="118"/>
      <c r="F24" s="117"/>
      <c r="G24" s="88"/>
      <c r="H24" s="133"/>
      <c r="I24" s="89"/>
      <c r="J24" s="88"/>
      <c r="K24" s="206"/>
      <c r="L24" s="205"/>
      <c r="M24" s="134"/>
      <c r="N24" s="118"/>
      <c r="O24" s="89"/>
      <c r="P24" s="88"/>
      <c r="Q24" s="118"/>
      <c r="R24" s="117"/>
      <c r="S24" s="88"/>
      <c r="T24" s="171"/>
      <c r="U24" s="172"/>
      <c r="V24" s="134"/>
      <c r="W24" s="118"/>
      <c r="X24" s="117"/>
      <c r="Y24" s="88"/>
      <c r="Z24" s="118"/>
      <c r="AA24" s="117"/>
      <c r="AB24" s="88"/>
    </row>
    <row r="25" spans="2:28" x14ac:dyDescent="0.2">
      <c r="B25" s="81">
        <v>15</v>
      </c>
      <c r="D25" s="122" t="s">
        <v>149</v>
      </c>
      <c r="E25" s="118"/>
      <c r="F25" s="117"/>
      <c r="G25" s="88"/>
      <c r="H25" s="133"/>
      <c r="I25" s="89"/>
      <c r="J25" s="88"/>
      <c r="K25" s="206"/>
      <c r="L25" s="205"/>
      <c r="M25" s="83"/>
      <c r="N25" s="118"/>
      <c r="O25" s="89"/>
      <c r="P25" s="88"/>
      <c r="Q25" s="118"/>
      <c r="R25" s="117"/>
      <c r="S25" s="88"/>
      <c r="T25" s="171"/>
      <c r="U25" s="172"/>
      <c r="V25" s="134"/>
      <c r="W25" s="118"/>
      <c r="X25" s="117"/>
      <c r="Y25" s="88"/>
      <c r="Z25" s="118"/>
      <c r="AA25" s="117"/>
      <c r="AB25" s="88"/>
    </row>
    <row r="26" spans="2:28" x14ac:dyDescent="0.2">
      <c r="B26" s="81">
        <v>16</v>
      </c>
      <c r="D26" s="132" t="s">
        <v>99</v>
      </c>
      <c r="E26" s="131">
        <f>E20+E20</f>
        <v>260.12</v>
      </c>
      <c r="F26" s="130"/>
      <c r="G26" s="129">
        <f>G20+G20</f>
        <v>2800</v>
      </c>
      <c r="H26" s="149">
        <f>H14+H14</f>
        <v>60.387</v>
      </c>
      <c r="I26" s="130"/>
      <c r="J26" s="129">
        <f>J14+J14</f>
        <v>650</v>
      </c>
      <c r="K26" s="199">
        <v>390.00700000000001</v>
      </c>
      <c r="L26" s="200"/>
      <c r="M26" s="129">
        <f>M20+M20</f>
        <v>4198</v>
      </c>
      <c r="N26" s="131">
        <f>N20+N20</f>
        <v>210</v>
      </c>
      <c r="O26" s="130"/>
      <c r="P26" s="129">
        <f>P20+P20</f>
        <v>2262</v>
      </c>
      <c r="Q26" s="131">
        <f>Q20+Q20</f>
        <v>622.44000000000005</v>
      </c>
      <c r="R26" s="130"/>
      <c r="S26" s="129">
        <f>S20+S20</f>
        <v>6699.8</v>
      </c>
      <c r="T26" s="166">
        <f>T20+T20</f>
        <v>446</v>
      </c>
      <c r="U26" s="167"/>
      <c r="V26" s="148">
        <f>V20+V200</f>
        <v>2401.5</v>
      </c>
      <c r="W26" s="131">
        <f>W20+W20</f>
        <v>540</v>
      </c>
      <c r="X26" s="130"/>
      <c r="Y26" s="129">
        <f>Y20+Y20</f>
        <v>5824</v>
      </c>
      <c r="Z26" s="131">
        <v>0</v>
      </c>
      <c r="AA26" s="130"/>
      <c r="AB26" s="129">
        <v>0</v>
      </c>
    </row>
    <row r="27" spans="2:28" x14ac:dyDescent="0.2">
      <c r="B27" s="81">
        <v>17</v>
      </c>
      <c r="D27" s="128" t="s">
        <v>100</v>
      </c>
      <c r="E27" s="127">
        <v>0</v>
      </c>
      <c r="F27" s="126"/>
      <c r="G27" s="125">
        <v>0</v>
      </c>
      <c r="H27" s="212">
        <f>H14+H15</f>
        <v>73.392499999999998</v>
      </c>
      <c r="I27" s="126"/>
      <c r="J27" s="125">
        <f>J14+J15</f>
        <v>790</v>
      </c>
      <c r="K27" s="207">
        <v>510.9667</v>
      </c>
      <c r="L27" s="208"/>
      <c r="M27" s="125">
        <f>M20+M21</f>
        <v>5500</v>
      </c>
      <c r="N27" s="127">
        <f>N20+N21</f>
        <v>345</v>
      </c>
      <c r="O27" s="126"/>
      <c r="P27" s="125">
        <f>P20+P21</f>
        <v>3714</v>
      </c>
      <c r="Q27" s="127">
        <f>Q20+Q21</f>
        <v>710.88000000000011</v>
      </c>
      <c r="R27" s="126"/>
      <c r="S27" s="125">
        <f>S20+S21</f>
        <v>7651.7999999999993</v>
      </c>
      <c r="T27" s="173">
        <f>T20+T21</f>
        <v>554</v>
      </c>
      <c r="U27" s="174"/>
      <c r="V27" s="175">
        <f>V20+V21</f>
        <v>5969.2</v>
      </c>
      <c r="W27" s="127">
        <f>W20+W21</f>
        <v>847</v>
      </c>
      <c r="X27" s="126"/>
      <c r="Y27" s="125">
        <f>Y20+Y21</f>
        <v>9127</v>
      </c>
      <c r="Z27" s="127">
        <v>0</v>
      </c>
      <c r="AA27" s="126"/>
      <c r="AB27" s="125">
        <v>0</v>
      </c>
    </row>
    <row r="28" spans="2:28" x14ac:dyDescent="0.2">
      <c r="B28" s="81">
        <v>18</v>
      </c>
      <c r="D28" s="124" t="s">
        <v>102</v>
      </c>
      <c r="E28" s="194">
        <v>0</v>
      </c>
      <c r="F28" s="95"/>
      <c r="G28" s="94">
        <v>0</v>
      </c>
      <c r="H28" s="123">
        <f>H14+H16</f>
        <v>93.832099999999997</v>
      </c>
      <c r="I28" s="95"/>
      <c r="J28" s="94">
        <f>J14+J16</f>
        <v>1010</v>
      </c>
      <c r="K28" s="209">
        <v>595.6943</v>
      </c>
      <c r="L28" s="210"/>
      <c r="M28" s="94">
        <f>M20+M22</f>
        <v>6412</v>
      </c>
      <c r="N28" s="194">
        <f>N20+N22</f>
        <v>483</v>
      </c>
      <c r="O28" s="95"/>
      <c r="P28" s="94">
        <f>P20+P22</f>
        <v>5201</v>
      </c>
      <c r="Q28" s="123">
        <f>Q20+Q22</f>
        <v>980.22</v>
      </c>
      <c r="R28" s="95"/>
      <c r="S28" s="94">
        <f>S20+S22</f>
        <v>10873.87</v>
      </c>
      <c r="T28" s="176">
        <f>T20+T22</f>
        <v>709</v>
      </c>
      <c r="U28" s="177"/>
      <c r="V28" s="178">
        <f>V20+V22</f>
        <v>7632.9</v>
      </c>
      <c r="W28" s="123">
        <f>W20+W22</f>
        <v>1092</v>
      </c>
      <c r="X28" s="95"/>
      <c r="Y28" s="94">
        <f>Y20+Y22</f>
        <v>11762</v>
      </c>
      <c r="Z28" s="123">
        <v>0</v>
      </c>
      <c r="AA28" s="95"/>
      <c r="AB28" s="94">
        <v>0</v>
      </c>
    </row>
    <row r="29" spans="2:28" x14ac:dyDescent="0.2">
      <c r="B29" s="81">
        <v>19</v>
      </c>
      <c r="D29" s="122" t="s">
        <v>103</v>
      </c>
      <c r="E29" s="118">
        <v>0</v>
      </c>
      <c r="F29" s="89"/>
      <c r="G29" s="88">
        <v>0</v>
      </c>
      <c r="H29" s="133">
        <f>H15+H16</f>
        <v>106.83759999999999</v>
      </c>
      <c r="I29" s="89"/>
      <c r="J29" s="88">
        <f>J15+J16</f>
        <v>1150</v>
      </c>
      <c r="K29" s="204">
        <v>716.65409999999997</v>
      </c>
      <c r="L29" s="205"/>
      <c r="M29" s="88">
        <f>M21+M22</f>
        <v>7714</v>
      </c>
      <c r="N29" s="118">
        <f>N21+N22</f>
        <v>618</v>
      </c>
      <c r="O29" s="89"/>
      <c r="P29" s="88">
        <f>P21+P22</f>
        <v>6653</v>
      </c>
      <c r="Q29" s="214">
        <f>Q21+Q22</f>
        <v>1068.6600000000001</v>
      </c>
      <c r="R29" s="215"/>
      <c r="S29" s="216">
        <f>S21+S22</f>
        <v>11825.869999999999</v>
      </c>
      <c r="T29" s="171">
        <f>T21+T22</f>
        <v>817</v>
      </c>
      <c r="U29" s="151"/>
      <c r="V29" s="134">
        <f>V21+V22</f>
        <v>8799.0999999999985</v>
      </c>
      <c r="W29" s="118">
        <f>W21+W22</f>
        <v>1399</v>
      </c>
      <c r="X29" s="89"/>
      <c r="Y29" s="88">
        <f>Y21+Y22</f>
        <v>15065</v>
      </c>
      <c r="Z29" s="118">
        <f>SUM(Z26:Z28)</f>
        <v>0</v>
      </c>
      <c r="AA29" s="89"/>
      <c r="AB29" s="88">
        <f>SUM(AB26:AB28)</f>
        <v>0</v>
      </c>
    </row>
    <row r="30" spans="2:28" x14ac:dyDescent="0.2">
      <c r="B30" s="81">
        <v>20</v>
      </c>
      <c r="D30" s="121"/>
      <c r="E30" s="118"/>
      <c r="F30" s="117"/>
      <c r="G30" s="88"/>
      <c r="H30" s="90"/>
      <c r="I30" s="89"/>
      <c r="J30" s="88"/>
      <c r="K30" s="120"/>
      <c r="L30" s="89"/>
      <c r="M30" s="119"/>
      <c r="N30" s="91"/>
      <c r="O30" s="89"/>
      <c r="P30" s="88"/>
      <c r="Q30" s="133"/>
      <c r="R30" s="117"/>
      <c r="S30" s="88"/>
      <c r="T30" s="213"/>
      <c r="U30" s="172"/>
      <c r="V30" s="134"/>
      <c r="W30" s="118"/>
      <c r="X30" s="117"/>
      <c r="Y30" s="88"/>
      <c r="Z30" s="118"/>
      <c r="AA30" s="117"/>
      <c r="AB30" s="88"/>
    </row>
    <row r="31" spans="2:28" x14ac:dyDescent="0.2">
      <c r="B31" s="81">
        <v>21</v>
      </c>
      <c r="C31" s="116" t="s">
        <v>153</v>
      </c>
      <c r="E31" s="195"/>
      <c r="F31" s="112"/>
      <c r="G31" s="111"/>
      <c r="H31" s="114"/>
      <c r="I31" s="112"/>
      <c r="J31" s="111"/>
      <c r="K31" s="115"/>
      <c r="L31" s="112"/>
      <c r="M31" s="111"/>
      <c r="N31" s="114"/>
      <c r="O31" s="112"/>
      <c r="P31" s="111"/>
      <c r="Q31" s="113"/>
      <c r="R31" s="112"/>
      <c r="S31" s="111"/>
      <c r="T31" s="164"/>
      <c r="U31" s="179"/>
      <c r="V31" s="165"/>
      <c r="W31" s="113"/>
      <c r="X31" s="112"/>
      <c r="Y31" s="111"/>
      <c r="Z31" s="113"/>
      <c r="AA31" s="112"/>
      <c r="AB31" s="111"/>
    </row>
    <row r="32" spans="2:28" x14ac:dyDescent="0.2">
      <c r="B32" s="81">
        <v>22</v>
      </c>
      <c r="D32" s="110" t="s">
        <v>152</v>
      </c>
      <c r="E32" s="196">
        <v>6</v>
      </c>
      <c r="F32" s="104"/>
      <c r="G32" s="106" t="s">
        <v>129</v>
      </c>
      <c r="H32" s="109">
        <v>5.9943999999999997</v>
      </c>
      <c r="I32" s="104"/>
      <c r="J32" s="106" t="s">
        <v>129</v>
      </c>
      <c r="K32" s="108">
        <v>6.7817999999999996</v>
      </c>
      <c r="L32" s="104"/>
      <c r="M32" s="106" t="s">
        <v>126</v>
      </c>
      <c r="N32" s="107">
        <v>4.7</v>
      </c>
      <c r="O32" s="104"/>
      <c r="P32" s="106" t="s">
        <v>128</v>
      </c>
      <c r="Q32" s="105">
        <v>6</v>
      </c>
      <c r="R32" s="104"/>
      <c r="S32" s="192" t="s">
        <v>129</v>
      </c>
      <c r="T32" s="180">
        <v>7.2</v>
      </c>
      <c r="U32" s="181"/>
      <c r="V32" s="182" t="s">
        <v>171</v>
      </c>
      <c r="W32" s="105">
        <v>6</v>
      </c>
      <c r="X32" s="104"/>
      <c r="Y32" s="192" t="s">
        <v>129</v>
      </c>
      <c r="Z32" s="105">
        <v>0</v>
      </c>
      <c r="AA32" s="104"/>
      <c r="AB32" s="103">
        <v>0</v>
      </c>
    </row>
    <row r="33" spans="2:28" ht="17" x14ac:dyDescent="0.2">
      <c r="B33" s="81">
        <v>23</v>
      </c>
      <c r="D33" s="102" t="s">
        <v>138</v>
      </c>
      <c r="E33" s="197">
        <v>3.8</v>
      </c>
      <c r="F33" s="95"/>
      <c r="G33" s="106" t="s">
        <v>175</v>
      </c>
      <c r="H33" s="101">
        <v>1.3715999999999999</v>
      </c>
      <c r="I33" s="95"/>
      <c r="J33" s="100" t="s">
        <v>88</v>
      </c>
      <c r="K33" s="99">
        <v>4.8006000000000002</v>
      </c>
      <c r="L33" s="95"/>
      <c r="M33" s="97" t="s">
        <v>121</v>
      </c>
      <c r="N33" s="98">
        <v>3</v>
      </c>
      <c r="O33" s="95"/>
      <c r="P33" s="97" t="s">
        <v>127</v>
      </c>
      <c r="Q33" s="96">
        <v>7.3</v>
      </c>
      <c r="R33" s="95"/>
      <c r="S33" s="191" t="s">
        <v>179</v>
      </c>
      <c r="T33" s="183">
        <v>4.87</v>
      </c>
      <c r="U33" s="177"/>
      <c r="V33" s="184" t="s">
        <v>170</v>
      </c>
      <c r="W33" s="96">
        <v>7.23</v>
      </c>
      <c r="X33" s="95"/>
      <c r="Y33" s="191" t="s">
        <v>173</v>
      </c>
      <c r="Z33" s="96">
        <v>0</v>
      </c>
      <c r="AA33" s="95"/>
      <c r="AB33" s="94">
        <v>0</v>
      </c>
    </row>
    <row r="34" spans="2:28" x14ac:dyDescent="0.2">
      <c r="B34" s="81">
        <v>24</v>
      </c>
      <c r="D34" s="81" t="s">
        <v>125</v>
      </c>
      <c r="E34" s="198">
        <v>2</v>
      </c>
      <c r="F34" s="89"/>
      <c r="G34" s="92" t="s">
        <v>174</v>
      </c>
      <c r="H34" s="90">
        <v>0</v>
      </c>
      <c r="I34" s="89"/>
      <c r="J34" s="88">
        <v>0</v>
      </c>
      <c r="K34" s="93">
        <v>3.048</v>
      </c>
      <c r="L34" s="89"/>
      <c r="M34" s="92" t="s">
        <v>156</v>
      </c>
      <c r="N34" s="91">
        <v>0</v>
      </c>
      <c r="O34" s="89"/>
      <c r="P34" s="88">
        <v>0</v>
      </c>
      <c r="Q34" s="90">
        <v>2.7</v>
      </c>
      <c r="R34" s="89"/>
      <c r="S34" s="88">
        <v>0</v>
      </c>
      <c r="T34" s="185">
        <v>2.89</v>
      </c>
      <c r="U34" s="151"/>
      <c r="V34" s="186" t="s">
        <v>169</v>
      </c>
      <c r="W34" s="90">
        <v>3.6</v>
      </c>
      <c r="X34" s="89"/>
      <c r="Y34" s="190" t="s">
        <v>172</v>
      </c>
      <c r="Z34" s="90">
        <v>0</v>
      </c>
      <c r="AA34" s="89"/>
      <c r="AB34" s="88">
        <v>0</v>
      </c>
    </row>
    <row r="35" spans="2:28" ht="16" customHeight="1" x14ac:dyDescent="0.2">
      <c r="B35" s="81">
        <v>25</v>
      </c>
      <c r="E35" s="85"/>
      <c r="F35" s="84"/>
      <c r="G35" s="83"/>
      <c r="J35" s="83"/>
      <c r="K35" s="87"/>
      <c r="N35" s="86"/>
      <c r="O35" s="84"/>
      <c r="P35" s="83"/>
      <c r="Q35" s="85"/>
      <c r="R35" s="84"/>
      <c r="S35" s="83"/>
      <c r="T35" s="187"/>
      <c r="U35" s="188"/>
      <c r="V35" s="189"/>
      <c r="W35" s="85"/>
      <c r="X35" s="84"/>
      <c r="Y35" s="83"/>
      <c r="Z35" s="85"/>
      <c r="AA35" s="84"/>
      <c r="AB35" s="83"/>
    </row>
    <row r="36" spans="2:28" x14ac:dyDescent="0.2">
      <c r="B36" s="81">
        <v>26</v>
      </c>
    </row>
    <row r="37" spans="2:28" x14ac:dyDescent="0.2">
      <c r="B37" s="81">
        <v>27</v>
      </c>
      <c r="C37" s="82" t="s">
        <v>87</v>
      </c>
    </row>
    <row r="38" spans="2:28" x14ac:dyDescent="0.2">
      <c r="B38" s="81">
        <v>28</v>
      </c>
      <c r="D38" s="80" t="s">
        <v>150</v>
      </c>
    </row>
    <row r="39" spans="2:28" x14ac:dyDescent="0.2">
      <c r="B39" s="81">
        <v>29</v>
      </c>
      <c r="D39" s="386" t="s">
        <v>157</v>
      </c>
      <c r="E39" s="386"/>
      <c r="F39" s="386"/>
      <c r="G39" s="386"/>
      <c r="H39" s="386"/>
      <c r="I39" s="386"/>
      <c r="J39" s="386"/>
      <c r="K39" s="386"/>
      <c r="L39" s="386"/>
      <c r="M39" s="386"/>
      <c r="N39" s="386"/>
      <c r="O39" s="386"/>
      <c r="P39" s="386"/>
      <c r="Q39" s="386"/>
      <c r="R39" s="386"/>
      <c r="S39" s="386"/>
      <c r="T39" s="386"/>
      <c r="U39" s="386"/>
      <c r="V39" s="386"/>
      <c r="W39" s="386"/>
      <c r="X39" s="386"/>
      <c r="Y39" s="386"/>
      <c r="Z39" s="386"/>
      <c r="AA39" s="386"/>
      <c r="AB39" s="386"/>
    </row>
    <row r="40" spans="2:28" x14ac:dyDescent="0.2">
      <c r="B40" s="81">
        <v>30</v>
      </c>
      <c r="D40" s="386"/>
      <c r="E40" s="386"/>
      <c r="F40" s="386"/>
      <c r="G40" s="386"/>
      <c r="H40" s="386"/>
      <c r="I40" s="386"/>
      <c r="J40" s="386"/>
      <c r="K40" s="386"/>
      <c r="L40" s="386"/>
      <c r="M40" s="386"/>
      <c r="N40" s="386"/>
      <c r="O40" s="386"/>
      <c r="P40" s="386"/>
      <c r="Q40" s="386"/>
      <c r="R40" s="386"/>
      <c r="S40" s="386"/>
      <c r="T40" s="386"/>
      <c r="U40" s="386"/>
      <c r="V40" s="386"/>
      <c r="W40" s="386"/>
      <c r="X40" s="386"/>
      <c r="Y40" s="386"/>
      <c r="Z40" s="386"/>
      <c r="AA40" s="386"/>
      <c r="AB40" s="386"/>
    </row>
    <row r="42" spans="2:28" x14ac:dyDescent="0.2">
      <c r="R42" s="82"/>
      <c r="S42" s="82"/>
      <c r="T42" s="82"/>
      <c r="U42" s="82"/>
      <c r="V42" s="82"/>
    </row>
  </sheetData>
  <mergeCells count="19">
    <mergeCell ref="C7:AB7"/>
    <mergeCell ref="T11:V11"/>
    <mergeCell ref="H11:J11"/>
    <mergeCell ref="K11:M11"/>
    <mergeCell ref="N11:P11"/>
    <mergeCell ref="Q11:S11"/>
    <mergeCell ref="C11:D11"/>
    <mergeCell ref="E11:G11"/>
    <mergeCell ref="D39:AB40"/>
    <mergeCell ref="W11:Y11"/>
    <mergeCell ref="Z11:AB11"/>
    <mergeCell ref="H12:J12"/>
    <mergeCell ref="K12:M12"/>
    <mergeCell ref="N12:P12"/>
    <mergeCell ref="Q12:S12"/>
    <mergeCell ref="T12:V12"/>
    <mergeCell ref="W12:Y12"/>
    <mergeCell ref="Z12:AB12"/>
    <mergeCell ref="E12:G12"/>
  </mergeCells>
  <pageMargins left="0.25" right="0.25" top="0.75" bottom="0.75" header="0.3" footer="0.3"/>
  <pageSetup scale="63"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5A018-7695-FD4B-9CCB-1B261326C58B}">
  <dimension ref="C7:Q34"/>
  <sheetViews>
    <sheetView workbookViewId="0">
      <selection activeCell="I19" sqref="I19"/>
    </sheetView>
  </sheetViews>
  <sheetFormatPr baseColWidth="10" defaultRowHeight="16" x14ac:dyDescent="0.2"/>
  <cols>
    <col min="1" max="3" width="10.83203125" style="21"/>
    <col min="4" max="4" width="12.33203125" style="21" customWidth="1"/>
    <col min="5" max="5" width="21" style="21" customWidth="1"/>
    <col min="6" max="8" width="12.33203125" style="21" bestFit="1" customWidth="1"/>
    <col min="9" max="17" width="16.83203125" style="21" bestFit="1" customWidth="1"/>
    <col min="18" max="16384" width="10.83203125" style="21"/>
  </cols>
  <sheetData>
    <row r="7" spans="3:17" x14ac:dyDescent="0.2">
      <c r="F7" s="72"/>
      <c r="G7" s="72"/>
      <c r="H7" s="72"/>
      <c r="I7" s="73" t="s">
        <v>142</v>
      </c>
      <c r="J7" s="73" t="s">
        <v>142</v>
      </c>
      <c r="K7" s="73" t="s">
        <v>142</v>
      </c>
      <c r="L7" s="73" t="s">
        <v>142</v>
      </c>
      <c r="M7" s="73" t="s">
        <v>142</v>
      </c>
      <c r="N7" s="73" t="s">
        <v>142</v>
      </c>
      <c r="O7" s="74" t="s">
        <v>142</v>
      </c>
      <c r="P7" s="74" t="s">
        <v>142</v>
      </c>
      <c r="Q7" s="74" t="s">
        <v>142</v>
      </c>
    </row>
    <row r="8" spans="3:17" x14ac:dyDescent="0.2">
      <c r="F8" s="74" t="s">
        <v>122</v>
      </c>
      <c r="G8" s="74" t="s">
        <v>122</v>
      </c>
      <c r="H8" s="74" t="s">
        <v>122</v>
      </c>
      <c r="I8" s="73" t="s">
        <v>135</v>
      </c>
      <c r="J8" s="73" t="s">
        <v>135</v>
      </c>
      <c r="K8" s="73" t="s">
        <v>135</v>
      </c>
      <c r="L8" s="73" t="s">
        <v>135</v>
      </c>
      <c r="M8" s="73" t="s">
        <v>135</v>
      </c>
      <c r="N8" s="73" t="s">
        <v>135</v>
      </c>
      <c r="O8" s="74" t="s">
        <v>123</v>
      </c>
      <c r="P8" s="74" t="s">
        <v>123</v>
      </c>
      <c r="Q8" s="74" t="s">
        <v>123</v>
      </c>
    </row>
    <row r="9" spans="3:17" x14ac:dyDescent="0.2">
      <c r="E9" s="75"/>
      <c r="F9" s="76" t="s">
        <v>7</v>
      </c>
      <c r="G9" s="76" t="s">
        <v>8</v>
      </c>
      <c r="H9" s="76" t="s">
        <v>9</v>
      </c>
      <c r="I9" s="77" t="s">
        <v>143</v>
      </c>
      <c r="J9" s="77" t="s">
        <v>143</v>
      </c>
      <c r="K9" s="77" t="s">
        <v>8</v>
      </c>
      <c r="L9" s="77" t="s">
        <v>8</v>
      </c>
      <c r="M9" s="77" t="s">
        <v>9</v>
      </c>
      <c r="N9" s="77" t="s">
        <v>9</v>
      </c>
      <c r="O9" s="76" t="s">
        <v>143</v>
      </c>
      <c r="P9" s="76" t="s">
        <v>8</v>
      </c>
      <c r="Q9" s="76" t="s">
        <v>9</v>
      </c>
    </row>
    <row r="10" spans="3:17" x14ac:dyDescent="0.2">
      <c r="C10" s="21" t="s">
        <v>145</v>
      </c>
      <c r="E10" s="65" t="s">
        <v>136</v>
      </c>
      <c r="F10" s="70">
        <v>325</v>
      </c>
      <c r="G10" s="70">
        <v>465</v>
      </c>
      <c r="H10" s="70">
        <v>685</v>
      </c>
      <c r="I10" s="71">
        <v>2099</v>
      </c>
      <c r="J10" s="71">
        <v>2099</v>
      </c>
      <c r="K10" s="71">
        <v>3401</v>
      </c>
      <c r="L10" s="71">
        <v>3401</v>
      </c>
      <c r="M10" s="71">
        <v>4313</v>
      </c>
      <c r="N10" s="71">
        <v>4313</v>
      </c>
      <c r="O10" s="79">
        <f>O25/$D$25</f>
        <v>1189.412613155657</v>
      </c>
      <c r="P10" s="79">
        <f t="shared" ref="P10:Q10" si="0">P25/$D$25</f>
        <v>2586.5687867991346</v>
      </c>
      <c r="Q10" s="79">
        <f t="shared" si="0"/>
        <v>4050.4612337599433</v>
      </c>
    </row>
    <row r="11" spans="3:17" x14ac:dyDescent="0.2">
      <c r="E11" s="65" t="s">
        <v>124</v>
      </c>
      <c r="F11" s="66">
        <v>5.9</v>
      </c>
      <c r="G11" s="66">
        <v>5.9</v>
      </c>
      <c r="H11" s="66">
        <v>5.8</v>
      </c>
      <c r="I11" s="68">
        <v>6.7</v>
      </c>
      <c r="J11" s="68">
        <v>6.7</v>
      </c>
      <c r="K11" s="68">
        <v>6.7</v>
      </c>
      <c r="L11" s="68">
        <v>6.7</v>
      </c>
      <c r="M11" s="68">
        <v>6.7</v>
      </c>
      <c r="N11" s="68">
        <v>6.7</v>
      </c>
      <c r="O11" s="66"/>
      <c r="P11" s="66"/>
      <c r="Q11" s="66"/>
    </row>
    <row r="12" spans="3:17" x14ac:dyDescent="0.2">
      <c r="E12" s="65" t="s">
        <v>138</v>
      </c>
      <c r="F12" s="66">
        <v>1.3</v>
      </c>
      <c r="G12" s="66">
        <v>1.3</v>
      </c>
      <c r="H12" s="66">
        <v>1.3</v>
      </c>
      <c r="I12" s="68">
        <v>4.8</v>
      </c>
      <c r="J12" s="68">
        <v>4.8</v>
      </c>
      <c r="K12" s="68">
        <v>4.8</v>
      </c>
      <c r="L12" s="68">
        <v>4.8</v>
      </c>
      <c r="M12" s="68">
        <v>4.8</v>
      </c>
      <c r="N12" s="68">
        <v>4.8</v>
      </c>
      <c r="O12" s="66"/>
      <c r="P12" s="66"/>
      <c r="Q12" s="66"/>
    </row>
    <row r="13" spans="3:17" x14ac:dyDescent="0.2">
      <c r="E13" s="65" t="s">
        <v>125</v>
      </c>
      <c r="F13" s="66">
        <v>0</v>
      </c>
      <c r="G13" s="66">
        <v>0</v>
      </c>
      <c r="H13" s="66">
        <v>0</v>
      </c>
      <c r="I13" s="68">
        <v>3.1</v>
      </c>
      <c r="J13" s="68">
        <v>3.1</v>
      </c>
      <c r="K13" s="68">
        <v>3.1</v>
      </c>
      <c r="L13" s="68">
        <v>3.1</v>
      </c>
      <c r="M13" s="68">
        <v>3.1</v>
      </c>
      <c r="N13" s="68">
        <v>3.1</v>
      </c>
      <c r="O13" s="66"/>
      <c r="P13" s="66"/>
      <c r="Q13" s="66"/>
    </row>
    <row r="14" spans="3:17" x14ac:dyDescent="0.2">
      <c r="E14" s="65" t="s">
        <v>11</v>
      </c>
      <c r="F14" s="66">
        <v>0</v>
      </c>
      <c r="G14" s="66">
        <v>0</v>
      </c>
      <c r="H14" s="66">
        <v>0</v>
      </c>
      <c r="I14" s="68">
        <v>1</v>
      </c>
      <c r="J14" s="68">
        <v>1</v>
      </c>
      <c r="K14" s="68">
        <v>1</v>
      </c>
      <c r="L14" s="68">
        <v>1</v>
      </c>
      <c r="M14" s="68">
        <v>1</v>
      </c>
      <c r="N14" s="68">
        <v>1</v>
      </c>
      <c r="O14" s="66"/>
      <c r="P14" s="66"/>
      <c r="Q14" s="66"/>
    </row>
    <row r="15" spans="3:17" x14ac:dyDescent="0.2">
      <c r="E15" s="65" t="s">
        <v>139</v>
      </c>
      <c r="F15" s="66">
        <v>1</v>
      </c>
      <c r="G15" s="66">
        <v>2</v>
      </c>
      <c r="H15" s="66">
        <v>3</v>
      </c>
      <c r="I15" s="68">
        <v>1</v>
      </c>
      <c r="J15" s="68">
        <v>1</v>
      </c>
      <c r="K15" s="68">
        <v>2</v>
      </c>
      <c r="L15" s="68">
        <v>2</v>
      </c>
      <c r="M15" s="68">
        <v>2</v>
      </c>
      <c r="N15" s="68">
        <v>2</v>
      </c>
      <c r="O15" s="66"/>
      <c r="P15" s="66"/>
      <c r="Q15" s="66"/>
    </row>
    <row r="16" spans="3:17" x14ac:dyDescent="0.2">
      <c r="E16" s="65" t="s">
        <v>140</v>
      </c>
      <c r="F16" s="66">
        <v>1</v>
      </c>
      <c r="G16" s="66">
        <v>2</v>
      </c>
      <c r="H16" s="66">
        <v>3</v>
      </c>
      <c r="I16" s="68">
        <v>14</v>
      </c>
      <c r="J16" s="68">
        <v>20</v>
      </c>
      <c r="K16" s="68">
        <v>33</v>
      </c>
      <c r="L16" s="68">
        <v>23</v>
      </c>
      <c r="M16" s="68">
        <v>45</v>
      </c>
      <c r="N16" s="68">
        <v>31</v>
      </c>
      <c r="O16" s="66"/>
      <c r="P16" s="66"/>
      <c r="Q16" s="66"/>
    </row>
    <row r="17" spans="3:17" x14ac:dyDescent="0.2">
      <c r="E17" s="65" t="s">
        <v>144</v>
      </c>
      <c r="F17" s="67">
        <f>F10/F16</f>
        <v>325</v>
      </c>
      <c r="G17" s="67">
        <f t="shared" ref="G17:N17" si="1">G10/G16</f>
        <v>232.5</v>
      </c>
      <c r="H17" s="67">
        <f t="shared" si="1"/>
        <v>228.33333333333334</v>
      </c>
      <c r="I17" s="69">
        <f t="shared" si="1"/>
        <v>149.92857142857142</v>
      </c>
      <c r="J17" s="69">
        <f t="shared" si="1"/>
        <v>104.95</v>
      </c>
      <c r="K17" s="69">
        <f t="shared" si="1"/>
        <v>103.06060606060606</v>
      </c>
      <c r="L17" s="69">
        <f t="shared" si="1"/>
        <v>147.86956521739131</v>
      </c>
      <c r="M17" s="69">
        <f t="shared" si="1"/>
        <v>95.844444444444449</v>
      </c>
      <c r="N17" s="69">
        <f t="shared" si="1"/>
        <v>139.12903225806451</v>
      </c>
      <c r="O17" s="66"/>
      <c r="P17" s="66"/>
      <c r="Q17" s="66"/>
    </row>
    <row r="18" spans="3:17" x14ac:dyDescent="0.2">
      <c r="E18" s="65" t="s">
        <v>141</v>
      </c>
      <c r="F18" s="66">
        <v>6</v>
      </c>
      <c r="G18" s="66">
        <v>9</v>
      </c>
      <c r="H18" s="66">
        <v>12</v>
      </c>
      <c r="I18" s="68">
        <v>33</v>
      </c>
      <c r="J18" s="68">
        <v>39</v>
      </c>
      <c r="K18" s="68">
        <v>57</v>
      </c>
      <c r="L18" s="68">
        <v>47</v>
      </c>
      <c r="M18" s="68">
        <v>69</v>
      </c>
      <c r="N18" s="68">
        <v>55</v>
      </c>
      <c r="O18" s="66"/>
      <c r="P18" s="66"/>
      <c r="Q18" s="66"/>
    </row>
    <row r="19" spans="3:17" x14ac:dyDescent="0.2">
      <c r="E19" s="65" t="s">
        <v>137</v>
      </c>
      <c r="F19" s="67">
        <f>F10/F18</f>
        <v>54.166666666666664</v>
      </c>
      <c r="G19" s="67">
        <f t="shared" ref="G19:H19" si="2">G10/G18</f>
        <v>51.666666666666664</v>
      </c>
      <c r="H19" s="67">
        <f t="shared" si="2"/>
        <v>57.083333333333336</v>
      </c>
      <c r="I19" s="69">
        <f t="shared" ref="I19" si="3">I10/I18</f>
        <v>63.606060606060609</v>
      </c>
      <c r="J19" s="69">
        <f t="shared" ref="J19" si="4">J10/J18</f>
        <v>53.820512820512818</v>
      </c>
      <c r="K19" s="69">
        <f t="shared" ref="K19" si="5">K10/K18</f>
        <v>59.666666666666664</v>
      </c>
      <c r="L19" s="69">
        <f t="shared" ref="L19" si="6">L10/L18</f>
        <v>72.361702127659569</v>
      </c>
      <c r="M19" s="69">
        <f t="shared" ref="M19" si="7">M10/M18</f>
        <v>62.507246376811594</v>
      </c>
      <c r="N19" s="69">
        <f t="shared" ref="N19" si="8">N10/N18</f>
        <v>78.418181818181822</v>
      </c>
      <c r="O19" s="67" t="e">
        <f t="shared" ref="O19" si="9">O10/O18</f>
        <v>#DIV/0!</v>
      </c>
      <c r="P19" s="67" t="e">
        <f t="shared" ref="P19" si="10">P10/P18</f>
        <v>#DIV/0!</v>
      </c>
      <c r="Q19" s="66"/>
    </row>
    <row r="22" spans="3:17" x14ac:dyDescent="0.2">
      <c r="C22" s="21" t="s">
        <v>146</v>
      </c>
      <c r="F22" s="72"/>
      <c r="G22" s="72"/>
      <c r="H22" s="72"/>
      <c r="I22" s="73" t="s">
        <v>142</v>
      </c>
      <c r="J22" s="73" t="s">
        <v>142</v>
      </c>
      <c r="K22" s="73" t="s">
        <v>142</v>
      </c>
      <c r="L22" s="73" t="s">
        <v>142</v>
      </c>
      <c r="M22" s="73" t="s">
        <v>142</v>
      </c>
      <c r="N22" s="73" t="s">
        <v>142</v>
      </c>
      <c r="O22" s="74" t="s">
        <v>142</v>
      </c>
      <c r="P22" s="74" t="s">
        <v>142</v>
      </c>
      <c r="Q22" s="74" t="s">
        <v>142</v>
      </c>
    </row>
    <row r="23" spans="3:17" x14ac:dyDescent="0.2">
      <c r="F23" s="74" t="s">
        <v>122</v>
      </c>
      <c r="G23" s="74" t="s">
        <v>122</v>
      </c>
      <c r="H23" s="74" t="s">
        <v>122</v>
      </c>
      <c r="I23" s="73" t="s">
        <v>135</v>
      </c>
      <c r="J23" s="73" t="s">
        <v>135</v>
      </c>
      <c r="K23" s="73" t="s">
        <v>135</v>
      </c>
      <c r="L23" s="73" t="s">
        <v>135</v>
      </c>
      <c r="M23" s="73" t="s">
        <v>135</v>
      </c>
      <c r="N23" s="73" t="s">
        <v>135</v>
      </c>
      <c r="O23" s="74" t="s">
        <v>123</v>
      </c>
      <c r="P23" s="74" t="s">
        <v>123</v>
      </c>
      <c r="Q23" s="74" t="s">
        <v>123</v>
      </c>
    </row>
    <row r="24" spans="3:17" x14ac:dyDescent="0.2">
      <c r="E24" s="75"/>
      <c r="F24" s="76" t="s">
        <v>7</v>
      </c>
      <c r="G24" s="76" t="s">
        <v>8</v>
      </c>
      <c r="H24" s="76" t="s">
        <v>9</v>
      </c>
      <c r="I24" s="77" t="s">
        <v>143</v>
      </c>
      <c r="J24" s="77" t="s">
        <v>143</v>
      </c>
      <c r="K24" s="77" t="s">
        <v>8</v>
      </c>
      <c r="L24" s="77" t="s">
        <v>8</v>
      </c>
      <c r="M24" s="77" t="s">
        <v>9</v>
      </c>
      <c r="N24" s="77" t="s">
        <v>9</v>
      </c>
      <c r="O24" s="76" t="s">
        <v>143</v>
      </c>
      <c r="P24" s="76" t="s">
        <v>8</v>
      </c>
      <c r="Q24" s="76" t="s">
        <v>9</v>
      </c>
    </row>
    <row r="25" spans="3:17" x14ac:dyDescent="0.2">
      <c r="D25" s="78">
        <v>9.2902999999999999E-2</v>
      </c>
      <c r="E25" s="65" t="s">
        <v>136</v>
      </c>
      <c r="F25" s="70">
        <f>F10*$D$25</f>
        <v>30.193474999999999</v>
      </c>
      <c r="G25" s="70">
        <f t="shared" ref="G25:N25" si="11">G10*$D$25</f>
        <v>43.199894999999998</v>
      </c>
      <c r="H25" s="70">
        <f t="shared" si="11"/>
        <v>63.638554999999997</v>
      </c>
      <c r="I25" s="71">
        <f t="shared" si="11"/>
        <v>195.00339700000001</v>
      </c>
      <c r="J25" s="71">
        <f t="shared" si="11"/>
        <v>195.00339700000001</v>
      </c>
      <c r="K25" s="71">
        <f t="shared" si="11"/>
        <v>315.96310299999999</v>
      </c>
      <c r="L25" s="71">
        <f t="shared" si="11"/>
        <v>315.96310299999999</v>
      </c>
      <c r="M25" s="71">
        <f t="shared" si="11"/>
        <v>400.69063899999998</v>
      </c>
      <c r="N25" s="71">
        <f t="shared" si="11"/>
        <v>400.69063899999998</v>
      </c>
      <c r="O25" s="66">
        <v>110.5</v>
      </c>
      <c r="P25" s="66">
        <v>240.3</v>
      </c>
      <c r="Q25" s="66">
        <v>376.3</v>
      </c>
    </row>
    <row r="26" spans="3:17" x14ac:dyDescent="0.2">
      <c r="E26" s="65" t="s">
        <v>124</v>
      </c>
      <c r="F26" s="66">
        <v>5.9</v>
      </c>
      <c r="G26" s="66">
        <v>5.9</v>
      </c>
      <c r="H26" s="66">
        <v>5.8</v>
      </c>
      <c r="I26" s="68">
        <v>6.7</v>
      </c>
      <c r="J26" s="68">
        <v>6.7</v>
      </c>
      <c r="K26" s="68">
        <v>6.7</v>
      </c>
      <c r="L26" s="68">
        <v>6.7</v>
      </c>
      <c r="M26" s="68">
        <v>6.7</v>
      </c>
      <c r="N26" s="68">
        <v>6.7</v>
      </c>
      <c r="O26" s="66"/>
      <c r="P26" s="66"/>
      <c r="Q26" s="66"/>
    </row>
    <row r="27" spans="3:17" x14ac:dyDescent="0.2">
      <c r="E27" s="65" t="s">
        <v>138</v>
      </c>
      <c r="F27" s="66">
        <v>1.3</v>
      </c>
      <c r="G27" s="66">
        <v>1.3</v>
      </c>
      <c r="H27" s="66">
        <v>1.3</v>
      </c>
      <c r="I27" s="68">
        <v>4.8</v>
      </c>
      <c r="J27" s="68">
        <v>4.8</v>
      </c>
      <c r="K27" s="68">
        <v>4.8</v>
      </c>
      <c r="L27" s="68">
        <v>4.8</v>
      </c>
      <c r="M27" s="68">
        <v>4.8</v>
      </c>
      <c r="N27" s="68">
        <v>4.8</v>
      </c>
      <c r="O27" s="66"/>
      <c r="P27" s="66"/>
      <c r="Q27" s="66"/>
    </row>
    <row r="28" spans="3:17" x14ac:dyDescent="0.2">
      <c r="E28" s="65" t="s">
        <v>125</v>
      </c>
      <c r="F28" s="66">
        <v>0</v>
      </c>
      <c r="G28" s="66">
        <v>0</v>
      </c>
      <c r="H28" s="66">
        <v>0</v>
      </c>
      <c r="I28" s="68">
        <v>3.1</v>
      </c>
      <c r="J28" s="68">
        <v>3.1</v>
      </c>
      <c r="K28" s="68">
        <v>3.1</v>
      </c>
      <c r="L28" s="68">
        <v>3.1</v>
      </c>
      <c r="M28" s="68">
        <v>3.1</v>
      </c>
      <c r="N28" s="68">
        <v>3.1</v>
      </c>
      <c r="O28" s="66"/>
      <c r="P28" s="66"/>
      <c r="Q28" s="66"/>
    </row>
    <row r="29" spans="3:17" x14ac:dyDescent="0.2">
      <c r="E29" s="65" t="s">
        <v>11</v>
      </c>
      <c r="F29" s="66">
        <v>0</v>
      </c>
      <c r="G29" s="66">
        <v>0</v>
      </c>
      <c r="H29" s="66">
        <v>0</v>
      </c>
      <c r="I29" s="68">
        <v>1</v>
      </c>
      <c r="J29" s="68">
        <v>1</v>
      </c>
      <c r="K29" s="68">
        <v>1</v>
      </c>
      <c r="L29" s="68">
        <v>1</v>
      </c>
      <c r="M29" s="68">
        <v>1</v>
      </c>
      <c r="N29" s="68">
        <v>1</v>
      </c>
      <c r="O29" s="66"/>
      <c r="P29" s="66"/>
      <c r="Q29" s="66"/>
    </row>
    <row r="30" spans="3:17" x14ac:dyDescent="0.2">
      <c r="E30" s="65" t="s">
        <v>139</v>
      </c>
      <c r="F30" s="66">
        <v>1</v>
      </c>
      <c r="G30" s="66">
        <v>2</v>
      </c>
      <c r="H30" s="66">
        <v>3</v>
      </c>
      <c r="I30" s="68">
        <v>1</v>
      </c>
      <c r="J30" s="68">
        <v>1</v>
      </c>
      <c r="K30" s="68">
        <v>2</v>
      </c>
      <c r="L30" s="68">
        <v>2</v>
      </c>
      <c r="M30" s="68">
        <v>2</v>
      </c>
      <c r="N30" s="68">
        <v>2</v>
      </c>
      <c r="O30" s="66"/>
      <c r="P30" s="66"/>
      <c r="Q30" s="66"/>
    </row>
    <row r="31" spans="3:17" x14ac:dyDescent="0.2">
      <c r="E31" s="65" t="s">
        <v>140</v>
      </c>
      <c r="F31" s="66">
        <v>1</v>
      </c>
      <c r="G31" s="66">
        <v>2</v>
      </c>
      <c r="H31" s="66">
        <v>3</v>
      </c>
      <c r="I31" s="68">
        <v>14</v>
      </c>
      <c r="J31" s="68">
        <v>20</v>
      </c>
      <c r="K31" s="68">
        <v>33</v>
      </c>
      <c r="L31" s="68">
        <v>23</v>
      </c>
      <c r="M31" s="68">
        <v>45</v>
      </c>
      <c r="N31" s="68">
        <v>31</v>
      </c>
      <c r="O31" s="66"/>
      <c r="P31" s="66"/>
      <c r="Q31" s="66"/>
    </row>
    <row r="32" spans="3:17" x14ac:dyDescent="0.2">
      <c r="E32" s="65" t="s">
        <v>147</v>
      </c>
      <c r="F32" s="67">
        <f>F25/F31</f>
        <v>30.193474999999999</v>
      </c>
      <c r="G32" s="67">
        <f t="shared" ref="G32:N32" si="12">G25/G31</f>
        <v>21.599947499999999</v>
      </c>
      <c r="H32" s="67">
        <f t="shared" si="12"/>
        <v>21.212851666666666</v>
      </c>
      <c r="I32" s="69">
        <f t="shared" si="12"/>
        <v>13.928814071428572</v>
      </c>
      <c r="J32" s="69">
        <f t="shared" si="12"/>
        <v>9.7501698500000007</v>
      </c>
      <c r="K32" s="69">
        <f t="shared" si="12"/>
        <v>9.5746394848484844</v>
      </c>
      <c r="L32" s="69">
        <f t="shared" si="12"/>
        <v>13.737526217391304</v>
      </c>
      <c r="M32" s="69">
        <f t="shared" si="12"/>
        <v>8.9042364222222226</v>
      </c>
      <c r="N32" s="69">
        <f t="shared" si="12"/>
        <v>12.925504483870967</v>
      </c>
      <c r="O32" s="66"/>
      <c r="P32" s="66"/>
      <c r="Q32" s="66"/>
    </row>
    <row r="33" spans="5:17" x14ac:dyDescent="0.2">
      <c r="E33" s="65" t="s">
        <v>141</v>
      </c>
      <c r="F33" s="66">
        <v>6</v>
      </c>
      <c r="G33" s="66">
        <v>9</v>
      </c>
      <c r="H33" s="66">
        <v>12</v>
      </c>
      <c r="I33" s="68">
        <v>33</v>
      </c>
      <c r="J33" s="68">
        <v>39</v>
      </c>
      <c r="K33" s="68">
        <v>57</v>
      </c>
      <c r="L33" s="68">
        <v>47</v>
      </c>
      <c r="M33" s="68">
        <v>69</v>
      </c>
      <c r="N33" s="68">
        <v>55</v>
      </c>
      <c r="O33" s="66"/>
      <c r="P33" s="66"/>
      <c r="Q33" s="66"/>
    </row>
    <row r="34" spans="5:17" x14ac:dyDescent="0.2">
      <c r="E34" s="65" t="s">
        <v>148</v>
      </c>
      <c r="F34" s="67">
        <f>F25/F33</f>
        <v>5.0322458333333335</v>
      </c>
      <c r="G34" s="67">
        <f t="shared" ref="G34:P34" si="13">G25/G33</f>
        <v>4.7999883333333333</v>
      </c>
      <c r="H34" s="67">
        <f t="shared" si="13"/>
        <v>5.3032129166666664</v>
      </c>
      <c r="I34" s="69">
        <f t="shared" si="13"/>
        <v>5.9091938484848487</v>
      </c>
      <c r="J34" s="69">
        <f t="shared" si="13"/>
        <v>5.0000871025641027</v>
      </c>
      <c r="K34" s="69">
        <f t="shared" si="13"/>
        <v>5.543212333333333</v>
      </c>
      <c r="L34" s="69">
        <f t="shared" si="13"/>
        <v>6.7226192127659576</v>
      </c>
      <c r="M34" s="69">
        <f t="shared" si="13"/>
        <v>5.8071107101449275</v>
      </c>
      <c r="N34" s="69">
        <f t="shared" si="13"/>
        <v>7.2852843454545448</v>
      </c>
      <c r="O34" s="67" t="e">
        <f t="shared" si="13"/>
        <v>#DIV/0!</v>
      </c>
      <c r="P34" s="67" t="e">
        <f t="shared" si="13"/>
        <v>#DIV/0!</v>
      </c>
      <c r="Q34" s="66"/>
    </row>
  </sheetData>
  <pageMargins left="0.7" right="0.7" top="0.75" bottom="0.75" header="0.3" footer="0.3"/>
  <pageSetup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359C1-992F-F44A-B7B0-3F76AC0D7FE6}">
  <sheetPr>
    <pageSetUpPr fitToPage="1"/>
  </sheetPr>
  <dimension ref="A2:Q42"/>
  <sheetViews>
    <sheetView zoomScaleNormal="100" zoomScaleSheetLayoutView="80" workbookViewId="0">
      <selection activeCell="B39" sqref="B39:H42"/>
    </sheetView>
  </sheetViews>
  <sheetFormatPr baseColWidth="10" defaultColWidth="10.6640625" defaultRowHeight="16" x14ac:dyDescent="0.2"/>
  <cols>
    <col min="1" max="1" width="7.1640625" customWidth="1"/>
    <col min="2" max="2" width="3.5" customWidth="1"/>
    <col min="16" max="16" width="16.83203125" customWidth="1"/>
  </cols>
  <sheetData>
    <row r="2" spans="1:17" x14ac:dyDescent="0.2">
      <c r="B2" s="1" t="s">
        <v>0</v>
      </c>
    </row>
    <row r="3" spans="1:17" x14ac:dyDescent="0.2">
      <c r="B3" t="s">
        <v>1</v>
      </c>
    </row>
    <row r="4" spans="1:17" x14ac:dyDescent="0.2">
      <c r="B4" t="s">
        <v>2</v>
      </c>
    </row>
    <row r="5" spans="1:17" x14ac:dyDescent="0.2">
      <c r="B5" s="160" t="s">
        <v>238</v>
      </c>
    </row>
    <row r="6" spans="1:17" x14ac:dyDescent="0.2">
      <c r="B6" t="s">
        <v>168</v>
      </c>
    </row>
    <row r="8" spans="1:17" x14ac:dyDescent="0.2">
      <c r="B8" s="403" t="s">
        <v>4</v>
      </c>
      <c r="C8" s="403"/>
      <c r="D8" s="403"/>
      <c r="E8" s="403"/>
      <c r="F8" s="403"/>
      <c r="G8" s="403"/>
      <c r="H8" s="403"/>
      <c r="I8" s="403"/>
      <c r="J8" s="403"/>
      <c r="K8" s="403"/>
      <c r="L8" s="403"/>
      <c r="M8" s="403"/>
      <c r="N8" s="403"/>
      <c r="O8" s="403"/>
      <c r="P8" s="403"/>
    </row>
    <row r="9" spans="1:17" x14ac:dyDescent="0.2">
      <c r="B9" s="3"/>
      <c r="C9" s="3"/>
      <c r="D9" s="3"/>
      <c r="E9" s="3"/>
      <c r="F9" s="3"/>
      <c r="G9" s="3"/>
      <c r="H9" s="3"/>
      <c r="I9" s="3"/>
      <c r="J9" s="3"/>
      <c r="K9" s="3"/>
      <c r="L9" s="3"/>
      <c r="M9" s="3"/>
      <c r="N9" s="3"/>
      <c r="O9" s="3"/>
      <c r="P9" s="3"/>
    </row>
    <row r="10" spans="1:17" x14ac:dyDescent="0.2">
      <c r="B10" t="s">
        <v>5</v>
      </c>
      <c r="C10" s="3"/>
      <c r="D10" s="3"/>
      <c r="E10" s="3"/>
      <c r="F10" s="3"/>
      <c r="G10" s="3"/>
      <c r="H10" s="3"/>
      <c r="I10" s="3"/>
      <c r="J10" s="3"/>
      <c r="K10" s="3"/>
      <c r="L10" s="3"/>
      <c r="M10" s="3"/>
      <c r="N10" s="3"/>
      <c r="O10" s="3"/>
      <c r="P10" s="3"/>
    </row>
    <row r="12" spans="1:17" x14ac:dyDescent="0.2">
      <c r="A12" s="3">
        <v>1</v>
      </c>
      <c r="B12" s="4" t="s">
        <v>184</v>
      </c>
      <c r="C12" s="5"/>
      <c r="D12" s="5"/>
      <c r="E12" s="5"/>
      <c r="F12" s="5"/>
      <c r="G12" s="5"/>
      <c r="H12" s="5"/>
      <c r="I12" s="5"/>
      <c r="J12" s="5"/>
      <c r="K12" s="5"/>
      <c r="L12" s="5"/>
      <c r="M12" s="5"/>
      <c r="N12" s="5"/>
      <c r="O12" s="5"/>
      <c r="P12" s="5"/>
      <c r="Q12" s="5"/>
    </row>
    <row r="13" spans="1:17" x14ac:dyDescent="0.2">
      <c r="A13" s="3">
        <v>2</v>
      </c>
    </row>
    <row r="14" spans="1:17" x14ac:dyDescent="0.2">
      <c r="A14" s="3">
        <v>3</v>
      </c>
      <c r="G14" s="221" t="s">
        <v>242</v>
      </c>
      <c r="H14" s="221"/>
      <c r="I14" s="221"/>
    </row>
    <row r="15" spans="1:17" x14ac:dyDescent="0.2">
      <c r="A15" s="3">
        <v>4</v>
      </c>
      <c r="B15" s="6"/>
      <c r="C15" s="6"/>
      <c r="D15" s="6"/>
      <c r="G15" s="7" t="s">
        <v>8</v>
      </c>
      <c r="H15" s="7" t="s">
        <v>9</v>
      </c>
      <c r="I15" s="7"/>
    </row>
    <row r="16" spans="1:17" x14ac:dyDescent="0.2">
      <c r="A16" s="3">
        <v>5</v>
      </c>
      <c r="B16" s="222" t="s">
        <v>206</v>
      </c>
      <c r="C16" s="161"/>
      <c r="D16" s="161"/>
      <c r="E16" s="15"/>
      <c r="G16" s="7"/>
      <c r="H16" s="7"/>
      <c r="I16" s="7"/>
    </row>
    <row r="17" spans="1:10" x14ac:dyDescent="0.2">
      <c r="A17" s="3">
        <v>6</v>
      </c>
      <c r="C17" t="s">
        <v>207</v>
      </c>
      <c r="D17" s="15"/>
      <c r="E17" s="15"/>
      <c r="F17" s="15"/>
      <c r="G17" s="24">
        <v>1</v>
      </c>
      <c r="H17" s="24">
        <v>2</v>
      </c>
      <c r="I17" s="24"/>
      <c r="J17" s="10"/>
    </row>
    <row r="18" spans="1:10" x14ac:dyDescent="0.2">
      <c r="A18" s="3">
        <v>7</v>
      </c>
      <c r="C18" t="s">
        <v>208</v>
      </c>
      <c r="D18" s="15"/>
      <c r="E18" s="15"/>
      <c r="F18" s="15"/>
      <c r="G18" s="24">
        <v>1</v>
      </c>
      <c r="H18" s="24">
        <v>2</v>
      </c>
      <c r="I18" s="24"/>
      <c r="J18" s="10"/>
    </row>
    <row r="19" spans="1:10" x14ac:dyDescent="0.2">
      <c r="A19" s="3">
        <v>8</v>
      </c>
      <c r="D19" s="15"/>
      <c r="E19" s="15"/>
      <c r="F19" s="15"/>
      <c r="G19" s="24"/>
      <c r="H19" s="24"/>
      <c r="I19" s="24"/>
      <c r="J19" s="10"/>
    </row>
    <row r="20" spans="1:10" x14ac:dyDescent="0.2">
      <c r="A20" s="3">
        <v>9</v>
      </c>
      <c r="B20" s="222" t="s">
        <v>185</v>
      </c>
      <c r="C20" s="15"/>
      <c r="D20" s="15"/>
      <c r="E20" s="15"/>
      <c r="F20" s="15"/>
      <c r="G20" s="24"/>
      <c r="H20" s="24"/>
      <c r="I20" s="24"/>
      <c r="J20" s="10"/>
    </row>
    <row r="21" spans="1:10" x14ac:dyDescent="0.2">
      <c r="A21" s="3">
        <v>10</v>
      </c>
      <c r="B21" s="13"/>
      <c r="C21" s="15" t="s">
        <v>209</v>
      </c>
      <c r="D21" s="15"/>
      <c r="E21" s="15"/>
      <c r="F21" s="15"/>
      <c r="G21" s="24">
        <v>1</v>
      </c>
      <c r="H21" s="24">
        <v>2</v>
      </c>
      <c r="I21" s="24"/>
      <c r="J21" s="10"/>
    </row>
    <row r="22" spans="1:10" x14ac:dyDescent="0.2">
      <c r="A22" s="3">
        <v>11</v>
      </c>
      <c r="B22" s="13"/>
      <c r="C22" s="15" t="s">
        <v>210</v>
      </c>
      <c r="D22" s="15"/>
      <c r="E22" s="15"/>
      <c r="F22" s="15"/>
      <c r="G22" s="24">
        <v>1</v>
      </c>
      <c r="H22" s="24">
        <v>2</v>
      </c>
      <c r="I22" s="24"/>
      <c r="J22" s="10"/>
    </row>
    <row r="23" spans="1:10" x14ac:dyDescent="0.2">
      <c r="A23" s="3">
        <v>12</v>
      </c>
      <c r="B23" s="13"/>
      <c r="C23" s="15"/>
      <c r="D23" s="15"/>
      <c r="E23" s="15"/>
      <c r="F23" s="15"/>
      <c r="G23" s="24"/>
      <c r="H23" s="24"/>
      <c r="I23" s="24"/>
      <c r="J23" s="10"/>
    </row>
    <row r="24" spans="1:10" x14ac:dyDescent="0.2">
      <c r="A24" s="3">
        <v>13</v>
      </c>
      <c r="B24" s="13" t="s">
        <v>186</v>
      </c>
      <c r="C24" s="15"/>
      <c r="D24" s="15"/>
      <c r="E24" s="15"/>
      <c r="F24" s="15"/>
      <c r="G24" s="24"/>
      <c r="H24" s="24"/>
      <c r="I24" s="24"/>
      <c r="J24" s="10"/>
    </row>
    <row r="25" spans="1:10" x14ac:dyDescent="0.2">
      <c r="A25" s="3">
        <v>14</v>
      </c>
      <c r="B25" s="13"/>
      <c r="C25" s="15" t="s">
        <v>211</v>
      </c>
      <c r="D25" s="15"/>
      <c r="E25" s="15"/>
      <c r="F25" s="15"/>
      <c r="G25" s="24">
        <v>1</v>
      </c>
      <c r="H25" s="24">
        <v>2</v>
      </c>
      <c r="I25" s="24"/>
      <c r="J25" s="10"/>
    </row>
    <row r="26" spans="1:10" x14ac:dyDescent="0.2">
      <c r="A26" s="3">
        <v>15</v>
      </c>
      <c r="B26" s="13"/>
      <c r="C26" s="15" t="s">
        <v>212</v>
      </c>
      <c r="D26" s="15"/>
      <c r="E26" s="15"/>
      <c r="F26" s="15"/>
      <c r="G26" s="24">
        <v>1</v>
      </c>
      <c r="H26" s="24">
        <v>2</v>
      </c>
      <c r="I26" s="24"/>
      <c r="J26" s="10"/>
    </row>
    <row r="27" spans="1:10" x14ac:dyDescent="0.2">
      <c r="A27" s="3">
        <v>16</v>
      </c>
      <c r="B27" s="13"/>
      <c r="C27" s="15" t="s">
        <v>213</v>
      </c>
      <c r="D27" s="15"/>
      <c r="E27" s="15"/>
      <c r="F27" s="15"/>
      <c r="G27" s="24">
        <v>1</v>
      </c>
      <c r="H27" s="24">
        <v>2</v>
      </c>
      <c r="I27" s="24"/>
      <c r="J27" s="10"/>
    </row>
    <row r="28" spans="1:10" x14ac:dyDescent="0.2">
      <c r="A28" s="3">
        <v>17</v>
      </c>
      <c r="B28" s="13"/>
      <c r="C28" s="15"/>
      <c r="D28" s="15"/>
      <c r="E28" s="15"/>
      <c r="F28" s="15"/>
      <c r="G28" s="24"/>
      <c r="H28" s="24"/>
      <c r="I28" s="24"/>
      <c r="J28" s="10"/>
    </row>
    <row r="29" spans="1:10" x14ac:dyDescent="0.2">
      <c r="A29" s="3">
        <v>18</v>
      </c>
      <c r="B29" s="13" t="s">
        <v>189</v>
      </c>
      <c r="C29" s="15"/>
      <c r="D29" s="15"/>
      <c r="E29" s="15"/>
      <c r="F29" s="15"/>
      <c r="G29" s="24"/>
      <c r="H29" s="24"/>
      <c r="I29" s="24"/>
      <c r="J29" s="10"/>
    </row>
    <row r="30" spans="1:10" x14ac:dyDescent="0.2">
      <c r="A30" s="3">
        <v>19</v>
      </c>
      <c r="B30" s="13"/>
      <c r="C30" s="15" t="s">
        <v>214</v>
      </c>
      <c r="D30" s="15"/>
      <c r="E30" s="15"/>
      <c r="F30" s="15"/>
      <c r="G30" s="24">
        <v>12</v>
      </c>
      <c r="H30" s="24">
        <v>24</v>
      </c>
      <c r="I30" s="24"/>
      <c r="J30" s="10"/>
    </row>
    <row r="31" spans="1:10" x14ac:dyDescent="0.2">
      <c r="A31" s="3">
        <v>20</v>
      </c>
      <c r="B31" s="13"/>
      <c r="C31" s="15" t="s">
        <v>215</v>
      </c>
      <c r="D31" s="15"/>
      <c r="E31" s="15"/>
      <c r="F31" s="15"/>
      <c r="G31" s="24">
        <v>1</v>
      </c>
      <c r="H31" s="24">
        <v>1</v>
      </c>
      <c r="I31" s="24"/>
      <c r="J31" s="10"/>
    </row>
    <row r="32" spans="1:10" x14ac:dyDescent="0.2">
      <c r="A32" s="3">
        <v>21</v>
      </c>
      <c r="B32" s="13"/>
      <c r="C32" s="15"/>
      <c r="D32" s="15"/>
      <c r="E32" s="15"/>
      <c r="F32" s="15"/>
      <c r="G32" s="24"/>
      <c r="H32" s="24"/>
      <c r="I32" s="24"/>
      <c r="J32" s="10"/>
    </row>
    <row r="33" spans="1:10" x14ac:dyDescent="0.2">
      <c r="A33" s="3">
        <v>22</v>
      </c>
      <c r="B33" s="13" t="s">
        <v>187</v>
      </c>
      <c r="C33" s="15"/>
      <c r="D33" s="15"/>
      <c r="E33" s="15"/>
      <c r="F33" s="15"/>
      <c r="G33" s="24">
        <v>1</v>
      </c>
      <c r="H33" s="24">
        <v>2</v>
      </c>
      <c r="I33" s="24"/>
      <c r="J33" s="10"/>
    </row>
    <row r="34" spans="1:10" x14ac:dyDescent="0.2">
      <c r="A34" s="3">
        <v>23</v>
      </c>
      <c r="B34" s="14"/>
      <c r="C34" s="15"/>
      <c r="D34" s="15"/>
      <c r="E34" s="15"/>
      <c r="F34" s="15"/>
      <c r="G34" s="24"/>
      <c r="H34" s="24"/>
      <c r="I34" s="24"/>
      <c r="J34" s="10"/>
    </row>
    <row r="35" spans="1:10" x14ac:dyDescent="0.2">
      <c r="A35" s="3">
        <v>24</v>
      </c>
      <c r="B35" s="15" t="s">
        <v>188</v>
      </c>
      <c r="C35" s="15"/>
      <c r="G35" s="24">
        <v>5</v>
      </c>
      <c r="H35" s="24">
        <v>10</v>
      </c>
      <c r="I35" s="24"/>
      <c r="J35" s="10"/>
    </row>
    <row r="36" spans="1:10" x14ac:dyDescent="0.2">
      <c r="A36" s="3">
        <v>25</v>
      </c>
      <c r="B36" s="13"/>
      <c r="C36" s="15"/>
      <c r="D36" s="15"/>
      <c r="E36" s="15"/>
      <c r="F36" s="15"/>
      <c r="G36" s="9"/>
      <c r="H36" s="9"/>
      <c r="I36" s="24"/>
      <c r="J36" s="10"/>
    </row>
    <row r="37" spans="1:10" x14ac:dyDescent="0.2">
      <c r="A37" s="3">
        <v>26</v>
      </c>
      <c r="B37" s="223" t="s">
        <v>216</v>
      </c>
      <c r="C37" s="223"/>
      <c r="D37" s="223"/>
      <c r="E37" s="223"/>
      <c r="F37" s="223"/>
      <c r="G37" s="224">
        <v>2</v>
      </c>
      <c r="H37" s="224">
        <v>4</v>
      </c>
      <c r="I37" s="24"/>
      <c r="J37" s="10"/>
    </row>
    <row r="38" spans="1:10" x14ac:dyDescent="0.2">
      <c r="A38" s="3">
        <v>27</v>
      </c>
      <c r="B38" s="13"/>
      <c r="C38" s="15"/>
      <c r="G38" s="9"/>
      <c r="H38" s="9"/>
    </row>
    <row r="39" spans="1:10" x14ac:dyDescent="0.2">
      <c r="A39" s="3">
        <v>28</v>
      </c>
      <c r="B39" s="13" t="s">
        <v>190</v>
      </c>
      <c r="C39" s="15"/>
      <c r="G39" s="24">
        <v>1</v>
      </c>
      <c r="H39" s="24">
        <v>1</v>
      </c>
    </row>
    <row r="40" spans="1:10" x14ac:dyDescent="0.2">
      <c r="A40" s="3">
        <v>29</v>
      </c>
      <c r="C40" t="s">
        <v>22</v>
      </c>
      <c r="G40" s="9">
        <v>1</v>
      </c>
      <c r="H40" s="9">
        <v>2</v>
      </c>
    </row>
    <row r="41" spans="1:10" x14ac:dyDescent="0.2">
      <c r="A41" s="3">
        <v>30</v>
      </c>
      <c r="C41" t="s">
        <v>218</v>
      </c>
      <c r="G41" s="24">
        <v>1</v>
      </c>
      <c r="H41" s="24">
        <v>2</v>
      </c>
    </row>
    <row r="42" spans="1:10" x14ac:dyDescent="0.2">
      <c r="A42" s="3">
        <v>31</v>
      </c>
      <c r="C42" t="s">
        <v>241</v>
      </c>
      <c r="G42" s="24">
        <v>1</v>
      </c>
      <c r="H42" s="24">
        <v>2</v>
      </c>
    </row>
  </sheetData>
  <mergeCells count="1">
    <mergeCell ref="B8:P8"/>
  </mergeCells>
  <pageMargins left="0.25" right="0.25" top="0.75" bottom="0.75" header="0.511811023622047" footer="0.511811023622047"/>
  <pageSetup scale="79"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DE5C5-702C-2E41-BA05-6EC24A70B9D4}">
  <sheetPr>
    <pageSetUpPr fitToPage="1"/>
  </sheetPr>
  <dimension ref="A2:Q38"/>
  <sheetViews>
    <sheetView zoomScaleNormal="100" zoomScaleSheetLayoutView="80" workbookViewId="0">
      <selection activeCell="A2" sqref="A2:Q38"/>
    </sheetView>
  </sheetViews>
  <sheetFormatPr baseColWidth="10" defaultColWidth="10.6640625" defaultRowHeight="16" x14ac:dyDescent="0.2"/>
  <cols>
    <col min="2" max="2" width="3.5" customWidth="1"/>
    <col min="16" max="16" width="16.83203125" customWidth="1"/>
  </cols>
  <sheetData>
    <row r="2" spans="1:17" x14ac:dyDescent="0.2">
      <c r="B2" s="1" t="s">
        <v>0</v>
      </c>
    </row>
    <row r="3" spans="1:17" x14ac:dyDescent="0.2">
      <c r="B3" t="s">
        <v>1</v>
      </c>
    </row>
    <row r="4" spans="1:17" x14ac:dyDescent="0.2">
      <c r="B4" t="s">
        <v>2</v>
      </c>
    </row>
    <row r="5" spans="1:17" x14ac:dyDescent="0.2">
      <c r="B5" s="160" t="s">
        <v>238</v>
      </c>
    </row>
    <row r="6" spans="1:17" x14ac:dyDescent="0.2">
      <c r="B6" t="s">
        <v>168</v>
      </c>
    </row>
    <row r="8" spans="1:17" x14ac:dyDescent="0.2">
      <c r="B8" s="403" t="s">
        <v>4</v>
      </c>
      <c r="C8" s="403"/>
      <c r="D8" s="403"/>
      <c r="E8" s="403"/>
      <c r="F8" s="403"/>
      <c r="G8" s="403"/>
      <c r="H8" s="403"/>
      <c r="I8" s="403"/>
      <c r="J8" s="403"/>
      <c r="K8" s="403"/>
      <c r="L8" s="403"/>
      <c r="M8" s="403"/>
      <c r="N8" s="403"/>
      <c r="O8" s="403"/>
      <c r="P8" s="403"/>
    </row>
    <row r="9" spans="1:17" x14ac:dyDescent="0.2">
      <c r="B9" s="3"/>
      <c r="C9" s="3"/>
      <c r="D9" s="3"/>
      <c r="E9" s="3"/>
      <c r="F9" s="3"/>
      <c r="G9" s="3"/>
      <c r="H9" s="3"/>
      <c r="I9" s="3"/>
      <c r="J9" s="3"/>
      <c r="K9" s="3"/>
      <c r="L9" s="3"/>
      <c r="M9" s="3"/>
      <c r="N9" s="3"/>
      <c r="O9" s="3"/>
      <c r="P9" s="3"/>
    </row>
    <row r="10" spans="1:17" x14ac:dyDescent="0.2">
      <c r="B10" t="s">
        <v>5</v>
      </c>
      <c r="C10" s="3"/>
      <c r="D10" s="3"/>
      <c r="E10" s="3"/>
      <c r="F10" s="3"/>
      <c r="G10" s="3"/>
      <c r="H10" s="3"/>
      <c r="I10" s="3"/>
      <c r="J10" s="3"/>
      <c r="K10" s="3"/>
      <c r="L10" s="3"/>
      <c r="M10" s="3"/>
      <c r="N10" s="3"/>
      <c r="O10" s="3"/>
      <c r="P10" s="3"/>
    </row>
    <row r="12" spans="1:17" x14ac:dyDescent="0.2">
      <c r="A12" s="3">
        <v>1</v>
      </c>
      <c r="B12" s="4" t="s">
        <v>226</v>
      </c>
      <c r="C12" s="5"/>
      <c r="D12" s="5"/>
      <c r="E12" s="5"/>
      <c r="F12" s="5"/>
      <c r="G12" s="5"/>
      <c r="H12" s="5"/>
      <c r="I12" s="5"/>
      <c r="J12" s="5"/>
      <c r="K12" s="5"/>
      <c r="L12" s="5"/>
      <c r="M12" s="5"/>
      <c r="N12" s="5"/>
      <c r="O12" s="5"/>
      <c r="P12" s="5"/>
      <c r="Q12" s="5"/>
    </row>
    <row r="13" spans="1:17" x14ac:dyDescent="0.2">
      <c r="A13" s="3">
        <v>2</v>
      </c>
    </row>
    <row r="14" spans="1:17" x14ac:dyDescent="0.2">
      <c r="A14" s="3">
        <v>3</v>
      </c>
      <c r="G14" s="221" t="s">
        <v>242</v>
      </c>
      <c r="H14" s="221"/>
      <c r="I14" s="221"/>
    </row>
    <row r="15" spans="1:17" x14ac:dyDescent="0.2">
      <c r="A15" s="3">
        <v>4</v>
      </c>
      <c r="B15" s="6"/>
      <c r="C15" s="6"/>
      <c r="D15" s="6"/>
      <c r="G15" s="7" t="s">
        <v>8</v>
      </c>
      <c r="H15" s="7" t="s">
        <v>9</v>
      </c>
      <c r="I15" s="7"/>
    </row>
    <row r="16" spans="1:17" x14ac:dyDescent="0.2">
      <c r="A16" s="3">
        <v>5</v>
      </c>
      <c r="B16" s="222"/>
      <c r="C16" s="161"/>
      <c r="D16" s="161"/>
      <c r="E16" s="15"/>
      <c r="G16" s="7"/>
      <c r="H16" s="7"/>
      <c r="I16" s="7"/>
    </row>
    <row r="17" spans="1:10" x14ac:dyDescent="0.2">
      <c r="A17" s="3">
        <v>6</v>
      </c>
      <c r="B17" t="s">
        <v>227</v>
      </c>
      <c r="D17" s="15"/>
      <c r="E17" s="15"/>
      <c r="F17" s="15"/>
      <c r="G17" s="24"/>
      <c r="H17" s="24"/>
      <c r="I17" s="24"/>
      <c r="J17" s="10"/>
    </row>
    <row r="18" spans="1:10" x14ac:dyDescent="0.2">
      <c r="A18" s="3">
        <v>7</v>
      </c>
      <c r="C18" t="s">
        <v>228</v>
      </c>
      <c r="D18" s="15"/>
      <c r="E18" s="15"/>
      <c r="F18" s="15"/>
      <c r="G18" s="24">
        <v>3</v>
      </c>
      <c r="H18" s="24">
        <v>4</v>
      </c>
      <c r="I18" s="24"/>
      <c r="J18" s="10"/>
    </row>
    <row r="19" spans="1:10" x14ac:dyDescent="0.2">
      <c r="A19" s="3">
        <v>8</v>
      </c>
      <c r="D19" s="15"/>
      <c r="E19" s="15"/>
      <c r="F19" s="15"/>
      <c r="G19" s="24"/>
      <c r="H19" s="24"/>
      <c r="I19" s="24"/>
      <c r="J19" s="10"/>
    </row>
    <row r="20" spans="1:10" x14ac:dyDescent="0.2">
      <c r="A20" s="3">
        <v>9</v>
      </c>
      <c r="B20" s="222" t="s">
        <v>229</v>
      </c>
      <c r="C20" s="15"/>
      <c r="D20" s="15"/>
      <c r="E20" s="15"/>
      <c r="F20" s="15"/>
      <c r="G20" s="24">
        <v>1</v>
      </c>
      <c r="H20" s="24">
        <v>1</v>
      </c>
      <c r="I20" s="24"/>
      <c r="J20" s="10"/>
    </row>
    <row r="21" spans="1:10" x14ac:dyDescent="0.2">
      <c r="A21" s="3">
        <v>10</v>
      </c>
      <c r="B21" s="13"/>
      <c r="C21" s="15"/>
      <c r="D21" s="15"/>
      <c r="E21" s="15"/>
      <c r="F21" s="15"/>
      <c r="G21" s="24"/>
      <c r="H21" s="24"/>
      <c r="I21" s="24"/>
      <c r="J21" s="10"/>
    </row>
    <row r="22" spans="1:10" x14ac:dyDescent="0.2">
      <c r="A22" s="3">
        <v>11</v>
      </c>
      <c r="B22" s="13" t="s">
        <v>233</v>
      </c>
      <c r="C22" s="15"/>
      <c r="D22" s="15"/>
      <c r="E22" s="15"/>
      <c r="F22" s="15"/>
      <c r="G22" s="24"/>
      <c r="H22" s="24"/>
      <c r="I22" s="24"/>
      <c r="J22" s="10"/>
    </row>
    <row r="23" spans="1:10" x14ac:dyDescent="0.2">
      <c r="A23" s="3">
        <v>12</v>
      </c>
      <c r="B23" s="13"/>
      <c r="C23" t="s">
        <v>224</v>
      </c>
      <c r="D23" s="15"/>
      <c r="E23" s="15"/>
      <c r="F23" s="15"/>
      <c r="G23" s="24">
        <v>2</v>
      </c>
      <c r="H23" s="24">
        <v>2</v>
      </c>
      <c r="I23" s="24"/>
      <c r="J23" s="10"/>
    </row>
    <row r="24" spans="1:10" x14ac:dyDescent="0.2">
      <c r="A24" s="3">
        <v>13</v>
      </c>
      <c r="C24" t="s">
        <v>231</v>
      </c>
      <c r="E24" s="15"/>
      <c r="F24" s="15"/>
      <c r="G24" s="24">
        <v>2</v>
      </c>
      <c r="H24" s="24">
        <v>2</v>
      </c>
      <c r="I24" s="24"/>
      <c r="J24" s="10"/>
    </row>
    <row r="25" spans="1:10" x14ac:dyDescent="0.2">
      <c r="A25" s="3">
        <v>14</v>
      </c>
      <c r="C25" t="s">
        <v>232</v>
      </c>
      <c r="G25" s="24">
        <v>2</v>
      </c>
      <c r="H25" s="24">
        <v>2</v>
      </c>
      <c r="J25" s="10"/>
    </row>
    <row r="26" spans="1:10" x14ac:dyDescent="0.2">
      <c r="A26" s="3">
        <v>15</v>
      </c>
      <c r="J26" s="10"/>
    </row>
    <row r="27" spans="1:10" x14ac:dyDescent="0.2">
      <c r="A27" s="3">
        <v>16</v>
      </c>
      <c r="B27" s="13" t="s">
        <v>230</v>
      </c>
      <c r="C27" s="15"/>
      <c r="D27" s="15"/>
      <c r="E27" s="15"/>
      <c r="F27" s="15"/>
      <c r="G27" s="24">
        <v>1</v>
      </c>
      <c r="H27" s="24">
        <v>1</v>
      </c>
      <c r="I27" s="24"/>
      <c r="J27" s="10"/>
    </row>
    <row r="28" spans="1:10" x14ac:dyDescent="0.2">
      <c r="A28" s="3">
        <v>17</v>
      </c>
      <c r="C28" s="15"/>
      <c r="D28" s="15"/>
      <c r="E28" s="15"/>
      <c r="F28" s="15"/>
      <c r="G28" s="24"/>
      <c r="H28" s="24"/>
      <c r="I28" s="24"/>
      <c r="J28" s="10"/>
    </row>
    <row r="29" spans="1:10" x14ac:dyDescent="0.2">
      <c r="A29" s="3">
        <v>18</v>
      </c>
      <c r="B29" s="13" t="s">
        <v>190</v>
      </c>
      <c r="C29" s="15"/>
      <c r="D29" s="15"/>
      <c r="E29" s="15"/>
      <c r="F29" s="15"/>
      <c r="G29" s="24">
        <v>1</v>
      </c>
      <c r="H29" s="24">
        <v>1</v>
      </c>
      <c r="I29" s="24"/>
      <c r="J29" s="10"/>
    </row>
    <row r="30" spans="1:10" x14ac:dyDescent="0.2">
      <c r="A30" s="3">
        <v>19</v>
      </c>
      <c r="B30" s="13"/>
      <c r="C30" t="s">
        <v>22</v>
      </c>
      <c r="G30" s="9">
        <v>1</v>
      </c>
      <c r="H30" s="9">
        <v>2</v>
      </c>
      <c r="I30" s="24"/>
      <c r="J30" s="10"/>
    </row>
    <row r="31" spans="1:10" x14ac:dyDescent="0.2">
      <c r="A31" s="3">
        <v>20</v>
      </c>
      <c r="C31" t="s">
        <v>218</v>
      </c>
      <c r="G31" s="24">
        <v>1</v>
      </c>
      <c r="H31" s="24">
        <v>2</v>
      </c>
    </row>
    <row r="32" spans="1:10" x14ac:dyDescent="0.2">
      <c r="A32" s="3">
        <v>21</v>
      </c>
      <c r="C32" t="s">
        <v>241</v>
      </c>
      <c r="G32" s="24">
        <v>1</v>
      </c>
      <c r="H32" s="24">
        <v>2</v>
      </c>
    </row>
    <row r="33" spans="1:10" x14ac:dyDescent="0.2">
      <c r="A33" s="3">
        <v>22</v>
      </c>
      <c r="B33" s="13"/>
    </row>
    <row r="34" spans="1:10" x14ac:dyDescent="0.2">
      <c r="A34" s="3">
        <v>23</v>
      </c>
      <c r="B34" s="13" t="s">
        <v>234</v>
      </c>
      <c r="C34" s="15"/>
      <c r="D34" s="15"/>
      <c r="E34" s="15"/>
      <c r="F34" s="15"/>
      <c r="G34" s="24">
        <v>1</v>
      </c>
      <c r="H34" s="24">
        <v>1</v>
      </c>
      <c r="I34" s="24"/>
      <c r="J34" s="10"/>
    </row>
    <row r="35" spans="1:10" x14ac:dyDescent="0.2">
      <c r="A35" s="3">
        <v>24</v>
      </c>
      <c r="B35" s="13"/>
      <c r="C35" s="15"/>
    </row>
    <row r="36" spans="1:10" ht="16" customHeight="1" x14ac:dyDescent="0.2">
      <c r="A36" s="3">
        <v>25</v>
      </c>
      <c r="B36" s="404" t="s">
        <v>248</v>
      </c>
      <c r="C36" s="404"/>
      <c r="D36" s="404"/>
      <c r="E36" s="404"/>
      <c r="F36" s="404"/>
      <c r="G36" s="404"/>
      <c r="H36" s="404"/>
      <c r="I36" s="404"/>
    </row>
    <row r="37" spans="1:10" x14ac:dyDescent="0.2">
      <c r="B37" s="404"/>
      <c r="C37" s="404"/>
      <c r="D37" s="404"/>
      <c r="E37" s="404"/>
      <c r="F37" s="404"/>
      <c r="G37" s="404"/>
      <c r="H37" s="404"/>
      <c r="I37" s="404"/>
    </row>
    <row r="38" spans="1:10" x14ac:dyDescent="0.2">
      <c r="B38" s="404"/>
      <c r="C38" s="404"/>
      <c r="D38" s="404"/>
      <c r="E38" s="404"/>
      <c r="F38" s="404"/>
      <c r="G38" s="404"/>
      <c r="H38" s="404"/>
      <c r="I38" s="404"/>
    </row>
  </sheetData>
  <mergeCells count="2">
    <mergeCell ref="B8:P8"/>
    <mergeCell ref="B36:I38"/>
  </mergeCells>
  <pageMargins left="0.25" right="0.25" top="0.75" bottom="0.75" header="0.511811023622047" footer="0.511811023622047"/>
  <pageSetup scale="79"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5A267-7FA2-1D46-8369-C568CBB4F54B}">
  <sheetPr>
    <pageSetUpPr fitToPage="1"/>
  </sheetPr>
  <dimension ref="A2:Q31"/>
  <sheetViews>
    <sheetView zoomScaleNormal="100" zoomScaleSheetLayoutView="80" workbookViewId="0">
      <selection activeCell="C25" sqref="C25:H27"/>
    </sheetView>
  </sheetViews>
  <sheetFormatPr baseColWidth="10" defaultColWidth="10.6640625" defaultRowHeight="16" x14ac:dyDescent="0.2"/>
  <cols>
    <col min="2" max="2" width="3.5" customWidth="1"/>
    <col min="6" max="6" width="16.1640625" customWidth="1"/>
    <col min="16" max="16" width="16.83203125" customWidth="1"/>
  </cols>
  <sheetData>
    <row r="2" spans="1:17" x14ac:dyDescent="0.2">
      <c r="B2" s="1" t="s">
        <v>0</v>
      </c>
    </row>
    <row r="3" spans="1:17" x14ac:dyDescent="0.2">
      <c r="B3" t="s">
        <v>1</v>
      </c>
    </row>
    <row r="4" spans="1:17" x14ac:dyDescent="0.2">
      <c r="B4" t="s">
        <v>2</v>
      </c>
    </row>
    <row r="5" spans="1:17" x14ac:dyDescent="0.2">
      <c r="B5" s="160" t="s">
        <v>238</v>
      </c>
    </row>
    <row r="6" spans="1:17" x14ac:dyDescent="0.2">
      <c r="B6" t="s">
        <v>168</v>
      </c>
    </row>
    <row r="8" spans="1:17" x14ac:dyDescent="0.2">
      <c r="B8" s="403" t="s">
        <v>4</v>
      </c>
      <c r="C8" s="403"/>
      <c r="D8" s="403"/>
      <c r="E8" s="403"/>
      <c r="F8" s="403"/>
      <c r="G8" s="403"/>
      <c r="H8" s="403"/>
      <c r="I8" s="403"/>
      <c r="J8" s="403"/>
      <c r="K8" s="403"/>
      <c r="L8" s="403"/>
      <c r="M8" s="403"/>
      <c r="N8" s="403"/>
      <c r="O8" s="403"/>
      <c r="P8" s="403"/>
    </row>
    <row r="9" spans="1:17" x14ac:dyDescent="0.2">
      <c r="B9" s="3"/>
      <c r="C9" s="3"/>
      <c r="D9" s="3"/>
      <c r="E9" s="3"/>
      <c r="F9" s="3"/>
      <c r="G9" s="3"/>
      <c r="H9" s="3"/>
      <c r="I9" s="3"/>
      <c r="J9" s="3"/>
      <c r="K9" s="3"/>
      <c r="L9" s="3"/>
      <c r="M9" s="3"/>
      <c r="N9" s="3"/>
      <c r="O9" s="3"/>
      <c r="P9" s="3"/>
    </row>
    <row r="10" spans="1:17" x14ac:dyDescent="0.2">
      <c r="B10" t="s">
        <v>5</v>
      </c>
      <c r="C10" s="3"/>
      <c r="D10" s="3"/>
      <c r="E10" s="3"/>
      <c r="F10" s="3"/>
      <c r="G10" s="3"/>
      <c r="H10" s="3"/>
      <c r="I10" s="3"/>
      <c r="J10" s="3"/>
      <c r="K10" s="3"/>
      <c r="L10" s="3"/>
      <c r="M10" s="3"/>
      <c r="N10" s="3"/>
      <c r="O10" s="3"/>
      <c r="P10" s="3"/>
    </row>
    <row r="12" spans="1:17" x14ac:dyDescent="0.2">
      <c r="A12" s="3">
        <v>1</v>
      </c>
      <c r="B12" s="4" t="s">
        <v>194</v>
      </c>
      <c r="C12" s="5"/>
      <c r="D12" s="5"/>
      <c r="E12" s="5"/>
      <c r="F12" s="5"/>
      <c r="G12" s="5"/>
      <c r="H12" s="5"/>
      <c r="I12" s="5"/>
      <c r="J12" s="5"/>
      <c r="K12" s="5"/>
      <c r="L12" s="5"/>
      <c r="M12" s="5"/>
      <c r="N12" s="5"/>
      <c r="O12" s="5"/>
      <c r="P12" s="5"/>
      <c r="Q12" s="5"/>
    </row>
    <row r="13" spans="1:17" x14ac:dyDescent="0.2">
      <c r="A13" s="3">
        <v>2</v>
      </c>
    </row>
    <row r="14" spans="1:17" x14ac:dyDescent="0.2">
      <c r="A14" s="3">
        <v>3</v>
      </c>
      <c r="G14" s="221" t="s">
        <v>242</v>
      </c>
      <c r="H14" s="221"/>
      <c r="I14" s="221"/>
    </row>
    <row r="15" spans="1:17" x14ac:dyDescent="0.2">
      <c r="A15" s="3">
        <v>4</v>
      </c>
      <c r="B15" s="6"/>
      <c r="C15" s="6"/>
      <c r="D15" s="6"/>
      <c r="G15" s="7" t="s">
        <v>8</v>
      </c>
      <c r="H15" s="7" t="s">
        <v>9</v>
      </c>
      <c r="I15" s="7"/>
    </row>
    <row r="16" spans="1:17" x14ac:dyDescent="0.2">
      <c r="A16" s="3">
        <v>5</v>
      </c>
      <c r="B16" s="222"/>
      <c r="C16" s="161"/>
      <c r="D16" s="161"/>
      <c r="E16" s="15"/>
      <c r="G16" s="7"/>
      <c r="H16" s="7"/>
      <c r="I16" s="7"/>
    </row>
    <row r="17" spans="1:10" x14ac:dyDescent="0.2">
      <c r="A17" s="3">
        <v>6</v>
      </c>
      <c r="B17" t="s">
        <v>224</v>
      </c>
      <c r="D17" s="15"/>
      <c r="E17" s="15"/>
      <c r="F17" s="15"/>
      <c r="G17" s="24">
        <v>2</v>
      </c>
      <c r="H17" s="24">
        <v>3</v>
      </c>
      <c r="I17" s="24"/>
      <c r="J17" s="10"/>
    </row>
    <row r="18" spans="1:10" x14ac:dyDescent="0.2">
      <c r="A18" s="3">
        <v>7</v>
      </c>
      <c r="D18" s="15"/>
      <c r="E18" s="15"/>
      <c r="F18" s="15"/>
      <c r="G18" s="24"/>
      <c r="H18" s="24"/>
      <c r="I18" s="24"/>
      <c r="J18" s="10"/>
    </row>
    <row r="19" spans="1:10" x14ac:dyDescent="0.2">
      <c r="A19" s="3">
        <v>8</v>
      </c>
      <c r="B19" t="s">
        <v>235</v>
      </c>
      <c r="D19" s="15"/>
      <c r="E19" s="15"/>
      <c r="F19" s="15"/>
      <c r="G19" s="24">
        <v>2</v>
      </c>
      <c r="H19" s="24">
        <v>4</v>
      </c>
      <c r="I19" s="24"/>
      <c r="J19" s="10"/>
    </row>
    <row r="20" spans="1:10" x14ac:dyDescent="0.2">
      <c r="A20" s="3">
        <v>9</v>
      </c>
      <c r="B20" t="s">
        <v>232</v>
      </c>
      <c r="C20" s="15"/>
      <c r="D20" s="15"/>
      <c r="E20" s="15"/>
      <c r="F20" s="15"/>
      <c r="G20" s="24">
        <v>2</v>
      </c>
      <c r="H20" s="24">
        <v>4</v>
      </c>
      <c r="I20" s="24"/>
      <c r="J20" s="10"/>
    </row>
    <row r="21" spans="1:10" x14ac:dyDescent="0.2">
      <c r="A21" s="3">
        <v>10</v>
      </c>
      <c r="B21" s="14"/>
      <c r="C21" s="15"/>
      <c r="D21" s="15"/>
      <c r="E21" s="15"/>
      <c r="F21" s="15"/>
      <c r="G21" s="24"/>
      <c r="H21" s="24"/>
      <c r="I21" s="24"/>
      <c r="J21" s="10"/>
    </row>
    <row r="22" spans="1:10" x14ac:dyDescent="0.2">
      <c r="A22" s="3">
        <v>11</v>
      </c>
      <c r="B22" t="s">
        <v>247</v>
      </c>
      <c r="G22" s="24">
        <v>1</v>
      </c>
      <c r="H22" s="24">
        <v>1</v>
      </c>
      <c r="I22" s="24"/>
      <c r="J22" s="10"/>
    </row>
    <row r="23" spans="1:10" x14ac:dyDescent="0.2">
      <c r="A23" s="3">
        <v>12</v>
      </c>
      <c r="I23" s="24"/>
      <c r="J23" s="10"/>
    </row>
    <row r="24" spans="1:10" x14ac:dyDescent="0.2">
      <c r="A24" s="3">
        <v>13</v>
      </c>
      <c r="B24" s="225" t="s">
        <v>225</v>
      </c>
      <c r="C24" s="223"/>
      <c r="D24" s="223"/>
      <c r="E24" s="223"/>
      <c r="F24" s="223"/>
      <c r="G24" s="224">
        <v>1</v>
      </c>
      <c r="H24" s="224">
        <v>1</v>
      </c>
      <c r="I24" s="24"/>
      <c r="J24" s="10"/>
    </row>
    <row r="25" spans="1:10" x14ac:dyDescent="0.2">
      <c r="A25" s="3">
        <v>14</v>
      </c>
      <c r="C25" t="s">
        <v>22</v>
      </c>
      <c r="G25" s="9">
        <v>1</v>
      </c>
      <c r="H25" s="9">
        <v>2</v>
      </c>
      <c r="I25" s="24"/>
      <c r="J25" s="10"/>
    </row>
    <row r="26" spans="1:10" x14ac:dyDescent="0.2">
      <c r="A26" s="3">
        <v>15</v>
      </c>
      <c r="C26" t="s">
        <v>218</v>
      </c>
      <c r="G26" s="24">
        <v>1</v>
      </c>
      <c r="H26" s="24">
        <v>2</v>
      </c>
      <c r="I26" s="11"/>
    </row>
    <row r="27" spans="1:10" x14ac:dyDescent="0.2">
      <c r="A27" s="3">
        <v>16</v>
      </c>
      <c r="C27" t="s">
        <v>241</v>
      </c>
      <c r="G27" s="24">
        <v>1</v>
      </c>
      <c r="H27" s="24">
        <v>2</v>
      </c>
    </row>
    <row r="28" spans="1:10" x14ac:dyDescent="0.2">
      <c r="A28" s="3"/>
      <c r="B28" s="13"/>
      <c r="C28" s="15"/>
      <c r="G28" s="24"/>
      <c r="H28" s="24"/>
    </row>
    <row r="29" spans="1:10" x14ac:dyDescent="0.2">
      <c r="A29" s="3"/>
    </row>
    <row r="30" spans="1:10" x14ac:dyDescent="0.2">
      <c r="A30" s="3"/>
      <c r="B30" s="13"/>
    </row>
    <row r="31" spans="1:10" x14ac:dyDescent="0.2">
      <c r="A31" s="3"/>
    </row>
  </sheetData>
  <mergeCells count="1">
    <mergeCell ref="B8:P8"/>
  </mergeCells>
  <pageMargins left="0.25" right="0.25" top="0.75" bottom="0.75" header="0.511811023622047" footer="0.511811023622047"/>
  <pageSetup scale="76"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82368-8995-B241-93E7-E1E230E6C880}">
  <sheetPr>
    <pageSetUpPr fitToPage="1"/>
  </sheetPr>
  <dimension ref="A2:Q44"/>
  <sheetViews>
    <sheetView zoomScaleNormal="100" zoomScaleSheetLayoutView="80" workbookViewId="0">
      <selection sqref="A1:Q23"/>
    </sheetView>
  </sheetViews>
  <sheetFormatPr baseColWidth="10" defaultColWidth="10.6640625" defaultRowHeight="16" x14ac:dyDescent="0.2"/>
  <cols>
    <col min="2" max="2" width="3.5" customWidth="1"/>
    <col min="16" max="16" width="16.83203125" customWidth="1"/>
  </cols>
  <sheetData>
    <row r="2" spans="1:17" x14ac:dyDescent="0.2">
      <c r="B2" s="1" t="s">
        <v>0</v>
      </c>
    </row>
    <row r="3" spans="1:17" x14ac:dyDescent="0.2">
      <c r="B3" t="s">
        <v>1</v>
      </c>
    </row>
    <row r="4" spans="1:17" x14ac:dyDescent="0.2">
      <c r="B4" t="s">
        <v>2</v>
      </c>
    </row>
    <row r="5" spans="1:17" x14ac:dyDescent="0.2">
      <c r="B5" s="160" t="s">
        <v>238</v>
      </c>
    </row>
    <row r="6" spans="1:17" x14ac:dyDescent="0.2">
      <c r="B6" t="s">
        <v>168</v>
      </c>
    </row>
    <row r="8" spans="1:17" x14ac:dyDescent="0.2">
      <c r="B8" s="403" t="s">
        <v>4</v>
      </c>
      <c r="C8" s="403"/>
      <c r="D8" s="403"/>
      <c r="E8" s="403"/>
      <c r="F8" s="403"/>
      <c r="G8" s="403"/>
      <c r="H8" s="403"/>
      <c r="I8" s="403"/>
      <c r="J8" s="403"/>
      <c r="K8" s="403"/>
      <c r="L8" s="403"/>
      <c r="M8" s="403"/>
      <c r="N8" s="403"/>
      <c r="O8" s="403"/>
      <c r="P8" s="403"/>
    </row>
    <row r="9" spans="1:17" x14ac:dyDescent="0.2">
      <c r="B9" s="3"/>
      <c r="C9" s="3"/>
      <c r="D9" s="3"/>
      <c r="E9" s="3"/>
      <c r="F9" s="3"/>
      <c r="G9" s="3"/>
      <c r="H9" s="3"/>
      <c r="I9" s="3"/>
      <c r="J9" s="3"/>
      <c r="K9" s="3"/>
      <c r="L9" s="3"/>
      <c r="M9" s="3"/>
      <c r="N9" s="3"/>
      <c r="O9" s="3"/>
      <c r="P9" s="3"/>
    </row>
    <row r="10" spans="1:17" x14ac:dyDescent="0.2">
      <c r="B10" t="s">
        <v>5</v>
      </c>
      <c r="C10" s="3"/>
      <c r="D10" s="3"/>
      <c r="E10" s="3"/>
      <c r="F10" s="3"/>
      <c r="G10" s="3"/>
      <c r="H10" s="3"/>
      <c r="I10" s="3"/>
      <c r="J10" s="3"/>
      <c r="K10" s="3"/>
      <c r="L10" s="3"/>
      <c r="M10" s="3"/>
      <c r="N10" s="3"/>
      <c r="O10" s="3"/>
      <c r="P10" s="3"/>
    </row>
    <row r="12" spans="1:17" x14ac:dyDescent="0.2">
      <c r="A12" s="3">
        <v>1</v>
      </c>
      <c r="B12" s="4" t="s">
        <v>246</v>
      </c>
      <c r="C12" s="5"/>
      <c r="D12" s="5"/>
      <c r="E12" s="5"/>
      <c r="F12" s="5"/>
      <c r="G12" s="5"/>
      <c r="H12" s="5"/>
      <c r="I12" s="5"/>
      <c r="J12" s="5"/>
      <c r="K12" s="5"/>
      <c r="L12" s="5"/>
      <c r="M12" s="5"/>
      <c r="N12" s="5"/>
      <c r="O12" s="5"/>
      <c r="P12" s="5"/>
      <c r="Q12" s="5"/>
    </row>
    <row r="13" spans="1:17" x14ac:dyDescent="0.2">
      <c r="A13" s="3">
        <v>2</v>
      </c>
    </row>
    <row r="14" spans="1:17" x14ac:dyDescent="0.2">
      <c r="A14" s="3">
        <v>3</v>
      </c>
      <c r="G14" s="221" t="s">
        <v>242</v>
      </c>
      <c r="H14" s="221"/>
      <c r="I14" s="221"/>
    </row>
    <row r="15" spans="1:17" x14ac:dyDescent="0.2">
      <c r="A15" s="3">
        <v>4</v>
      </c>
      <c r="B15" s="6"/>
      <c r="C15" s="6"/>
      <c r="D15" s="6"/>
      <c r="G15" s="7" t="s">
        <v>8</v>
      </c>
      <c r="H15" s="7" t="s">
        <v>9</v>
      </c>
      <c r="I15" s="7"/>
    </row>
    <row r="16" spans="1:17" x14ac:dyDescent="0.2">
      <c r="A16" s="3">
        <v>5</v>
      </c>
      <c r="B16" s="222" t="s">
        <v>220</v>
      </c>
      <c r="C16" s="161"/>
      <c r="D16" s="161"/>
      <c r="E16" s="15"/>
      <c r="G16" s="7"/>
      <c r="H16" s="7"/>
      <c r="I16" s="7"/>
    </row>
    <row r="17" spans="1:10" x14ac:dyDescent="0.2">
      <c r="A17" s="3">
        <v>6</v>
      </c>
      <c r="C17" t="s">
        <v>221</v>
      </c>
      <c r="D17" s="15"/>
      <c r="E17" s="15"/>
      <c r="F17" s="15"/>
      <c r="G17" s="24">
        <v>1</v>
      </c>
      <c r="H17" s="24">
        <v>1</v>
      </c>
      <c r="I17" s="24"/>
      <c r="J17" s="10"/>
    </row>
    <row r="18" spans="1:10" x14ac:dyDescent="0.2">
      <c r="A18" s="3">
        <v>7</v>
      </c>
      <c r="C18" t="s">
        <v>209</v>
      </c>
      <c r="D18" s="15"/>
      <c r="E18" s="15"/>
      <c r="F18" s="15"/>
      <c r="G18" s="24">
        <v>1</v>
      </c>
      <c r="H18" s="24">
        <v>2</v>
      </c>
      <c r="I18" s="24"/>
      <c r="J18" s="10"/>
    </row>
    <row r="19" spans="1:10" x14ac:dyDescent="0.2">
      <c r="A19" s="3">
        <v>8</v>
      </c>
      <c r="D19" s="15"/>
      <c r="E19" s="15"/>
      <c r="F19" s="15"/>
      <c r="G19" s="24"/>
      <c r="H19" s="24"/>
      <c r="I19" s="24"/>
      <c r="J19" s="10"/>
    </row>
    <row r="20" spans="1:10" x14ac:dyDescent="0.2">
      <c r="A20" s="3">
        <v>9</v>
      </c>
      <c r="B20" s="222" t="s">
        <v>222</v>
      </c>
      <c r="C20" s="15"/>
      <c r="D20" s="15"/>
      <c r="E20" s="15"/>
      <c r="F20" s="15"/>
      <c r="G20" s="24"/>
      <c r="H20" s="24"/>
      <c r="I20" s="24"/>
      <c r="J20" s="10"/>
    </row>
    <row r="21" spans="1:10" x14ac:dyDescent="0.2">
      <c r="A21" s="3">
        <v>10</v>
      </c>
      <c r="B21" s="13"/>
      <c r="C21" s="15" t="s">
        <v>221</v>
      </c>
      <c r="D21" s="15"/>
      <c r="E21" s="15"/>
      <c r="F21" s="15"/>
      <c r="G21" s="24">
        <v>1</v>
      </c>
      <c r="H21" s="24">
        <v>2</v>
      </c>
      <c r="I21" s="24"/>
      <c r="J21" s="10"/>
    </row>
    <row r="22" spans="1:10" x14ac:dyDescent="0.2">
      <c r="A22" s="3">
        <v>11</v>
      </c>
      <c r="B22" s="13"/>
      <c r="C22" s="15"/>
      <c r="D22" s="15"/>
      <c r="E22" s="15"/>
      <c r="F22" s="15"/>
      <c r="G22" s="24"/>
      <c r="H22" s="24"/>
      <c r="I22" s="24"/>
      <c r="J22" s="10"/>
    </row>
    <row r="23" spans="1:10" x14ac:dyDescent="0.2">
      <c r="A23" s="3">
        <v>12</v>
      </c>
      <c r="B23" s="13" t="s">
        <v>223</v>
      </c>
      <c r="C23" s="15"/>
      <c r="D23" s="15"/>
      <c r="E23" s="15"/>
      <c r="F23" s="15"/>
      <c r="G23" s="24">
        <v>1</v>
      </c>
      <c r="H23" s="24">
        <v>1</v>
      </c>
      <c r="I23" s="24"/>
      <c r="J23" s="10"/>
    </row>
    <row r="24" spans="1:10" x14ac:dyDescent="0.2">
      <c r="A24" s="3"/>
      <c r="B24" s="13"/>
      <c r="C24" s="15"/>
      <c r="D24" s="15"/>
      <c r="E24" s="15"/>
      <c r="F24" s="15"/>
      <c r="G24" s="24"/>
      <c r="H24" s="24"/>
      <c r="I24" s="24"/>
      <c r="J24" s="10"/>
    </row>
    <row r="25" spans="1:10" x14ac:dyDescent="0.2">
      <c r="A25" s="3"/>
      <c r="B25" s="13"/>
      <c r="C25" s="15"/>
      <c r="D25" s="15"/>
      <c r="E25" s="15"/>
      <c r="F25" s="15"/>
      <c r="G25" s="24"/>
      <c r="H25" s="24"/>
      <c r="I25" s="24"/>
      <c r="J25" s="10"/>
    </row>
    <row r="26" spans="1:10" x14ac:dyDescent="0.2">
      <c r="A26" s="3"/>
      <c r="B26" s="13"/>
      <c r="C26" s="15"/>
      <c r="D26" s="15"/>
      <c r="E26" s="15"/>
      <c r="F26" s="15"/>
      <c r="G26" s="24"/>
      <c r="H26" s="24"/>
      <c r="I26" s="24"/>
      <c r="J26" s="10"/>
    </row>
    <row r="27" spans="1:10" x14ac:dyDescent="0.2">
      <c r="A27" s="3"/>
      <c r="B27" s="13"/>
      <c r="C27" s="15"/>
      <c r="D27" s="15"/>
      <c r="E27" s="15"/>
      <c r="F27" s="15"/>
      <c r="G27" s="24"/>
      <c r="H27" s="24"/>
      <c r="I27" s="24"/>
      <c r="J27" s="10"/>
    </row>
    <row r="28" spans="1:10" x14ac:dyDescent="0.2">
      <c r="A28" s="3"/>
      <c r="B28" s="13"/>
      <c r="C28" s="15"/>
      <c r="D28" s="15"/>
      <c r="E28" s="15"/>
      <c r="F28" s="15"/>
      <c r="G28" s="24"/>
      <c r="H28" s="24"/>
      <c r="I28" s="24"/>
      <c r="J28" s="10"/>
    </row>
    <row r="29" spans="1:10" x14ac:dyDescent="0.2">
      <c r="A29" s="3"/>
      <c r="B29" s="13"/>
      <c r="C29" s="15"/>
      <c r="D29" s="15"/>
      <c r="E29" s="15"/>
      <c r="F29" s="15"/>
      <c r="G29" s="24"/>
      <c r="H29" s="24"/>
      <c r="I29" s="24"/>
      <c r="J29" s="10"/>
    </row>
    <row r="30" spans="1:10" x14ac:dyDescent="0.2">
      <c r="A30" s="3"/>
      <c r="G30" s="11"/>
      <c r="H30" s="11"/>
      <c r="I30" s="24"/>
      <c r="J30" s="10"/>
    </row>
    <row r="31" spans="1:10" x14ac:dyDescent="0.2">
      <c r="A31" s="3"/>
      <c r="B31" s="13"/>
      <c r="C31" s="15"/>
      <c r="D31" s="15"/>
      <c r="E31" s="15"/>
      <c r="F31" s="15"/>
      <c r="G31" s="24"/>
      <c r="H31" s="24"/>
      <c r="I31" s="24"/>
      <c r="J31" s="10"/>
    </row>
    <row r="32" spans="1:10" x14ac:dyDescent="0.2">
      <c r="A32" s="3"/>
      <c r="C32" s="15"/>
      <c r="D32" s="15"/>
      <c r="E32" s="15"/>
      <c r="F32" s="15"/>
      <c r="G32" s="24"/>
      <c r="H32" s="24"/>
      <c r="I32" s="24"/>
      <c r="J32" s="10"/>
    </row>
    <row r="33" spans="1:10" x14ac:dyDescent="0.2">
      <c r="A33" s="3"/>
      <c r="B33" s="13"/>
      <c r="C33" s="15"/>
      <c r="D33" s="15"/>
      <c r="E33" s="15"/>
      <c r="F33" s="15"/>
      <c r="G33" s="24"/>
      <c r="H33" s="24"/>
      <c r="I33" s="24"/>
      <c r="J33" s="10"/>
    </row>
    <row r="34" spans="1:10" x14ac:dyDescent="0.2">
      <c r="A34" s="3"/>
      <c r="B34" s="14"/>
      <c r="C34" s="15"/>
      <c r="D34" s="15"/>
      <c r="E34" s="15"/>
      <c r="F34" s="15"/>
      <c r="G34" s="24"/>
      <c r="H34" s="24"/>
      <c r="I34" s="24"/>
      <c r="J34" s="10"/>
    </row>
    <row r="35" spans="1:10" x14ac:dyDescent="0.2">
      <c r="A35" s="3"/>
      <c r="B35" s="15"/>
      <c r="C35" s="15"/>
      <c r="G35" s="24"/>
      <c r="H35" s="24"/>
      <c r="I35" s="24"/>
      <c r="J35" s="10"/>
    </row>
    <row r="36" spans="1:10" x14ac:dyDescent="0.2">
      <c r="A36" s="3"/>
      <c r="B36" s="13"/>
      <c r="C36" s="15"/>
      <c r="D36" s="15"/>
      <c r="E36" s="15"/>
      <c r="F36" s="15"/>
      <c r="I36" s="24"/>
      <c r="J36" s="10"/>
    </row>
    <row r="37" spans="1:10" x14ac:dyDescent="0.2">
      <c r="A37" s="3"/>
      <c r="G37" s="24"/>
      <c r="H37" s="24"/>
      <c r="I37" s="24"/>
      <c r="J37" s="10"/>
    </row>
    <row r="38" spans="1:10" x14ac:dyDescent="0.2">
      <c r="A38" s="3"/>
      <c r="B38" s="13"/>
      <c r="C38" s="15"/>
      <c r="D38" s="15"/>
      <c r="F38" s="15"/>
      <c r="G38" s="24"/>
      <c r="H38" s="24"/>
      <c r="I38" s="24"/>
      <c r="J38" s="10"/>
    </row>
    <row r="39" spans="1:10" x14ac:dyDescent="0.2">
      <c r="A39" s="3"/>
      <c r="D39" s="15"/>
      <c r="E39" s="15"/>
      <c r="F39" s="15"/>
      <c r="G39" s="24"/>
      <c r="H39" s="24"/>
      <c r="I39" s="11"/>
    </row>
    <row r="40" spans="1:10" x14ac:dyDescent="0.2">
      <c r="A40" s="3"/>
      <c r="B40" s="13"/>
      <c r="C40" s="15"/>
    </row>
    <row r="41" spans="1:10" x14ac:dyDescent="0.2">
      <c r="A41" s="3"/>
      <c r="B41" s="13"/>
      <c r="C41" s="15"/>
      <c r="G41" s="24"/>
      <c r="H41" s="24"/>
    </row>
    <row r="42" spans="1:10" x14ac:dyDescent="0.2">
      <c r="A42" s="3"/>
    </row>
    <row r="43" spans="1:10" x14ac:dyDescent="0.2">
      <c r="A43" s="3"/>
      <c r="B43" s="13"/>
    </row>
    <row r="44" spans="1:10" x14ac:dyDescent="0.2">
      <c r="A44" s="3"/>
    </row>
  </sheetData>
  <mergeCells count="1">
    <mergeCell ref="B8:P8"/>
  </mergeCells>
  <pageMargins left="0.25" right="0.25" top="0.75" bottom="0.75" header="0.511811023622047" footer="0.511811023622047"/>
  <pageSetup scale="79"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6D6FA-F848-A34A-A07E-B76B16D0B5F4}">
  <sheetPr>
    <pageSetUpPr fitToPage="1"/>
  </sheetPr>
  <dimension ref="A2:Q45"/>
  <sheetViews>
    <sheetView zoomScaleNormal="100" zoomScaleSheetLayoutView="80" workbookViewId="0">
      <selection activeCell="A2" sqref="A2:Q44"/>
    </sheetView>
  </sheetViews>
  <sheetFormatPr baseColWidth="10" defaultColWidth="10.6640625" defaultRowHeight="16" x14ac:dyDescent="0.2"/>
  <cols>
    <col min="2" max="2" width="3.5" customWidth="1"/>
    <col min="16" max="16" width="16.83203125" customWidth="1"/>
  </cols>
  <sheetData>
    <row r="2" spans="1:17" x14ac:dyDescent="0.2">
      <c r="B2" s="1" t="s">
        <v>0</v>
      </c>
    </row>
    <row r="3" spans="1:17" x14ac:dyDescent="0.2">
      <c r="B3" t="s">
        <v>1</v>
      </c>
    </row>
    <row r="4" spans="1:17" x14ac:dyDescent="0.2">
      <c r="B4" t="s">
        <v>2</v>
      </c>
    </row>
    <row r="5" spans="1:17" x14ac:dyDescent="0.2">
      <c r="B5" s="160" t="s">
        <v>238</v>
      </c>
    </row>
    <row r="6" spans="1:17" x14ac:dyDescent="0.2">
      <c r="B6" t="s">
        <v>168</v>
      </c>
    </row>
    <row r="8" spans="1:17" x14ac:dyDescent="0.2">
      <c r="B8" s="403" t="s">
        <v>4</v>
      </c>
      <c r="C8" s="403"/>
      <c r="D8" s="403"/>
      <c r="E8" s="403"/>
      <c r="F8" s="403"/>
      <c r="G8" s="403"/>
      <c r="H8" s="403"/>
      <c r="I8" s="403"/>
      <c r="J8" s="403"/>
      <c r="K8" s="403"/>
      <c r="L8" s="403"/>
      <c r="M8" s="403"/>
      <c r="N8" s="403"/>
      <c r="O8" s="403"/>
      <c r="P8" s="403"/>
    </row>
    <row r="9" spans="1:17" x14ac:dyDescent="0.2">
      <c r="B9" s="3"/>
      <c r="C9" s="3"/>
      <c r="D9" s="3"/>
      <c r="E9" s="3"/>
      <c r="F9" s="3"/>
      <c r="G9" s="3"/>
      <c r="H9" s="3"/>
      <c r="I9" s="3"/>
      <c r="J9" s="3"/>
      <c r="K9" s="3"/>
      <c r="L9" s="3"/>
      <c r="M9" s="3"/>
      <c r="N9" s="3"/>
      <c r="O9" s="3"/>
      <c r="P9" s="3"/>
    </row>
    <row r="10" spans="1:17" x14ac:dyDescent="0.2">
      <c r="B10" t="s">
        <v>5</v>
      </c>
      <c r="C10" s="3"/>
      <c r="D10" s="3"/>
      <c r="E10" s="3"/>
      <c r="F10" s="3"/>
      <c r="G10" s="3"/>
      <c r="H10" s="3"/>
      <c r="I10" s="3"/>
      <c r="J10" s="3"/>
      <c r="K10" s="3"/>
      <c r="L10" s="3"/>
      <c r="M10" s="3"/>
      <c r="N10" s="3"/>
      <c r="O10" s="3"/>
      <c r="P10" s="3"/>
    </row>
    <row r="12" spans="1:17" x14ac:dyDescent="0.2">
      <c r="A12" s="3">
        <v>1</v>
      </c>
      <c r="B12" s="4" t="s">
        <v>217</v>
      </c>
      <c r="C12" s="5"/>
      <c r="D12" s="5"/>
      <c r="E12" s="5"/>
      <c r="F12" s="5"/>
      <c r="G12" s="5"/>
      <c r="H12" s="5"/>
      <c r="I12" s="5"/>
      <c r="J12" s="5"/>
      <c r="K12" s="5"/>
      <c r="L12" s="5"/>
      <c r="M12" s="5"/>
      <c r="N12" s="5"/>
      <c r="O12" s="5"/>
      <c r="P12" s="5"/>
      <c r="Q12" s="5"/>
    </row>
    <row r="13" spans="1:17" x14ac:dyDescent="0.2">
      <c r="A13" s="3">
        <v>2</v>
      </c>
    </row>
    <row r="14" spans="1:17" x14ac:dyDescent="0.2">
      <c r="A14" s="3">
        <v>3</v>
      </c>
      <c r="G14" s="221" t="s">
        <v>242</v>
      </c>
      <c r="H14" s="221"/>
      <c r="I14" s="221"/>
    </row>
    <row r="15" spans="1:17" x14ac:dyDescent="0.2">
      <c r="A15" s="3">
        <v>4</v>
      </c>
      <c r="B15" s="6"/>
      <c r="C15" s="6"/>
      <c r="D15" s="6"/>
      <c r="G15" s="7" t="s">
        <v>8</v>
      </c>
      <c r="H15" s="7" t="s">
        <v>9</v>
      </c>
      <c r="I15" s="7"/>
    </row>
    <row r="16" spans="1:17" x14ac:dyDescent="0.2">
      <c r="A16" s="3">
        <v>5</v>
      </c>
      <c r="B16" s="6"/>
      <c r="C16" s="6"/>
      <c r="D16" s="6"/>
      <c r="G16" s="7"/>
      <c r="H16" s="7"/>
      <c r="I16" s="7"/>
    </row>
    <row r="17" spans="1:10" x14ac:dyDescent="0.2">
      <c r="A17" s="3">
        <v>6</v>
      </c>
      <c r="B17" s="161" t="s">
        <v>191</v>
      </c>
      <c r="C17" s="161"/>
      <c r="D17" s="161"/>
      <c r="E17" s="15"/>
      <c r="G17" s="358">
        <v>1</v>
      </c>
      <c r="H17" s="358">
        <v>1</v>
      </c>
      <c r="I17" s="7"/>
    </row>
    <row r="18" spans="1:10" x14ac:dyDescent="0.2">
      <c r="A18" s="3">
        <v>7</v>
      </c>
      <c r="B18" s="161"/>
      <c r="C18" t="s">
        <v>25</v>
      </c>
      <c r="D18" s="161"/>
      <c r="E18" s="15"/>
      <c r="G18" s="359">
        <v>1</v>
      </c>
      <c r="H18" s="359">
        <v>1</v>
      </c>
      <c r="I18" s="7"/>
    </row>
    <row r="19" spans="1:10" x14ac:dyDescent="0.2">
      <c r="A19" s="3">
        <v>8</v>
      </c>
      <c r="B19" s="161"/>
      <c r="C19" t="s">
        <v>26</v>
      </c>
      <c r="D19" s="161"/>
      <c r="E19" s="15"/>
      <c r="G19" s="359">
        <v>1</v>
      </c>
      <c r="H19" s="359">
        <v>1</v>
      </c>
      <c r="I19" s="7"/>
    </row>
    <row r="20" spans="1:10" x14ac:dyDescent="0.2">
      <c r="A20" s="3">
        <v>9</v>
      </c>
      <c r="C20" t="s">
        <v>27</v>
      </c>
      <c r="D20" s="15"/>
      <c r="E20" s="15"/>
      <c r="F20" s="15"/>
      <c r="G20" s="359">
        <v>1</v>
      </c>
      <c r="H20" s="359">
        <v>1</v>
      </c>
      <c r="I20" s="24"/>
      <c r="J20" s="10"/>
    </row>
    <row r="21" spans="1:10" x14ac:dyDescent="0.2">
      <c r="A21" s="3">
        <v>10</v>
      </c>
      <c r="C21" t="s">
        <v>28</v>
      </c>
      <c r="D21" s="15"/>
      <c r="E21" s="15"/>
      <c r="F21" s="15"/>
      <c r="G21" s="359">
        <v>1</v>
      </c>
      <c r="H21" s="359">
        <v>1</v>
      </c>
      <c r="I21" s="24"/>
      <c r="J21" s="10"/>
    </row>
    <row r="22" spans="1:10" x14ac:dyDescent="0.2">
      <c r="A22" s="3">
        <v>11</v>
      </c>
      <c r="C22" t="s">
        <v>29</v>
      </c>
      <c r="D22" s="15"/>
      <c r="E22" s="15"/>
      <c r="F22" s="15"/>
      <c r="G22" s="359">
        <v>1</v>
      </c>
      <c r="H22" s="359">
        <v>1</v>
      </c>
      <c r="I22" s="24"/>
      <c r="J22" s="10"/>
    </row>
    <row r="23" spans="1:10" x14ac:dyDescent="0.2">
      <c r="A23" s="3">
        <v>12</v>
      </c>
      <c r="B23" s="222"/>
      <c r="C23" s="15"/>
      <c r="D23" s="15"/>
      <c r="E23" s="15"/>
      <c r="F23" s="15"/>
      <c r="G23" s="359"/>
      <c r="H23" s="359"/>
      <c r="I23" s="24"/>
      <c r="J23" s="10"/>
    </row>
    <row r="24" spans="1:10" x14ac:dyDescent="0.2">
      <c r="A24" s="3">
        <v>13</v>
      </c>
      <c r="B24" s="161" t="s">
        <v>243</v>
      </c>
      <c r="E24" s="15"/>
      <c r="F24" s="15"/>
      <c r="G24" s="358">
        <v>1</v>
      </c>
      <c r="H24" s="358">
        <v>1</v>
      </c>
      <c r="I24" s="24"/>
      <c r="J24" s="10"/>
    </row>
    <row r="25" spans="1:10" x14ac:dyDescent="0.2">
      <c r="A25" s="3">
        <v>14</v>
      </c>
      <c r="C25" t="s">
        <v>25</v>
      </c>
      <c r="D25" s="161"/>
      <c r="E25" s="15"/>
      <c r="F25" s="15"/>
      <c r="G25" s="359">
        <v>1</v>
      </c>
      <c r="H25" s="359">
        <v>1</v>
      </c>
      <c r="I25" s="24"/>
      <c r="J25" s="10"/>
    </row>
    <row r="26" spans="1:10" x14ac:dyDescent="0.2">
      <c r="A26" s="3">
        <v>15</v>
      </c>
      <c r="C26" t="s">
        <v>27</v>
      </c>
      <c r="D26" s="161"/>
      <c r="E26" s="15"/>
      <c r="F26" s="15"/>
      <c r="G26" s="359">
        <v>1</v>
      </c>
      <c r="H26" s="359">
        <v>1</v>
      </c>
      <c r="I26" s="24"/>
      <c r="J26" s="10"/>
    </row>
    <row r="27" spans="1:10" x14ac:dyDescent="0.2">
      <c r="A27" s="3">
        <v>16</v>
      </c>
      <c r="B27" s="15"/>
      <c r="C27" t="s">
        <v>28</v>
      </c>
      <c r="D27" s="15"/>
      <c r="G27" s="359">
        <v>1</v>
      </c>
      <c r="H27" s="359">
        <v>1</v>
      </c>
      <c r="I27" s="24"/>
      <c r="J27" s="10"/>
    </row>
    <row r="28" spans="1:10" x14ac:dyDescent="0.2">
      <c r="A28" s="3">
        <v>17</v>
      </c>
      <c r="B28" s="13"/>
      <c r="C28" t="s">
        <v>29</v>
      </c>
      <c r="D28" s="15"/>
      <c r="E28" s="15"/>
      <c r="F28" s="15"/>
      <c r="G28" s="359">
        <v>1</v>
      </c>
      <c r="H28" s="359">
        <v>1</v>
      </c>
      <c r="I28" s="24"/>
      <c r="J28" s="10"/>
    </row>
    <row r="29" spans="1:10" x14ac:dyDescent="0.2">
      <c r="A29" s="3">
        <v>18</v>
      </c>
      <c r="D29" s="15"/>
      <c r="G29" s="359"/>
      <c r="H29" s="359"/>
      <c r="I29" s="24"/>
      <c r="J29" s="10"/>
    </row>
    <row r="30" spans="1:10" x14ac:dyDescent="0.2">
      <c r="A30" s="3">
        <v>19</v>
      </c>
      <c r="B30" s="12" t="s">
        <v>244</v>
      </c>
      <c r="D30" s="15"/>
      <c r="E30" s="15"/>
      <c r="F30" s="15"/>
      <c r="G30" s="358">
        <v>1</v>
      </c>
      <c r="H30" s="358">
        <v>1</v>
      </c>
      <c r="I30" s="11"/>
    </row>
    <row r="31" spans="1:10" x14ac:dyDescent="0.2">
      <c r="A31" s="3">
        <v>20</v>
      </c>
      <c r="B31" s="13"/>
      <c r="C31" t="s">
        <v>25</v>
      </c>
      <c r="G31" s="359">
        <v>1</v>
      </c>
      <c r="H31" s="359">
        <v>1</v>
      </c>
    </row>
    <row r="32" spans="1:10" x14ac:dyDescent="0.2">
      <c r="A32" s="3">
        <v>21</v>
      </c>
      <c r="B32" s="13"/>
      <c r="C32" t="s">
        <v>27</v>
      </c>
      <c r="G32" s="359">
        <v>1</v>
      </c>
      <c r="H32" s="359">
        <v>1</v>
      </c>
    </row>
    <row r="33" spans="1:8" x14ac:dyDescent="0.2">
      <c r="A33" s="3">
        <v>22</v>
      </c>
      <c r="C33" t="s">
        <v>28</v>
      </c>
      <c r="G33" s="359">
        <v>1</v>
      </c>
      <c r="H33" s="359">
        <v>1</v>
      </c>
    </row>
    <row r="34" spans="1:8" x14ac:dyDescent="0.2">
      <c r="A34" s="3">
        <v>23</v>
      </c>
      <c r="B34" s="13"/>
      <c r="C34" t="s">
        <v>29</v>
      </c>
      <c r="G34" s="359">
        <v>1</v>
      </c>
      <c r="H34" s="359">
        <v>1</v>
      </c>
    </row>
    <row r="35" spans="1:8" x14ac:dyDescent="0.2">
      <c r="A35" s="3">
        <v>24</v>
      </c>
      <c r="G35" s="359">
        <v>1</v>
      </c>
      <c r="H35" s="359">
        <v>1</v>
      </c>
    </row>
    <row r="36" spans="1:8" x14ac:dyDescent="0.2">
      <c r="A36" s="3">
        <v>25</v>
      </c>
      <c r="B36" s="14" t="s">
        <v>193</v>
      </c>
      <c r="C36" s="15"/>
      <c r="D36" s="15"/>
      <c r="E36" s="15"/>
      <c r="F36" s="15"/>
      <c r="G36" s="359"/>
      <c r="H36" s="359"/>
    </row>
    <row r="37" spans="1:8" x14ac:dyDescent="0.2">
      <c r="A37" s="3">
        <v>26</v>
      </c>
      <c r="B37" s="13"/>
      <c r="C37" s="15" t="s">
        <v>245</v>
      </c>
      <c r="D37" s="15"/>
      <c r="E37" s="15"/>
      <c r="F37" s="15"/>
      <c r="G37" s="359">
        <v>1</v>
      </c>
      <c r="H37" s="359">
        <v>1</v>
      </c>
    </row>
    <row r="38" spans="1:8" x14ac:dyDescent="0.2">
      <c r="A38" s="3">
        <v>27</v>
      </c>
      <c r="G38" s="21"/>
      <c r="H38" s="21"/>
    </row>
    <row r="39" spans="1:8" x14ac:dyDescent="0.2">
      <c r="A39" s="3">
        <v>28</v>
      </c>
      <c r="B39" s="14" t="s">
        <v>192</v>
      </c>
      <c r="C39" s="15"/>
      <c r="D39" s="15"/>
      <c r="E39" s="15"/>
      <c r="F39" s="15"/>
      <c r="G39" s="359"/>
      <c r="H39" s="359"/>
    </row>
    <row r="40" spans="1:8" x14ac:dyDescent="0.2">
      <c r="A40" s="3">
        <v>29</v>
      </c>
      <c r="B40" s="13"/>
      <c r="C40" s="15" t="s">
        <v>245</v>
      </c>
      <c r="D40" s="15"/>
      <c r="E40" s="15"/>
      <c r="F40" s="15"/>
      <c r="G40" s="360">
        <v>1</v>
      </c>
      <c r="H40" s="360">
        <v>1</v>
      </c>
    </row>
    <row r="41" spans="1:8" x14ac:dyDescent="0.2">
      <c r="A41" s="3">
        <v>30</v>
      </c>
      <c r="C41" t="s">
        <v>249</v>
      </c>
      <c r="G41" s="361">
        <v>2</v>
      </c>
      <c r="H41" s="361">
        <v>4</v>
      </c>
    </row>
    <row r="42" spans="1:8" x14ac:dyDescent="0.2">
      <c r="A42" s="3">
        <v>31</v>
      </c>
      <c r="C42" s="15" t="s">
        <v>219</v>
      </c>
      <c r="D42" s="15"/>
      <c r="E42" s="15"/>
      <c r="F42" s="15"/>
      <c r="G42" s="360">
        <v>6</v>
      </c>
      <c r="H42" s="360">
        <v>12</v>
      </c>
    </row>
    <row r="43" spans="1:8" x14ac:dyDescent="0.2">
      <c r="A43" s="3">
        <v>32</v>
      </c>
      <c r="C43" s="15"/>
      <c r="D43" s="15"/>
      <c r="E43" s="15"/>
      <c r="F43" s="15"/>
      <c r="G43" s="359"/>
      <c r="H43" s="359"/>
    </row>
    <row r="44" spans="1:8" x14ac:dyDescent="0.2">
      <c r="A44" s="3">
        <v>33</v>
      </c>
      <c r="B44" s="14" t="s">
        <v>199</v>
      </c>
      <c r="G44" s="359">
        <v>1</v>
      </c>
      <c r="H44" s="359">
        <v>1</v>
      </c>
    </row>
    <row r="45" spans="1:8" x14ac:dyDescent="0.2">
      <c r="G45" s="21"/>
      <c r="H45" s="21"/>
    </row>
  </sheetData>
  <mergeCells count="1">
    <mergeCell ref="B8:P8"/>
  </mergeCells>
  <pageMargins left="0.25" right="0.25" top="0.75" bottom="0.75" header="0.511811023622047" footer="0.511811023622047"/>
  <pageSetup scale="79" orientation="landscape"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CC659-9647-F441-B3E4-59DA800706AA}">
  <sheetPr>
    <pageSetUpPr fitToPage="1"/>
  </sheetPr>
  <dimension ref="A2:Q57"/>
  <sheetViews>
    <sheetView topLeftCell="A19" zoomScaleNormal="100" zoomScaleSheetLayoutView="80" workbookViewId="0">
      <selection activeCell="B2" sqref="B2:Q58"/>
    </sheetView>
  </sheetViews>
  <sheetFormatPr baseColWidth="10" defaultColWidth="10.6640625" defaultRowHeight="16" x14ac:dyDescent="0.2"/>
  <cols>
    <col min="2" max="2" width="3.5" customWidth="1"/>
    <col min="16" max="16" width="16.83203125" customWidth="1"/>
  </cols>
  <sheetData>
    <row r="2" spans="1:17" x14ac:dyDescent="0.2">
      <c r="B2" s="1" t="s">
        <v>0</v>
      </c>
    </row>
    <row r="3" spans="1:17" x14ac:dyDescent="0.2">
      <c r="B3" t="s">
        <v>1</v>
      </c>
    </row>
    <row r="4" spans="1:17" x14ac:dyDescent="0.2">
      <c r="B4" t="s">
        <v>2</v>
      </c>
    </row>
    <row r="5" spans="1:17" x14ac:dyDescent="0.2">
      <c r="B5" s="2" t="s">
        <v>182</v>
      </c>
    </row>
    <row r="6" spans="1:17" x14ac:dyDescent="0.2">
      <c r="B6" t="s">
        <v>168</v>
      </c>
    </row>
    <row r="8" spans="1:17" x14ac:dyDescent="0.2">
      <c r="B8" s="403" t="s">
        <v>4</v>
      </c>
      <c r="C8" s="403"/>
      <c r="D8" s="403"/>
      <c r="E8" s="403"/>
      <c r="F8" s="403"/>
      <c r="G8" s="403"/>
      <c r="H8" s="403"/>
      <c r="I8" s="403"/>
      <c r="J8" s="403"/>
      <c r="K8" s="403"/>
      <c r="L8" s="403"/>
      <c r="M8" s="403"/>
      <c r="N8" s="403"/>
      <c r="O8" s="403"/>
      <c r="P8" s="403"/>
    </row>
    <row r="9" spans="1:17" x14ac:dyDescent="0.2">
      <c r="B9" s="3"/>
      <c r="C9" s="3"/>
      <c r="D9" s="3"/>
      <c r="E9" s="3"/>
      <c r="F9" s="3"/>
      <c r="G9" s="3"/>
      <c r="H9" s="3"/>
      <c r="I9" s="3"/>
      <c r="J9" s="3"/>
      <c r="K9" s="3"/>
      <c r="L9" s="3"/>
      <c r="M9" s="3"/>
      <c r="N9" s="3"/>
      <c r="O9" s="3"/>
      <c r="P9" s="3"/>
    </row>
    <row r="10" spans="1:17" x14ac:dyDescent="0.2">
      <c r="B10" t="s">
        <v>5</v>
      </c>
      <c r="C10" s="3"/>
      <c r="D10" s="3"/>
      <c r="E10" s="3"/>
      <c r="F10" s="3"/>
      <c r="G10" s="3"/>
      <c r="H10" s="3"/>
      <c r="I10" s="3"/>
      <c r="J10" s="3"/>
      <c r="K10" s="3"/>
      <c r="L10" s="3"/>
      <c r="M10" s="3"/>
      <c r="N10" s="3"/>
      <c r="O10" s="3"/>
      <c r="P10" s="3"/>
    </row>
    <row r="12" spans="1:17" x14ac:dyDescent="0.2">
      <c r="A12" s="3">
        <v>1</v>
      </c>
      <c r="B12" s="4" t="s">
        <v>158</v>
      </c>
      <c r="C12" s="5"/>
      <c r="D12" s="5"/>
      <c r="E12" s="5"/>
      <c r="F12" s="5"/>
      <c r="G12" s="5"/>
      <c r="H12" s="5"/>
      <c r="I12" s="5"/>
      <c r="J12" s="5"/>
      <c r="K12" s="5"/>
      <c r="L12" s="5"/>
      <c r="M12" s="5"/>
      <c r="N12" s="5"/>
      <c r="O12" s="5"/>
      <c r="P12" s="5"/>
      <c r="Q12" s="5"/>
    </row>
    <row r="13" spans="1:17" x14ac:dyDescent="0.2">
      <c r="A13" s="3">
        <v>2</v>
      </c>
    </row>
    <row r="14" spans="1:17" x14ac:dyDescent="0.2">
      <c r="A14" s="3">
        <v>3</v>
      </c>
      <c r="G14" s="405" t="s">
        <v>167</v>
      </c>
      <c r="H14" s="405"/>
      <c r="I14" s="405"/>
    </row>
    <row r="15" spans="1:17" x14ac:dyDescent="0.2">
      <c r="A15" s="3">
        <v>4</v>
      </c>
      <c r="B15" s="6" t="s">
        <v>158</v>
      </c>
      <c r="C15" s="6"/>
      <c r="D15" s="6"/>
      <c r="G15" s="7" t="s">
        <v>7</v>
      </c>
      <c r="H15" s="7" t="s">
        <v>8</v>
      </c>
      <c r="I15" s="7" t="s">
        <v>9</v>
      </c>
    </row>
    <row r="16" spans="1:17" x14ac:dyDescent="0.2">
      <c r="A16" s="3">
        <v>5</v>
      </c>
      <c r="B16" s="161"/>
      <c r="C16" s="161"/>
      <c r="D16" s="161"/>
      <c r="E16" s="15"/>
      <c r="G16" s="7"/>
      <c r="H16" s="7"/>
      <c r="I16" s="7"/>
    </row>
    <row r="17" spans="1:10" x14ac:dyDescent="0.2">
      <c r="A17" s="3">
        <v>6</v>
      </c>
      <c r="B17" s="14" t="s">
        <v>162</v>
      </c>
      <c r="C17" s="15"/>
      <c r="D17" s="15"/>
      <c r="E17" s="15"/>
      <c r="F17" s="15"/>
      <c r="G17" s="24">
        <v>1</v>
      </c>
      <c r="H17" s="24">
        <v>1</v>
      </c>
      <c r="I17" s="24">
        <v>2</v>
      </c>
      <c r="J17" s="10"/>
    </row>
    <row r="18" spans="1:10" x14ac:dyDescent="0.2">
      <c r="A18" s="3">
        <v>7</v>
      </c>
      <c r="B18" s="13" t="s">
        <v>25</v>
      </c>
      <c r="C18" s="15"/>
      <c r="D18" s="15"/>
      <c r="E18" s="15"/>
      <c r="F18" s="15"/>
      <c r="G18" s="24">
        <v>1</v>
      </c>
      <c r="H18" s="24">
        <v>1</v>
      </c>
      <c r="I18" s="24">
        <v>4</v>
      </c>
      <c r="J18" s="10"/>
    </row>
    <row r="19" spans="1:10" x14ac:dyDescent="0.2">
      <c r="A19" s="3">
        <v>8</v>
      </c>
      <c r="B19" s="13" t="s">
        <v>26</v>
      </c>
      <c r="C19" s="15"/>
      <c r="D19" s="15"/>
      <c r="E19" s="15"/>
      <c r="F19" s="15"/>
      <c r="G19" s="24">
        <v>1</v>
      </c>
      <c r="H19" s="24">
        <v>1</v>
      </c>
      <c r="I19" s="24">
        <v>1</v>
      </c>
      <c r="J19" s="10"/>
    </row>
    <row r="20" spans="1:10" x14ac:dyDescent="0.2">
      <c r="A20" s="3">
        <v>9</v>
      </c>
      <c r="B20" s="13" t="s">
        <v>27</v>
      </c>
      <c r="C20" s="15"/>
      <c r="D20" s="15"/>
      <c r="E20" s="15"/>
      <c r="F20" s="15"/>
      <c r="G20" s="24">
        <v>1</v>
      </c>
      <c r="H20" s="24">
        <v>1</v>
      </c>
      <c r="I20" s="24">
        <v>2</v>
      </c>
      <c r="J20" s="10"/>
    </row>
    <row r="21" spans="1:10" x14ac:dyDescent="0.2">
      <c r="A21" s="3">
        <v>10</v>
      </c>
      <c r="B21" s="13" t="s">
        <v>28</v>
      </c>
      <c r="C21" s="15"/>
      <c r="D21" s="15"/>
      <c r="E21" s="15"/>
      <c r="F21" s="15"/>
      <c r="G21" s="24">
        <v>1</v>
      </c>
      <c r="H21" s="24">
        <v>1</v>
      </c>
      <c r="I21" s="24">
        <v>2</v>
      </c>
      <c r="J21" s="10"/>
    </row>
    <row r="22" spans="1:10" x14ac:dyDescent="0.2">
      <c r="A22" s="3">
        <v>11</v>
      </c>
      <c r="B22" s="13" t="s">
        <v>29</v>
      </c>
      <c r="C22" s="15"/>
      <c r="D22" s="15"/>
      <c r="E22" s="15"/>
      <c r="F22" s="15"/>
      <c r="G22" s="24">
        <v>1</v>
      </c>
      <c r="H22" s="24">
        <v>1</v>
      </c>
      <c r="I22" s="24">
        <v>2</v>
      </c>
      <c r="J22" s="10"/>
    </row>
    <row r="23" spans="1:10" x14ac:dyDescent="0.2">
      <c r="A23" s="3">
        <v>12</v>
      </c>
      <c r="B23" s="15"/>
      <c r="C23" s="15"/>
      <c r="D23" s="15"/>
      <c r="E23" s="15"/>
      <c r="F23" s="15"/>
      <c r="G23" s="24"/>
      <c r="H23" s="24"/>
      <c r="I23" s="24"/>
      <c r="J23" s="10"/>
    </row>
    <row r="24" spans="1:10" x14ac:dyDescent="0.2">
      <c r="A24" s="3">
        <v>13</v>
      </c>
      <c r="B24" s="14" t="s">
        <v>163</v>
      </c>
      <c r="C24" s="15"/>
      <c r="D24" s="15"/>
      <c r="E24" s="15"/>
      <c r="F24" s="15"/>
      <c r="G24" s="24">
        <v>1</v>
      </c>
      <c r="H24" s="24">
        <v>2</v>
      </c>
      <c r="I24" s="24">
        <v>3</v>
      </c>
      <c r="J24" s="10"/>
    </row>
    <row r="25" spans="1:10" x14ac:dyDescent="0.2">
      <c r="A25" s="3">
        <v>14</v>
      </c>
      <c r="B25" s="13" t="s">
        <v>25</v>
      </c>
      <c r="C25" s="15"/>
      <c r="D25" s="15"/>
      <c r="E25" s="15"/>
      <c r="F25" s="15"/>
      <c r="G25" s="24">
        <v>1</v>
      </c>
      <c r="H25" s="24">
        <v>2</v>
      </c>
      <c r="I25" s="24">
        <v>3</v>
      </c>
      <c r="J25" s="10"/>
    </row>
    <row r="26" spans="1:10" x14ac:dyDescent="0.2">
      <c r="A26" s="3">
        <v>15</v>
      </c>
      <c r="B26" s="13" t="s">
        <v>26</v>
      </c>
      <c r="C26" s="15"/>
      <c r="D26" s="15"/>
      <c r="E26" s="15"/>
      <c r="F26" s="15"/>
      <c r="G26" s="24">
        <v>1</v>
      </c>
      <c r="H26" s="24">
        <v>1</v>
      </c>
      <c r="I26" s="24">
        <v>1</v>
      </c>
      <c r="J26" s="10"/>
    </row>
    <row r="27" spans="1:10" x14ac:dyDescent="0.2">
      <c r="A27" s="3">
        <v>16</v>
      </c>
      <c r="B27" s="13" t="s">
        <v>27</v>
      </c>
      <c r="C27" s="15"/>
      <c r="D27" s="15"/>
      <c r="E27" s="15"/>
      <c r="F27" s="15"/>
      <c r="G27" s="24">
        <v>1</v>
      </c>
      <c r="H27" s="24">
        <v>1</v>
      </c>
      <c r="I27" s="24">
        <v>3</v>
      </c>
      <c r="J27" s="10"/>
    </row>
    <row r="28" spans="1:10" x14ac:dyDescent="0.2">
      <c r="A28" s="3">
        <v>17</v>
      </c>
      <c r="B28" s="13" t="s">
        <v>28</v>
      </c>
      <c r="C28" s="15"/>
      <c r="D28" s="15"/>
      <c r="E28" s="15"/>
      <c r="F28" s="15"/>
      <c r="G28" s="24">
        <v>1</v>
      </c>
      <c r="H28" s="24">
        <v>1</v>
      </c>
      <c r="I28" s="24">
        <v>3</v>
      </c>
      <c r="J28" s="10"/>
    </row>
    <row r="29" spans="1:10" x14ac:dyDescent="0.2">
      <c r="A29" s="3">
        <v>18</v>
      </c>
      <c r="B29" s="13" t="s">
        <v>29</v>
      </c>
      <c r="C29" s="15"/>
      <c r="D29" s="15"/>
      <c r="E29" s="15"/>
      <c r="F29" s="15"/>
      <c r="G29" s="24">
        <v>1</v>
      </c>
      <c r="H29" s="24">
        <v>2</v>
      </c>
      <c r="I29" s="24">
        <v>2</v>
      </c>
      <c r="J29" s="10"/>
    </row>
    <row r="30" spans="1:10" x14ac:dyDescent="0.2">
      <c r="A30" s="3">
        <v>19</v>
      </c>
      <c r="B30" s="13"/>
      <c r="C30" s="15"/>
      <c r="D30" s="15"/>
      <c r="E30" s="15"/>
      <c r="F30" s="15"/>
      <c r="G30" s="24"/>
      <c r="H30" s="24"/>
      <c r="I30" s="24"/>
      <c r="J30" s="10"/>
    </row>
    <row r="31" spans="1:10" x14ac:dyDescent="0.2">
      <c r="A31" s="3">
        <v>20</v>
      </c>
      <c r="B31" s="161" t="s">
        <v>11</v>
      </c>
      <c r="C31" s="15"/>
      <c r="D31" s="15"/>
      <c r="E31" s="15"/>
      <c r="F31" s="15"/>
      <c r="G31" s="15"/>
      <c r="H31" s="15"/>
      <c r="I31" s="15"/>
      <c r="J31" s="10"/>
    </row>
    <row r="32" spans="1:10" x14ac:dyDescent="0.2">
      <c r="A32" s="3">
        <v>21</v>
      </c>
      <c r="B32" s="15" t="s">
        <v>16</v>
      </c>
      <c r="C32" s="15"/>
      <c r="D32" s="15"/>
      <c r="E32" s="15"/>
      <c r="F32" s="15"/>
      <c r="G32" s="24">
        <v>1</v>
      </c>
      <c r="H32" s="24">
        <v>1</v>
      </c>
      <c r="I32" s="24">
        <v>1</v>
      </c>
      <c r="J32" s="10"/>
    </row>
    <row r="33" spans="1:10" x14ac:dyDescent="0.2">
      <c r="A33" s="3">
        <v>22</v>
      </c>
      <c r="B33" s="15" t="s">
        <v>17</v>
      </c>
      <c r="C33" s="15"/>
      <c r="D33" s="15"/>
      <c r="E33" s="15"/>
      <c r="F33" s="15"/>
      <c r="G33" s="24">
        <v>1</v>
      </c>
      <c r="H33" s="24">
        <v>1</v>
      </c>
      <c r="I33" s="24">
        <v>2</v>
      </c>
      <c r="J33" s="10"/>
    </row>
    <row r="34" spans="1:10" x14ac:dyDescent="0.2">
      <c r="A34" s="3">
        <v>23</v>
      </c>
      <c r="B34" s="15" t="s">
        <v>18</v>
      </c>
      <c r="C34" s="15"/>
      <c r="D34" s="15"/>
      <c r="E34" s="15"/>
      <c r="F34" s="15"/>
      <c r="G34" s="24">
        <v>1</v>
      </c>
      <c r="H34" s="24">
        <v>1</v>
      </c>
      <c r="I34" s="24">
        <v>2</v>
      </c>
    </row>
    <row r="35" spans="1:10" x14ac:dyDescent="0.2">
      <c r="A35" s="3">
        <v>24</v>
      </c>
      <c r="B35" s="15" t="s">
        <v>19</v>
      </c>
      <c r="C35" s="15"/>
      <c r="D35" s="15"/>
      <c r="E35" s="15"/>
      <c r="F35" s="15"/>
      <c r="G35" s="24">
        <v>1</v>
      </c>
      <c r="H35" s="24">
        <v>1</v>
      </c>
      <c r="I35" s="24">
        <v>1</v>
      </c>
    </row>
    <row r="36" spans="1:10" x14ac:dyDescent="0.2">
      <c r="A36" s="3">
        <v>25</v>
      </c>
      <c r="B36" s="15" t="s">
        <v>20</v>
      </c>
      <c r="C36" s="15"/>
      <c r="D36" s="15"/>
      <c r="E36" s="15"/>
      <c r="F36" s="15"/>
      <c r="G36" s="24">
        <v>4</v>
      </c>
      <c r="H36" s="24">
        <v>6</v>
      </c>
      <c r="I36" s="24">
        <v>6</v>
      </c>
    </row>
    <row r="37" spans="1:10" x14ac:dyDescent="0.2">
      <c r="A37" s="3">
        <v>26</v>
      </c>
      <c r="B37" s="15" t="s">
        <v>21</v>
      </c>
      <c r="C37" s="15"/>
      <c r="D37" s="15"/>
      <c r="E37" s="15"/>
      <c r="F37" s="15"/>
      <c r="G37" s="24">
        <v>1</v>
      </c>
      <c r="H37" s="24">
        <v>1</v>
      </c>
      <c r="I37" s="24">
        <v>1</v>
      </c>
    </row>
    <row r="38" spans="1:10" x14ac:dyDescent="0.2">
      <c r="A38" s="3">
        <v>27</v>
      </c>
      <c r="B38" s="15"/>
      <c r="C38" s="15"/>
      <c r="D38" s="15"/>
      <c r="E38" s="15"/>
      <c r="F38" s="15"/>
      <c r="G38" s="15"/>
      <c r="H38" s="15"/>
      <c r="I38" s="15"/>
    </row>
    <row r="39" spans="1:10" x14ac:dyDescent="0.2">
      <c r="A39" s="3">
        <v>28</v>
      </c>
      <c r="B39" s="14" t="s">
        <v>164</v>
      </c>
      <c r="C39" s="15"/>
      <c r="D39" s="15"/>
      <c r="E39" s="15"/>
      <c r="F39" s="15"/>
      <c r="G39" s="15"/>
      <c r="H39" s="15"/>
      <c r="I39" s="15"/>
    </row>
    <row r="40" spans="1:10" x14ac:dyDescent="0.2">
      <c r="A40" s="3">
        <v>29</v>
      </c>
      <c r="B40" s="13" t="s">
        <v>165</v>
      </c>
      <c r="C40" s="15"/>
      <c r="D40" s="15"/>
      <c r="E40" s="15"/>
      <c r="F40" s="15"/>
      <c r="G40" s="24">
        <v>3</v>
      </c>
      <c r="H40" s="24">
        <v>5</v>
      </c>
      <c r="I40" s="24">
        <v>7</v>
      </c>
    </row>
    <row r="41" spans="1:10" x14ac:dyDescent="0.2">
      <c r="A41" s="3">
        <v>30</v>
      </c>
      <c r="B41" s="13" t="s">
        <v>166</v>
      </c>
      <c r="C41" s="15"/>
      <c r="D41" s="15"/>
      <c r="E41" s="15"/>
      <c r="F41" s="15"/>
      <c r="G41" s="24">
        <v>6</v>
      </c>
      <c r="H41" s="24">
        <v>10</v>
      </c>
      <c r="I41" s="24">
        <v>14</v>
      </c>
    </row>
    <row r="42" spans="1:10" x14ac:dyDescent="0.2">
      <c r="A42" s="3">
        <v>31</v>
      </c>
      <c r="B42" s="13"/>
      <c r="C42" s="15"/>
      <c r="D42" s="15"/>
      <c r="E42" s="15"/>
      <c r="F42" s="15"/>
      <c r="G42" s="24"/>
      <c r="H42" s="24"/>
      <c r="I42" s="24"/>
    </row>
    <row r="43" spans="1:10" x14ac:dyDescent="0.2">
      <c r="A43" s="3">
        <v>32</v>
      </c>
      <c r="B43" s="161" t="s">
        <v>159</v>
      </c>
      <c r="C43" s="15"/>
      <c r="D43" s="15"/>
      <c r="E43" s="15"/>
      <c r="F43" s="15"/>
      <c r="G43" s="24"/>
      <c r="H43" s="24"/>
      <c r="I43" s="24"/>
    </row>
    <row r="44" spans="1:10" x14ac:dyDescent="0.2">
      <c r="A44" s="3">
        <v>33</v>
      </c>
      <c r="B44" s="15" t="s">
        <v>160</v>
      </c>
      <c r="C44" s="15"/>
      <c r="D44" s="15"/>
      <c r="E44" s="15"/>
      <c r="F44" s="15"/>
      <c r="G44" s="24">
        <v>1</v>
      </c>
      <c r="H44" s="24">
        <v>1</v>
      </c>
      <c r="I44" s="24">
        <v>1</v>
      </c>
    </row>
    <row r="45" spans="1:10" x14ac:dyDescent="0.2">
      <c r="A45" s="3">
        <v>34</v>
      </c>
      <c r="B45" s="15" t="s">
        <v>161</v>
      </c>
      <c r="C45" s="15"/>
      <c r="D45" s="15"/>
      <c r="E45" s="15"/>
      <c r="F45" s="15"/>
      <c r="G45" s="24">
        <v>4</v>
      </c>
      <c r="H45" s="24">
        <v>6</v>
      </c>
      <c r="I45" s="24">
        <v>8</v>
      </c>
    </row>
    <row r="46" spans="1:10" x14ac:dyDescent="0.2">
      <c r="A46" s="3">
        <v>35</v>
      </c>
      <c r="B46" s="13"/>
      <c r="C46" s="15"/>
      <c r="D46" s="15"/>
      <c r="E46" s="15"/>
      <c r="G46" s="9"/>
      <c r="H46" s="9"/>
      <c r="I46" s="9"/>
    </row>
    <row r="47" spans="1:10" x14ac:dyDescent="0.2">
      <c r="A47" s="3">
        <v>36</v>
      </c>
      <c r="B47" s="161" t="s">
        <v>39</v>
      </c>
      <c r="C47" s="15"/>
      <c r="D47" s="15"/>
      <c r="E47" s="15"/>
    </row>
    <row r="48" spans="1:10" x14ac:dyDescent="0.2">
      <c r="A48" s="3">
        <v>37</v>
      </c>
      <c r="B48" t="s">
        <v>40</v>
      </c>
      <c r="G48" s="9">
        <v>1</v>
      </c>
      <c r="H48" s="9">
        <v>1</v>
      </c>
      <c r="I48" s="9">
        <v>1</v>
      </c>
    </row>
    <row r="49" spans="1:9" x14ac:dyDescent="0.2">
      <c r="A49" s="3">
        <v>38</v>
      </c>
      <c r="B49" t="s">
        <v>41</v>
      </c>
      <c r="G49" s="9">
        <v>1</v>
      </c>
      <c r="H49" s="9">
        <v>1</v>
      </c>
      <c r="I49" s="9">
        <v>1</v>
      </c>
    </row>
    <row r="50" spans="1:9" x14ac:dyDescent="0.2">
      <c r="A50" s="3">
        <v>39</v>
      </c>
      <c r="B50" t="s">
        <v>42</v>
      </c>
      <c r="G50" s="9">
        <v>1</v>
      </c>
      <c r="H50" s="9">
        <v>1</v>
      </c>
      <c r="I50" s="9">
        <v>1</v>
      </c>
    </row>
    <row r="51" spans="1:9" x14ac:dyDescent="0.2">
      <c r="A51" s="3">
        <v>40</v>
      </c>
      <c r="B51" t="s">
        <v>43</v>
      </c>
      <c r="G51" s="9">
        <v>8</v>
      </c>
      <c r="H51" s="9">
        <v>8</v>
      </c>
      <c r="I51" s="9">
        <v>8</v>
      </c>
    </row>
    <row r="52" spans="1:9" x14ac:dyDescent="0.2">
      <c r="A52" s="3">
        <v>41</v>
      </c>
      <c r="G52" s="11"/>
      <c r="H52" s="11"/>
      <c r="I52" s="11"/>
    </row>
    <row r="53" spans="1:9" x14ac:dyDescent="0.2">
      <c r="A53" s="3">
        <v>42</v>
      </c>
      <c r="B53" t="s">
        <v>44</v>
      </c>
      <c r="G53" s="9">
        <v>0</v>
      </c>
      <c r="H53" s="9">
        <v>1</v>
      </c>
      <c r="I53" s="9">
        <v>1</v>
      </c>
    </row>
    <row r="54" spans="1:9" x14ac:dyDescent="0.2">
      <c r="A54" s="3">
        <v>43</v>
      </c>
      <c r="G54" s="9"/>
      <c r="H54" s="9"/>
      <c r="I54" s="9"/>
    </row>
    <row r="55" spans="1:9" x14ac:dyDescent="0.2">
      <c r="A55" s="3">
        <v>44</v>
      </c>
      <c r="B55" s="162" t="s">
        <v>93</v>
      </c>
      <c r="C55" s="25"/>
      <c r="D55" s="25"/>
      <c r="E55" s="163"/>
      <c r="F55" s="163"/>
      <c r="G55" s="163">
        <v>1</v>
      </c>
      <c r="H55" s="163">
        <v>1</v>
      </c>
      <c r="I55" s="163">
        <v>1</v>
      </c>
    </row>
    <row r="56" spans="1:9" x14ac:dyDescent="0.2">
      <c r="A56" s="3">
        <v>45</v>
      </c>
      <c r="B56" s="162"/>
      <c r="C56" s="25"/>
      <c r="D56" s="25"/>
      <c r="E56" s="163"/>
      <c r="F56" s="163"/>
      <c r="G56" s="163"/>
      <c r="H56" s="163"/>
      <c r="I56" s="11"/>
    </row>
    <row r="57" spans="1:9" x14ac:dyDescent="0.2">
      <c r="A57" s="3">
        <v>46</v>
      </c>
      <c r="B57" t="s">
        <v>15</v>
      </c>
      <c r="G57" s="11">
        <v>0.2</v>
      </c>
      <c r="H57" s="11">
        <v>0.6</v>
      </c>
      <c r="I57" s="11">
        <v>0.2</v>
      </c>
    </row>
  </sheetData>
  <mergeCells count="2">
    <mergeCell ref="B8:P8"/>
    <mergeCell ref="G14:I14"/>
  </mergeCells>
  <pageMargins left="0.25" right="0.25" top="0.75" bottom="0.75" header="0.511811023622047" footer="0.511811023622047"/>
  <pageSetup scale="59" orientation="landscape"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Q53"/>
  <sheetViews>
    <sheetView topLeftCell="A3" zoomScaleNormal="100" zoomScaleSheetLayoutView="80" workbookViewId="0">
      <selection activeCell="B5" sqref="B5"/>
    </sheetView>
  </sheetViews>
  <sheetFormatPr baseColWidth="10" defaultColWidth="10.6640625" defaultRowHeight="16" x14ac:dyDescent="0.2"/>
  <cols>
    <col min="2" max="2" width="3.5" customWidth="1"/>
    <col min="16" max="16" width="16.83203125" customWidth="1"/>
  </cols>
  <sheetData>
    <row r="2" spans="1:17" x14ac:dyDescent="0.2">
      <c r="B2" s="1" t="s">
        <v>0</v>
      </c>
    </row>
    <row r="3" spans="1:17" x14ac:dyDescent="0.2">
      <c r="B3" t="s">
        <v>1</v>
      </c>
    </row>
    <row r="4" spans="1:17" x14ac:dyDescent="0.2">
      <c r="B4" t="s">
        <v>2</v>
      </c>
    </row>
    <row r="5" spans="1:17" x14ac:dyDescent="0.2">
      <c r="B5" s="2" t="s">
        <v>120</v>
      </c>
    </row>
    <row r="6" spans="1:17" x14ac:dyDescent="0.2">
      <c r="B6" t="s">
        <v>3</v>
      </c>
    </row>
    <row r="8" spans="1:17" x14ac:dyDescent="0.2">
      <c r="B8" s="403" t="s">
        <v>4</v>
      </c>
      <c r="C8" s="403"/>
      <c r="D8" s="403"/>
      <c r="E8" s="403"/>
      <c r="F8" s="403"/>
      <c r="G8" s="403"/>
      <c r="H8" s="403"/>
      <c r="I8" s="403"/>
      <c r="J8" s="403"/>
      <c r="K8" s="403"/>
      <c r="L8" s="403"/>
      <c r="M8" s="403"/>
      <c r="N8" s="403"/>
      <c r="O8" s="403"/>
      <c r="P8" s="403"/>
    </row>
    <row r="9" spans="1:17" x14ac:dyDescent="0.2">
      <c r="B9" s="3"/>
      <c r="C9" s="3"/>
      <c r="D9" s="3"/>
      <c r="E9" s="3"/>
      <c r="F9" s="3"/>
      <c r="G9" s="3"/>
      <c r="H9" s="3"/>
      <c r="I9" s="3"/>
      <c r="J9" s="3"/>
      <c r="K9" s="3"/>
      <c r="L9" s="3"/>
      <c r="M9" s="3"/>
      <c r="N9" s="3"/>
      <c r="O9" s="3"/>
      <c r="P9" s="3"/>
    </row>
    <row r="10" spans="1:17" x14ac:dyDescent="0.2">
      <c r="B10" t="s">
        <v>5</v>
      </c>
      <c r="C10" s="3"/>
      <c r="D10" s="3"/>
      <c r="E10" s="3"/>
      <c r="F10" s="3"/>
      <c r="G10" s="3"/>
      <c r="H10" s="3"/>
      <c r="I10" s="3"/>
      <c r="J10" s="3"/>
      <c r="K10" s="3"/>
      <c r="L10" s="3"/>
      <c r="M10" s="3"/>
      <c r="N10" s="3"/>
      <c r="O10" s="3"/>
      <c r="P10" s="3"/>
    </row>
    <row r="12" spans="1:17" x14ac:dyDescent="0.2">
      <c r="A12" s="3">
        <v>1</v>
      </c>
      <c r="B12" s="4" t="s">
        <v>6</v>
      </c>
      <c r="C12" s="5"/>
      <c r="D12" s="5"/>
      <c r="E12" s="5"/>
      <c r="F12" s="5"/>
      <c r="G12" s="5"/>
      <c r="H12" s="5"/>
      <c r="I12" s="5"/>
      <c r="J12" s="5"/>
      <c r="K12" s="5"/>
      <c r="L12" s="5"/>
      <c r="M12" s="5"/>
      <c r="N12" s="5"/>
      <c r="O12" s="5"/>
      <c r="P12" s="5"/>
      <c r="Q12" s="5"/>
    </row>
    <row r="13" spans="1:17" x14ac:dyDescent="0.2">
      <c r="A13" s="3">
        <v>2</v>
      </c>
    </row>
    <row r="14" spans="1:17" x14ac:dyDescent="0.2">
      <c r="A14" s="3"/>
      <c r="G14" s="405" t="s">
        <v>105</v>
      </c>
      <c r="H14" s="405"/>
      <c r="I14" s="405"/>
    </row>
    <row r="15" spans="1:17" x14ac:dyDescent="0.2">
      <c r="A15" s="3">
        <v>3</v>
      </c>
      <c r="B15" s="6" t="s">
        <v>6</v>
      </c>
      <c r="C15" s="6"/>
      <c r="D15" s="6"/>
      <c r="G15" s="7" t="s">
        <v>7</v>
      </c>
      <c r="H15" s="7" t="s">
        <v>8</v>
      </c>
      <c r="I15" s="7" t="s">
        <v>9</v>
      </c>
    </row>
    <row r="16" spans="1:17" x14ac:dyDescent="0.2">
      <c r="A16" s="3">
        <v>4</v>
      </c>
      <c r="B16" s="6"/>
      <c r="C16" s="6"/>
      <c r="D16" s="6"/>
      <c r="G16" s="7"/>
      <c r="H16" s="7"/>
      <c r="I16" s="7"/>
    </row>
    <row r="17" spans="1:10" x14ac:dyDescent="0.2">
      <c r="A17" s="3">
        <v>5</v>
      </c>
      <c r="B17" s="12" t="s">
        <v>10</v>
      </c>
      <c r="G17" s="9">
        <v>2</v>
      </c>
      <c r="H17" s="9">
        <v>4</v>
      </c>
      <c r="I17" s="9">
        <v>5</v>
      </c>
      <c r="J17" s="10"/>
    </row>
    <row r="18" spans="1:10" x14ac:dyDescent="0.2">
      <c r="A18" s="3">
        <v>6</v>
      </c>
      <c r="B18" s="8" t="s">
        <v>25</v>
      </c>
      <c r="G18" s="9">
        <v>2</v>
      </c>
      <c r="H18" s="9">
        <v>2</v>
      </c>
      <c r="I18" s="9">
        <v>3</v>
      </c>
      <c r="J18" s="10"/>
    </row>
    <row r="19" spans="1:10" x14ac:dyDescent="0.2">
      <c r="A19" s="3">
        <v>7</v>
      </c>
      <c r="B19" s="8" t="s">
        <v>26</v>
      </c>
      <c r="G19" s="9">
        <v>1</v>
      </c>
      <c r="H19" s="9">
        <v>1</v>
      </c>
      <c r="I19" s="9">
        <v>1</v>
      </c>
      <c r="J19" s="10"/>
    </row>
    <row r="20" spans="1:10" x14ac:dyDescent="0.2">
      <c r="A20" s="3">
        <v>8</v>
      </c>
      <c r="B20" s="8" t="s">
        <v>27</v>
      </c>
      <c r="G20" s="9">
        <v>1</v>
      </c>
      <c r="H20" s="9">
        <v>1</v>
      </c>
      <c r="I20" s="9">
        <v>2</v>
      </c>
      <c r="J20" s="10"/>
    </row>
    <row r="21" spans="1:10" x14ac:dyDescent="0.2">
      <c r="A21" s="3">
        <v>9</v>
      </c>
      <c r="B21" s="8" t="s">
        <v>28</v>
      </c>
      <c r="G21" s="9">
        <v>1</v>
      </c>
      <c r="H21" s="9">
        <v>1</v>
      </c>
      <c r="I21" s="9">
        <v>2</v>
      </c>
      <c r="J21" s="10"/>
    </row>
    <row r="22" spans="1:10" x14ac:dyDescent="0.2">
      <c r="A22" s="3">
        <v>10</v>
      </c>
      <c r="B22" s="8" t="s">
        <v>29</v>
      </c>
      <c r="G22" s="9">
        <v>1</v>
      </c>
      <c r="H22" s="9">
        <v>1</v>
      </c>
      <c r="I22" s="9">
        <v>2</v>
      </c>
      <c r="J22" s="10"/>
    </row>
    <row r="23" spans="1:10" x14ac:dyDescent="0.2">
      <c r="A23" s="3">
        <v>11</v>
      </c>
      <c r="G23" s="9"/>
      <c r="H23" s="9"/>
      <c r="I23" s="9"/>
      <c r="J23" s="10"/>
    </row>
    <row r="24" spans="1:10" x14ac:dyDescent="0.2">
      <c r="A24" s="3">
        <v>12</v>
      </c>
      <c r="B24" s="6" t="s">
        <v>11</v>
      </c>
      <c r="J24" s="10"/>
    </row>
    <row r="25" spans="1:10" x14ac:dyDescent="0.2">
      <c r="A25" s="3">
        <v>13</v>
      </c>
      <c r="B25" t="s">
        <v>16</v>
      </c>
      <c r="G25" s="9">
        <v>1</v>
      </c>
      <c r="H25" s="9">
        <v>1</v>
      </c>
      <c r="I25" s="9">
        <v>1</v>
      </c>
      <c r="J25" s="10"/>
    </row>
    <row r="26" spans="1:10" x14ac:dyDescent="0.2">
      <c r="A26" s="3">
        <v>14</v>
      </c>
      <c r="B26" t="s">
        <v>17</v>
      </c>
      <c r="G26" s="9">
        <v>1</v>
      </c>
      <c r="H26" s="9">
        <v>1</v>
      </c>
      <c r="I26" s="9">
        <v>2</v>
      </c>
      <c r="J26" s="10"/>
    </row>
    <row r="27" spans="1:10" x14ac:dyDescent="0.2">
      <c r="A27" s="3">
        <v>15</v>
      </c>
      <c r="B27" t="s">
        <v>18</v>
      </c>
      <c r="G27" s="9">
        <v>1</v>
      </c>
      <c r="H27" s="9">
        <v>1</v>
      </c>
      <c r="I27" s="9">
        <v>2</v>
      </c>
    </row>
    <row r="28" spans="1:10" x14ac:dyDescent="0.2">
      <c r="A28" s="3">
        <v>16</v>
      </c>
      <c r="B28" t="s">
        <v>19</v>
      </c>
      <c r="G28" s="9">
        <v>1</v>
      </c>
      <c r="H28" s="9">
        <v>1</v>
      </c>
      <c r="I28" s="9">
        <v>1</v>
      </c>
    </row>
    <row r="29" spans="1:10" x14ac:dyDescent="0.2">
      <c r="A29" s="3">
        <v>17</v>
      </c>
      <c r="B29" t="s">
        <v>20</v>
      </c>
      <c r="G29" s="9">
        <v>4</v>
      </c>
      <c r="H29" s="9">
        <v>8</v>
      </c>
      <c r="I29" s="9">
        <v>10</v>
      </c>
    </row>
    <row r="30" spans="1:10" x14ac:dyDescent="0.2">
      <c r="A30" s="3">
        <v>18</v>
      </c>
      <c r="B30" t="s">
        <v>21</v>
      </c>
      <c r="G30" s="9">
        <v>1</v>
      </c>
      <c r="H30" s="9">
        <v>1</v>
      </c>
      <c r="I30" s="9">
        <v>1</v>
      </c>
    </row>
    <row r="31" spans="1:10" x14ac:dyDescent="0.2">
      <c r="A31" s="3">
        <v>19</v>
      </c>
    </row>
    <row r="32" spans="1:10" x14ac:dyDescent="0.2">
      <c r="A32" s="3">
        <v>20</v>
      </c>
      <c r="B32" s="12" t="s">
        <v>12</v>
      </c>
    </row>
    <row r="33" spans="1:9" x14ac:dyDescent="0.2">
      <c r="A33" s="3">
        <v>21</v>
      </c>
      <c r="B33" s="8" t="s">
        <v>30</v>
      </c>
      <c r="G33" s="9">
        <v>4</v>
      </c>
      <c r="H33" s="9">
        <v>8</v>
      </c>
      <c r="I33" s="9">
        <v>8</v>
      </c>
    </row>
    <row r="34" spans="1:9" x14ac:dyDescent="0.2">
      <c r="A34" s="3">
        <v>22</v>
      </c>
      <c r="B34" s="8" t="s">
        <v>31</v>
      </c>
      <c r="G34" s="9">
        <v>8</v>
      </c>
      <c r="H34" s="9">
        <v>16</v>
      </c>
      <c r="I34" s="9">
        <v>16</v>
      </c>
    </row>
    <row r="35" spans="1:9" x14ac:dyDescent="0.2">
      <c r="A35" s="3">
        <v>23</v>
      </c>
      <c r="B35" s="13" t="s">
        <v>32</v>
      </c>
      <c r="G35" s="9">
        <v>1</v>
      </c>
      <c r="H35" s="9">
        <v>2</v>
      </c>
      <c r="I35" s="9">
        <v>2</v>
      </c>
    </row>
    <row r="36" spans="1:9" x14ac:dyDescent="0.2">
      <c r="A36" s="3">
        <v>24</v>
      </c>
      <c r="B36" s="13" t="s">
        <v>36</v>
      </c>
      <c r="G36" s="9">
        <v>1</v>
      </c>
      <c r="H36" s="9">
        <v>1</v>
      </c>
      <c r="I36" s="9">
        <v>1</v>
      </c>
    </row>
    <row r="37" spans="1:9" x14ac:dyDescent="0.2">
      <c r="A37" s="3">
        <v>25</v>
      </c>
      <c r="B37" s="13" t="s">
        <v>37</v>
      </c>
      <c r="G37" s="9">
        <v>1</v>
      </c>
      <c r="H37" s="9">
        <v>1</v>
      </c>
      <c r="I37" s="9">
        <v>1</v>
      </c>
    </row>
    <row r="38" spans="1:9" x14ac:dyDescent="0.2">
      <c r="A38" s="3">
        <v>26</v>
      </c>
      <c r="B38" s="8"/>
      <c r="G38" s="9"/>
      <c r="H38" s="9"/>
      <c r="I38" s="9"/>
    </row>
    <row r="39" spans="1:9" x14ac:dyDescent="0.2">
      <c r="A39" s="3">
        <v>27</v>
      </c>
      <c r="B39" s="14" t="s">
        <v>14</v>
      </c>
      <c r="C39" s="15"/>
      <c r="D39" s="15"/>
    </row>
    <row r="40" spans="1:9" x14ac:dyDescent="0.2">
      <c r="A40" s="3">
        <v>28</v>
      </c>
      <c r="B40" s="15" t="s">
        <v>33</v>
      </c>
      <c r="D40" s="15"/>
      <c r="G40" s="9">
        <v>0</v>
      </c>
      <c r="H40" s="9">
        <v>0</v>
      </c>
      <c r="I40" s="9">
        <v>35</v>
      </c>
    </row>
    <row r="41" spans="1:9" x14ac:dyDescent="0.2">
      <c r="A41" s="3">
        <v>29</v>
      </c>
      <c r="B41" s="13" t="s">
        <v>34</v>
      </c>
      <c r="D41" s="15"/>
      <c r="G41" s="9">
        <v>0</v>
      </c>
      <c r="H41" s="9">
        <v>0</v>
      </c>
      <c r="I41" s="9">
        <v>1</v>
      </c>
    </row>
    <row r="42" spans="1:9" x14ac:dyDescent="0.2">
      <c r="A42" s="3">
        <v>30</v>
      </c>
      <c r="B42" s="13" t="s">
        <v>35</v>
      </c>
      <c r="D42" s="15"/>
      <c r="G42" s="9">
        <v>0</v>
      </c>
      <c r="H42" s="9">
        <v>0</v>
      </c>
      <c r="I42" s="9">
        <v>1</v>
      </c>
    </row>
    <row r="43" spans="1:9" x14ac:dyDescent="0.2">
      <c r="A43" s="3">
        <v>31</v>
      </c>
      <c r="B43" s="13" t="s">
        <v>38</v>
      </c>
      <c r="D43" s="15"/>
      <c r="G43" s="9"/>
      <c r="H43" s="9"/>
      <c r="I43" s="9"/>
    </row>
    <row r="44" spans="1:9" x14ac:dyDescent="0.2">
      <c r="A44" s="3">
        <v>32</v>
      </c>
      <c r="B44" s="13"/>
      <c r="D44" s="15"/>
      <c r="G44" s="9"/>
      <c r="H44" s="9"/>
      <c r="I44" s="9"/>
    </row>
    <row r="45" spans="1:9" x14ac:dyDescent="0.2">
      <c r="A45" s="3">
        <v>33</v>
      </c>
      <c r="B45" s="6" t="s">
        <v>39</v>
      </c>
    </row>
    <row r="46" spans="1:9" x14ac:dyDescent="0.2">
      <c r="A46" s="3">
        <v>34</v>
      </c>
      <c r="B46" t="s">
        <v>40</v>
      </c>
      <c r="G46" s="9">
        <v>1</v>
      </c>
      <c r="H46" s="9">
        <v>1</v>
      </c>
      <c r="I46" s="9">
        <v>1</v>
      </c>
    </row>
    <row r="47" spans="1:9" x14ac:dyDescent="0.2">
      <c r="A47" s="3">
        <v>35</v>
      </c>
      <c r="B47" t="s">
        <v>41</v>
      </c>
      <c r="G47" s="9">
        <v>1</v>
      </c>
      <c r="H47" s="9">
        <v>1</v>
      </c>
      <c r="I47" s="9">
        <v>1</v>
      </c>
    </row>
    <row r="48" spans="1:9" x14ac:dyDescent="0.2">
      <c r="A48" s="3">
        <v>36</v>
      </c>
      <c r="B48" t="s">
        <v>42</v>
      </c>
      <c r="G48" s="9">
        <v>1</v>
      </c>
      <c r="H48" s="9">
        <v>1</v>
      </c>
      <c r="I48" s="9">
        <v>1</v>
      </c>
    </row>
    <row r="49" spans="1:9" x14ac:dyDescent="0.2">
      <c r="A49" s="3">
        <v>37</v>
      </c>
      <c r="B49" t="s">
        <v>43</v>
      </c>
      <c r="G49" s="9">
        <v>8</v>
      </c>
      <c r="H49" s="9">
        <v>8</v>
      </c>
      <c r="I49" s="9">
        <v>8</v>
      </c>
    </row>
    <row r="50" spans="1:9" x14ac:dyDescent="0.2">
      <c r="A50" s="3">
        <v>38</v>
      </c>
      <c r="G50" s="11"/>
      <c r="H50" s="11"/>
      <c r="I50" s="11"/>
    </row>
    <row r="51" spans="1:9" x14ac:dyDescent="0.2">
      <c r="A51" s="3">
        <v>39</v>
      </c>
      <c r="B51" t="s">
        <v>44</v>
      </c>
      <c r="G51" s="9">
        <v>0</v>
      </c>
      <c r="H51" s="9">
        <v>1</v>
      </c>
      <c r="I51" s="9">
        <v>1</v>
      </c>
    </row>
    <row r="52" spans="1:9" x14ac:dyDescent="0.2">
      <c r="A52" s="3">
        <v>40</v>
      </c>
      <c r="G52" s="11"/>
      <c r="H52" s="11"/>
      <c r="I52" s="11"/>
    </row>
    <row r="53" spans="1:9" x14ac:dyDescent="0.2">
      <c r="A53" s="3">
        <v>41</v>
      </c>
      <c r="B53" t="s">
        <v>15</v>
      </c>
      <c r="G53" s="11">
        <v>0.2</v>
      </c>
      <c r="H53" s="11">
        <v>0.6</v>
      </c>
      <c r="I53" s="11">
        <v>0.2</v>
      </c>
    </row>
  </sheetData>
  <mergeCells count="2">
    <mergeCell ref="B8:P8"/>
    <mergeCell ref="G14:I14"/>
  </mergeCells>
  <pageMargins left="0.25" right="0.25" top="0.75" bottom="0.75" header="0.511811023622047" footer="0.511811023622047"/>
  <pageSetup scale="64" orientation="landscape"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71EE1-6886-304C-9E7E-226D49FE1FAA}">
  <sheetPr>
    <pageSetUpPr fitToPage="1"/>
  </sheetPr>
  <dimension ref="A2:U53"/>
  <sheetViews>
    <sheetView topLeftCell="A9" zoomScaleNormal="100" zoomScaleSheetLayoutView="80" workbookViewId="0">
      <selection activeCell="B18" sqref="B18:D22"/>
    </sheetView>
  </sheetViews>
  <sheetFormatPr baseColWidth="10" defaultColWidth="10.6640625" defaultRowHeight="16" x14ac:dyDescent="0.2"/>
  <cols>
    <col min="2" max="2" width="3.5" customWidth="1"/>
    <col min="20" max="20" width="16.83203125" customWidth="1"/>
  </cols>
  <sheetData>
    <row r="2" spans="1:21" x14ac:dyDescent="0.2">
      <c r="B2" s="1" t="s">
        <v>0</v>
      </c>
    </row>
    <row r="3" spans="1:21" x14ac:dyDescent="0.2">
      <c r="B3" t="s">
        <v>1</v>
      </c>
    </row>
    <row r="4" spans="1:21" x14ac:dyDescent="0.2">
      <c r="B4" t="s">
        <v>2</v>
      </c>
    </row>
    <row r="5" spans="1:21" x14ac:dyDescent="0.2">
      <c r="B5" s="160" t="s">
        <v>182</v>
      </c>
    </row>
    <row r="6" spans="1:21" x14ac:dyDescent="0.2">
      <c r="B6" t="s">
        <v>3</v>
      </c>
    </row>
    <row r="8" spans="1:21" x14ac:dyDescent="0.2">
      <c r="B8" s="6" t="s">
        <v>4</v>
      </c>
      <c r="C8" s="6"/>
      <c r="D8" s="6"/>
      <c r="E8" s="6"/>
      <c r="F8" s="6"/>
      <c r="G8" s="6"/>
      <c r="H8" s="6"/>
      <c r="I8" s="6"/>
      <c r="J8" s="6"/>
      <c r="K8" s="6"/>
      <c r="L8" s="6"/>
      <c r="M8" s="6"/>
      <c r="N8" s="6"/>
      <c r="O8" s="6"/>
      <c r="P8" s="6"/>
      <c r="Q8" s="6"/>
      <c r="R8" s="6"/>
      <c r="S8" s="6"/>
      <c r="T8" s="6"/>
    </row>
    <row r="9" spans="1:21" x14ac:dyDescent="0.2">
      <c r="B9" s="3"/>
      <c r="C9" s="3"/>
      <c r="D9" s="3"/>
      <c r="E9" s="3"/>
      <c r="F9" s="3"/>
      <c r="G9" s="3"/>
      <c r="H9" s="3"/>
      <c r="I9" s="3"/>
      <c r="J9" s="3"/>
      <c r="K9" s="3"/>
      <c r="L9" s="3"/>
      <c r="M9" s="3"/>
      <c r="N9" s="3"/>
      <c r="O9" s="3"/>
      <c r="P9" s="3"/>
      <c r="Q9" s="3"/>
      <c r="R9" s="3"/>
      <c r="S9" s="3"/>
      <c r="T9" s="3"/>
    </row>
    <row r="10" spans="1:21" x14ac:dyDescent="0.2">
      <c r="B10" t="s">
        <v>5</v>
      </c>
      <c r="C10" s="3"/>
      <c r="D10" s="3"/>
      <c r="E10" s="3"/>
      <c r="F10" s="3"/>
      <c r="G10" s="3"/>
      <c r="H10" s="3"/>
      <c r="I10" s="3"/>
      <c r="J10" s="3"/>
      <c r="K10" s="3"/>
      <c r="L10" s="3"/>
      <c r="M10" s="3"/>
      <c r="N10" s="3"/>
      <c r="O10" s="3"/>
      <c r="P10" s="3"/>
      <c r="Q10" s="3"/>
      <c r="R10" s="3"/>
      <c r="S10" s="3"/>
      <c r="T10" s="3"/>
    </row>
    <row r="12" spans="1:21" x14ac:dyDescent="0.2">
      <c r="A12" s="3">
        <v>1</v>
      </c>
      <c r="B12" s="4" t="s">
        <v>6</v>
      </c>
      <c r="C12" s="5"/>
      <c r="D12" s="5"/>
      <c r="E12" s="5"/>
      <c r="F12" s="5"/>
      <c r="G12" s="5"/>
      <c r="H12" s="5"/>
      <c r="I12" s="5"/>
      <c r="J12" s="5"/>
      <c r="K12" s="5"/>
      <c r="L12" s="5"/>
      <c r="M12" s="5"/>
      <c r="N12" s="5"/>
      <c r="O12" s="5"/>
      <c r="P12" s="5"/>
      <c r="Q12" s="5"/>
      <c r="R12" s="5"/>
      <c r="S12" s="5"/>
      <c r="T12" s="5"/>
      <c r="U12" s="5"/>
    </row>
    <row r="13" spans="1:21" x14ac:dyDescent="0.2">
      <c r="A13" s="3">
        <v>2</v>
      </c>
      <c r="O13" s="38"/>
      <c r="P13" s="38"/>
      <c r="Q13" s="38"/>
    </row>
    <row r="14" spans="1:21" x14ac:dyDescent="0.2">
      <c r="A14" s="3"/>
      <c r="G14" s="406" t="s">
        <v>97</v>
      </c>
      <c r="H14" s="406"/>
      <c r="I14" s="406"/>
      <c r="K14" s="408" t="s">
        <v>181</v>
      </c>
      <c r="L14" s="408"/>
      <c r="M14" s="408"/>
      <c r="O14" s="407" t="s">
        <v>105</v>
      </c>
      <c r="P14" s="407"/>
      <c r="Q14" s="407"/>
      <c r="S14" s="220"/>
      <c r="T14" s="220"/>
      <c r="U14" s="220"/>
    </row>
    <row r="15" spans="1:21" x14ac:dyDescent="0.2">
      <c r="A15" s="3">
        <v>3</v>
      </c>
      <c r="B15" s="6" t="s">
        <v>6</v>
      </c>
      <c r="C15" s="6"/>
      <c r="D15" s="6"/>
      <c r="G15" s="7" t="s">
        <v>7</v>
      </c>
      <c r="H15" s="7" t="s">
        <v>8</v>
      </c>
      <c r="I15" s="7" t="s">
        <v>9</v>
      </c>
      <c r="K15" s="7" t="s">
        <v>7</v>
      </c>
      <c r="L15" s="7" t="s">
        <v>8</v>
      </c>
      <c r="M15" s="7" t="s">
        <v>9</v>
      </c>
      <c r="O15" s="37" t="s">
        <v>7</v>
      </c>
      <c r="P15" s="37" t="s">
        <v>8</v>
      </c>
      <c r="Q15" s="37" t="s">
        <v>9</v>
      </c>
      <c r="S15" s="7"/>
      <c r="T15" s="7"/>
      <c r="U15" s="7"/>
    </row>
    <row r="16" spans="1:21" x14ac:dyDescent="0.2">
      <c r="A16" s="3">
        <v>4</v>
      </c>
      <c r="B16" s="6"/>
      <c r="C16" s="6"/>
      <c r="D16" s="6"/>
      <c r="G16" s="7"/>
      <c r="H16" s="7"/>
      <c r="I16" s="7"/>
      <c r="K16" s="7"/>
      <c r="L16" s="7"/>
      <c r="M16" s="7"/>
      <c r="O16" s="37"/>
      <c r="P16" s="37"/>
      <c r="Q16" s="37"/>
      <c r="S16" s="7"/>
      <c r="T16" s="7"/>
      <c r="U16" s="7"/>
    </row>
    <row r="17" spans="1:21" x14ac:dyDescent="0.2">
      <c r="A17" s="3">
        <v>5</v>
      </c>
      <c r="B17" s="219" t="s">
        <v>10</v>
      </c>
      <c r="C17" s="218"/>
      <c r="D17" s="218"/>
      <c r="E17" s="218"/>
      <c r="F17" s="218"/>
      <c r="G17" s="217">
        <v>1</v>
      </c>
      <c r="H17" s="217">
        <v>4</v>
      </c>
      <c r="I17" s="217">
        <v>5</v>
      </c>
      <c r="J17" s="10"/>
      <c r="K17" s="9">
        <v>1</v>
      </c>
      <c r="L17" s="9">
        <v>4</v>
      </c>
      <c r="M17" s="9">
        <v>5</v>
      </c>
      <c r="N17" s="10"/>
      <c r="O17" s="40">
        <v>2</v>
      </c>
      <c r="P17" s="40">
        <v>4</v>
      </c>
      <c r="Q17" s="40">
        <v>5</v>
      </c>
      <c r="S17" s="9"/>
      <c r="T17" s="9"/>
      <c r="U17" s="9"/>
    </row>
    <row r="18" spans="1:21" x14ac:dyDescent="0.2">
      <c r="A18" s="3">
        <v>6</v>
      </c>
      <c r="B18" t="s">
        <v>25</v>
      </c>
      <c r="G18" s="9">
        <v>1</v>
      </c>
      <c r="H18" s="9">
        <v>1</v>
      </c>
      <c r="I18" s="9">
        <v>3</v>
      </c>
      <c r="J18" s="10"/>
      <c r="K18" s="9">
        <v>1</v>
      </c>
      <c r="L18" s="9">
        <v>1</v>
      </c>
      <c r="M18" s="9">
        <v>1</v>
      </c>
      <c r="N18" s="10"/>
      <c r="O18" s="40">
        <v>2</v>
      </c>
      <c r="P18" s="40">
        <v>2</v>
      </c>
      <c r="Q18" s="40">
        <v>3</v>
      </c>
      <c r="S18" s="9"/>
      <c r="T18" s="9"/>
      <c r="U18" s="9"/>
    </row>
    <row r="19" spans="1:21" x14ac:dyDescent="0.2">
      <c r="A19" s="3">
        <v>7</v>
      </c>
      <c r="B19" t="s">
        <v>26</v>
      </c>
      <c r="G19" s="9">
        <v>1</v>
      </c>
      <c r="H19" s="9">
        <v>1</v>
      </c>
      <c r="I19" s="9">
        <v>1</v>
      </c>
      <c r="J19" s="10"/>
      <c r="K19" s="9">
        <v>1</v>
      </c>
      <c r="L19" s="9">
        <v>1</v>
      </c>
      <c r="M19" s="9">
        <v>1</v>
      </c>
      <c r="N19" s="10"/>
      <c r="O19" s="40">
        <v>1</v>
      </c>
      <c r="P19" s="40">
        <v>1</v>
      </c>
      <c r="Q19" s="40">
        <v>1</v>
      </c>
      <c r="S19" s="9"/>
      <c r="T19" s="9"/>
      <c r="U19" s="9"/>
    </row>
    <row r="20" spans="1:21" x14ac:dyDescent="0.2">
      <c r="A20" s="3">
        <v>8</v>
      </c>
      <c r="B20" t="s">
        <v>27</v>
      </c>
      <c r="G20" s="9">
        <v>1</v>
      </c>
      <c r="H20" s="9">
        <v>1</v>
      </c>
      <c r="I20" s="9">
        <v>2</v>
      </c>
      <c r="J20" s="10"/>
      <c r="K20" s="9">
        <v>1</v>
      </c>
      <c r="L20" s="9">
        <v>1</v>
      </c>
      <c r="M20" s="9">
        <v>1</v>
      </c>
      <c r="N20" s="10"/>
      <c r="O20" s="40">
        <v>1</v>
      </c>
      <c r="P20" s="40">
        <v>1</v>
      </c>
      <c r="Q20" s="40">
        <v>2</v>
      </c>
      <c r="S20" s="9"/>
      <c r="T20" s="9"/>
      <c r="U20" s="9"/>
    </row>
    <row r="21" spans="1:21" x14ac:dyDescent="0.2">
      <c r="A21" s="3">
        <v>9</v>
      </c>
      <c r="B21" t="s">
        <v>28</v>
      </c>
      <c r="G21" s="9">
        <v>1</v>
      </c>
      <c r="H21" s="9">
        <v>1</v>
      </c>
      <c r="I21" s="9">
        <v>2</v>
      </c>
      <c r="J21" s="10"/>
      <c r="K21" s="9">
        <v>1</v>
      </c>
      <c r="L21" s="9">
        <v>1</v>
      </c>
      <c r="M21" s="9">
        <v>1</v>
      </c>
      <c r="N21" s="10"/>
      <c r="O21" s="40">
        <v>1</v>
      </c>
      <c r="P21" s="40">
        <v>1</v>
      </c>
      <c r="Q21" s="40">
        <v>2</v>
      </c>
      <c r="S21" s="9"/>
      <c r="T21" s="9"/>
      <c r="U21" s="9"/>
    </row>
    <row r="22" spans="1:21" x14ac:dyDescent="0.2">
      <c r="A22" s="3">
        <v>10</v>
      </c>
      <c r="B22" t="s">
        <v>29</v>
      </c>
      <c r="G22" s="9">
        <v>1</v>
      </c>
      <c r="H22" s="9">
        <v>1</v>
      </c>
      <c r="I22" s="9">
        <v>2</v>
      </c>
      <c r="J22" s="10"/>
      <c r="K22" s="9">
        <v>1</v>
      </c>
      <c r="L22" s="9">
        <v>1</v>
      </c>
      <c r="M22" s="9">
        <v>1</v>
      </c>
      <c r="N22" s="10"/>
      <c r="O22" s="40">
        <v>1</v>
      </c>
      <c r="P22" s="40">
        <v>1</v>
      </c>
      <c r="Q22" s="40">
        <v>2</v>
      </c>
      <c r="S22" s="9"/>
      <c r="T22" s="9"/>
      <c r="U22" s="9"/>
    </row>
    <row r="23" spans="1:21" x14ac:dyDescent="0.2">
      <c r="A23" s="3">
        <v>11</v>
      </c>
      <c r="G23" s="9"/>
      <c r="H23" s="9"/>
      <c r="I23" s="9"/>
      <c r="J23" s="10"/>
      <c r="K23" s="9"/>
      <c r="L23" s="9"/>
      <c r="M23" s="9"/>
      <c r="N23" s="10"/>
      <c r="O23" s="40"/>
      <c r="P23" s="40"/>
      <c r="Q23" s="40"/>
      <c r="S23" s="9"/>
      <c r="T23" s="9"/>
      <c r="U23" s="9"/>
    </row>
    <row r="24" spans="1:21" x14ac:dyDescent="0.2">
      <c r="A24" s="3">
        <v>12</v>
      </c>
      <c r="B24" s="6" t="s">
        <v>11</v>
      </c>
      <c r="J24" s="10"/>
      <c r="N24" s="10"/>
      <c r="O24" s="38"/>
      <c r="P24" s="38"/>
      <c r="Q24" s="38"/>
    </row>
    <row r="25" spans="1:21" x14ac:dyDescent="0.2">
      <c r="A25" s="3">
        <v>13</v>
      </c>
      <c r="B25" t="s">
        <v>16</v>
      </c>
      <c r="G25" s="9">
        <v>0</v>
      </c>
      <c r="H25" s="9">
        <v>1</v>
      </c>
      <c r="I25" s="9">
        <v>1</v>
      </c>
      <c r="J25" s="10"/>
      <c r="K25" s="9">
        <v>0</v>
      </c>
      <c r="L25" s="9">
        <v>1</v>
      </c>
      <c r="M25" s="9">
        <v>0</v>
      </c>
      <c r="N25" s="10"/>
      <c r="O25" s="40">
        <v>1</v>
      </c>
      <c r="P25" s="40">
        <v>1</v>
      </c>
      <c r="Q25" s="40">
        <v>1</v>
      </c>
      <c r="S25" s="9"/>
      <c r="T25" s="9"/>
      <c r="U25" s="9"/>
    </row>
    <row r="26" spans="1:21" x14ac:dyDescent="0.2">
      <c r="A26" s="3">
        <v>14</v>
      </c>
      <c r="B26" t="s">
        <v>17</v>
      </c>
      <c r="G26" s="9">
        <v>0</v>
      </c>
      <c r="H26" s="9">
        <v>1</v>
      </c>
      <c r="I26" s="9">
        <v>2</v>
      </c>
      <c r="J26" s="10"/>
      <c r="K26" s="9">
        <v>0</v>
      </c>
      <c r="L26" s="9">
        <v>1</v>
      </c>
      <c r="M26" s="9">
        <v>0</v>
      </c>
      <c r="N26" s="10"/>
      <c r="O26" s="40">
        <v>1</v>
      </c>
      <c r="P26" s="40">
        <v>1</v>
      </c>
      <c r="Q26" s="40">
        <v>2</v>
      </c>
      <c r="S26" s="9"/>
      <c r="T26" s="9"/>
      <c r="U26" s="9"/>
    </row>
    <row r="27" spans="1:21" x14ac:dyDescent="0.2">
      <c r="A27" s="3">
        <v>15</v>
      </c>
      <c r="B27" t="s">
        <v>18</v>
      </c>
      <c r="G27" s="9">
        <v>0</v>
      </c>
      <c r="H27" s="9">
        <v>1</v>
      </c>
      <c r="I27" s="9">
        <v>2</v>
      </c>
      <c r="K27" s="9">
        <v>0</v>
      </c>
      <c r="L27" s="9">
        <v>1</v>
      </c>
      <c r="M27" s="9">
        <v>0</v>
      </c>
      <c r="O27" s="40">
        <v>1</v>
      </c>
      <c r="P27" s="40">
        <v>1</v>
      </c>
      <c r="Q27" s="40">
        <v>2</v>
      </c>
      <c r="S27" s="9"/>
      <c r="T27" s="9"/>
      <c r="U27" s="9"/>
    </row>
    <row r="28" spans="1:21" x14ac:dyDescent="0.2">
      <c r="A28" s="3">
        <v>16</v>
      </c>
      <c r="B28" t="s">
        <v>19</v>
      </c>
      <c r="G28" s="9">
        <v>0</v>
      </c>
      <c r="H28" s="9">
        <v>1</v>
      </c>
      <c r="I28" s="9">
        <v>1</v>
      </c>
      <c r="K28" s="9">
        <v>0</v>
      </c>
      <c r="L28" s="9">
        <v>1</v>
      </c>
      <c r="M28" s="9">
        <v>0</v>
      </c>
      <c r="O28" s="40">
        <v>1</v>
      </c>
      <c r="P28" s="40">
        <v>1</v>
      </c>
      <c r="Q28" s="40">
        <v>1</v>
      </c>
      <c r="S28" s="9"/>
      <c r="T28" s="9"/>
      <c r="U28" s="9"/>
    </row>
    <row r="29" spans="1:21" x14ac:dyDescent="0.2">
      <c r="A29" s="3">
        <v>17</v>
      </c>
      <c r="B29" t="s">
        <v>20</v>
      </c>
      <c r="G29" s="9">
        <v>0</v>
      </c>
      <c r="H29" s="9">
        <v>8</v>
      </c>
      <c r="I29" s="9">
        <v>10</v>
      </c>
      <c r="K29" s="9">
        <v>0</v>
      </c>
      <c r="L29" s="9">
        <v>6</v>
      </c>
      <c r="M29" s="9">
        <v>0</v>
      </c>
      <c r="O29" s="40">
        <v>4</v>
      </c>
      <c r="P29" s="40">
        <v>8</v>
      </c>
      <c r="Q29" s="40">
        <v>10</v>
      </c>
      <c r="S29" s="9"/>
      <c r="T29" s="9"/>
      <c r="U29" s="9"/>
    </row>
    <row r="30" spans="1:21" x14ac:dyDescent="0.2">
      <c r="A30" s="3">
        <v>18</v>
      </c>
      <c r="B30" t="s">
        <v>21</v>
      </c>
      <c r="G30" s="9">
        <v>0</v>
      </c>
      <c r="H30" s="9">
        <v>1</v>
      </c>
      <c r="I30" s="9">
        <v>1</v>
      </c>
      <c r="K30" s="9">
        <v>0</v>
      </c>
      <c r="L30" s="9">
        <v>2</v>
      </c>
      <c r="M30" s="9">
        <v>2</v>
      </c>
      <c r="O30" s="40">
        <v>1</v>
      </c>
      <c r="P30" s="40">
        <v>1</v>
      </c>
      <c r="Q30" s="40">
        <v>1</v>
      </c>
      <c r="S30" s="9"/>
      <c r="T30" s="9"/>
      <c r="U30" s="9"/>
    </row>
    <row r="31" spans="1:21" x14ac:dyDescent="0.2">
      <c r="A31" s="3">
        <v>19</v>
      </c>
      <c r="O31" s="38"/>
      <c r="P31" s="38"/>
      <c r="Q31" s="38"/>
    </row>
    <row r="32" spans="1:21" x14ac:dyDescent="0.2">
      <c r="A32" s="3">
        <v>20</v>
      </c>
      <c r="B32" s="12" t="s">
        <v>12</v>
      </c>
      <c r="O32" s="38"/>
      <c r="P32" s="38"/>
      <c r="Q32" s="38"/>
    </row>
    <row r="33" spans="1:21" x14ac:dyDescent="0.2">
      <c r="A33" s="3">
        <v>21</v>
      </c>
      <c r="B33" s="218" t="s">
        <v>30</v>
      </c>
      <c r="C33" s="218"/>
      <c r="D33" s="218"/>
      <c r="E33" s="218"/>
      <c r="F33" s="218"/>
      <c r="G33" s="217">
        <v>2</v>
      </c>
      <c r="H33" s="217">
        <v>8</v>
      </c>
      <c r="I33" s="217">
        <v>4</v>
      </c>
      <c r="K33" s="9">
        <v>2</v>
      </c>
      <c r="L33" s="9">
        <v>8</v>
      </c>
      <c r="M33" s="9">
        <v>8</v>
      </c>
      <c r="O33" s="40">
        <v>4</v>
      </c>
      <c r="P33" s="40">
        <v>8</v>
      </c>
      <c r="Q33" s="40">
        <v>8</v>
      </c>
      <c r="S33" s="9"/>
      <c r="T33" s="9"/>
      <c r="U33" s="9"/>
    </row>
    <row r="34" spans="1:21" x14ac:dyDescent="0.2">
      <c r="A34" s="3">
        <v>22</v>
      </c>
      <c r="B34" s="218" t="s">
        <v>31</v>
      </c>
      <c r="C34" s="218"/>
      <c r="D34" s="218"/>
      <c r="E34" s="218"/>
      <c r="F34" s="218"/>
      <c r="G34" s="217">
        <v>8</v>
      </c>
      <c r="H34" s="217">
        <v>32</v>
      </c>
      <c r="I34" s="217">
        <v>16</v>
      </c>
      <c r="K34" s="9">
        <v>8</v>
      </c>
      <c r="L34" s="9">
        <v>32</v>
      </c>
      <c r="M34" s="9">
        <v>32</v>
      </c>
      <c r="O34" s="40">
        <v>8</v>
      </c>
      <c r="P34" s="40">
        <v>16</v>
      </c>
      <c r="Q34" s="40">
        <v>16</v>
      </c>
      <c r="S34" s="9"/>
      <c r="T34" s="9"/>
      <c r="U34" s="9"/>
    </row>
    <row r="35" spans="1:21" x14ac:dyDescent="0.2">
      <c r="A35" s="3">
        <v>23</v>
      </c>
      <c r="B35" t="s">
        <v>32</v>
      </c>
      <c r="G35" s="9">
        <v>1</v>
      </c>
      <c r="H35" s="9">
        <v>2</v>
      </c>
      <c r="I35" s="9">
        <v>2</v>
      </c>
      <c r="K35" s="9">
        <v>1</v>
      </c>
      <c r="L35" s="9">
        <v>2</v>
      </c>
      <c r="M35" s="9">
        <v>2</v>
      </c>
      <c r="O35" s="40">
        <v>1</v>
      </c>
      <c r="P35" s="40">
        <v>2</v>
      </c>
      <c r="Q35" s="40">
        <v>2</v>
      </c>
      <c r="S35" s="9"/>
      <c r="T35" s="9"/>
      <c r="U35" s="9"/>
    </row>
    <row r="36" spans="1:21" x14ac:dyDescent="0.2">
      <c r="A36" s="3">
        <v>24</v>
      </c>
      <c r="B36" s="218" t="s">
        <v>36</v>
      </c>
      <c r="C36" s="218"/>
      <c r="D36" s="218"/>
      <c r="E36" s="218"/>
      <c r="F36" s="218"/>
      <c r="G36" s="217">
        <v>1</v>
      </c>
      <c r="H36" s="217">
        <v>2</v>
      </c>
      <c r="I36" s="217">
        <v>2</v>
      </c>
      <c r="K36" s="9">
        <v>0</v>
      </c>
      <c r="L36" s="9">
        <v>0</v>
      </c>
      <c r="M36" s="9">
        <v>0</v>
      </c>
      <c r="O36" s="40">
        <v>1</v>
      </c>
      <c r="P36" s="40">
        <v>1</v>
      </c>
      <c r="Q36" s="40">
        <v>1</v>
      </c>
      <c r="S36" s="9"/>
      <c r="T36" s="9"/>
      <c r="U36" s="9"/>
    </row>
    <row r="37" spans="1:21" x14ac:dyDescent="0.2">
      <c r="A37" s="3">
        <v>25</v>
      </c>
      <c r="B37" s="218" t="s">
        <v>37</v>
      </c>
      <c r="C37" s="218"/>
      <c r="D37" s="218"/>
      <c r="E37" s="218"/>
      <c r="F37" s="218"/>
      <c r="G37" s="217">
        <v>1</v>
      </c>
      <c r="H37" s="217">
        <v>2</v>
      </c>
      <c r="I37" s="217">
        <v>2</v>
      </c>
      <c r="K37" s="9">
        <v>0</v>
      </c>
      <c r="L37" s="9">
        <v>0</v>
      </c>
      <c r="M37" s="9">
        <v>0</v>
      </c>
      <c r="O37" s="40">
        <v>1</v>
      </c>
      <c r="P37" s="40">
        <v>1</v>
      </c>
      <c r="Q37" s="40">
        <v>1</v>
      </c>
      <c r="S37" s="9"/>
      <c r="T37" s="9"/>
      <c r="U37" s="9"/>
    </row>
    <row r="38" spans="1:21" x14ac:dyDescent="0.2">
      <c r="A38" s="3">
        <v>26</v>
      </c>
      <c r="G38" s="9"/>
      <c r="H38" s="9"/>
      <c r="I38" s="9"/>
      <c r="K38" s="9"/>
      <c r="L38" s="9"/>
      <c r="M38" s="9"/>
      <c r="O38" s="40"/>
      <c r="P38" s="40"/>
      <c r="Q38" s="40"/>
      <c r="S38" s="9"/>
      <c r="T38" s="9"/>
      <c r="U38" s="9"/>
    </row>
    <row r="39" spans="1:21" x14ac:dyDescent="0.2">
      <c r="A39" s="3">
        <v>27</v>
      </c>
      <c r="B39" s="12" t="s">
        <v>14</v>
      </c>
      <c r="O39" s="38"/>
      <c r="P39" s="38"/>
      <c r="Q39" s="38"/>
    </row>
    <row r="40" spans="1:21" x14ac:dyDescent="0.2">
      <c r="A40" s="3">
        <v>28</v>
      </c>
      <c r="B40" t="s">
        <v>33</v>
      </c>
      <c r="G40" s="9">
        <v>0</v>
      </c>
      <c r="H40" s="9">
        <v>0</v>
      </c>
      <c r="I40" s="9">
        <v>36</v>
      </c>
      <c r="K40" s="9">
        <v>0</v>
      </c>
      <c r="L40" s="9">
        <v>0</v>
      </c>
      <c r="M40" s="9">
        <v>36</v>
      </c>
      <c r="O40" s="40">
        <v>0</v>
      </c>
      <c r="P40" s="40">
        <v>0</v>
      </c>
      <c r="Q40" s="40">
        <v>35</v>
      </c>
      <c r="S40" s="9"/>
      <c r="T40" s="9"/>
      <c r="U40" s="9"/>
    </row>
    <row r="41" spans="1:21" x14ac:dyDescent="0.2">
      <c r="A41" s="3">
        <v>29</v>
      </c>
      <c r="B41" s="218" t="s">
        <v>34</v>
      </c>
      <c r="C41" s="218"/>
      <c r="D41" s="218"/>
      <c r="E41" s="218"/>
      <c r="F41" s="218"/>
      <c r="G41" s="217">
        <v>0</v>
      </c>
      <c r="H41" s="217">
        <v>0</v>
      </c>
      <c r="I41" s="217">
        <v>1</v>
      </c>
      <c r="K41" s="9">
        <v>0</v>
      </c>
      <c r="L41" s="9">
        <v>0</v>
      </c>
      <c r="M41" s="9">
        <v>1</v>
      </c>
      <c r="O41" s="40">
        <v>0</v>
      </c>
      <c r="P41" s="40">
        <v>0</v>
      </c>
      <c r="Q41" s="40">
        <v>1</v>
      </c>
      <c r="S41" s="9"/>
      <c r="T41" s="9"/>
      <c r="U41" s="9"/>
    </row>
    <row r="42" spans="1:21" x14ac:dyDescent="0.2">
      <c r="A42" s="3">
        <v>30</v>
      </c>
      <c r="B42" s="218" t="s">
        <v>35</v>
      </c>
      <c r="C42" s="218"/>
      <c r="D42" s="218"/>
      <c r="E42" s="218"/>
      <c r="F42" s="218"/>
      <c r="G42" s="217">
        <v>0</v>
      </c>
      <c r="H42" s="217">
        <v>0</v>
      </c>
      <c r="I42" s="217">
        <v>1</v>
      </c>
      <c r="K42" s="9">
        <v>0</v>
      </c>
      <c r="L42" s="9">
        <v>0</v>
      </c>
      <c r="M42" s="9">
        <v>0</v>
      </c>
      <c r="O42" s="40">
        <v>0</v>
      </c>
      <c r="P42" s="40">
        <v>0</v>
      </c>
      <c r="Q42" s="40">
        <v>1</v>
      </c>
      <c r="S42" s="9"/>
      <c r="T42" s="9"/>
      <c r="U42" s="9"/>
    </row>
    <row r="43" spans="1:21" x14ac:dyDescent="0.2">
      <c r="A43" s="3">
        <v>31</v>
      </c>
      <c r="B43" s="218" t="s">
        <v>38</v>
      </c>
      <c r="C43" s="218"/>
      <c r="D43" s="218"/>
      <c r="E43" s="218"/>
      <c r="F43" s="218"/>
      <c r="G43" s="217">
        <v>0</v>
      </c>
      <c r="H43" s="217">
        <v>0</v>
      </c>
      <c r="I43" s="217">
        <v>1</v>
      </c>
      <c r="K43" s="9">
        <v>0</v>
      </c>
      <c r="L43" s="9">
        <v>0</v>
      </c>
      <c r="M43" s="9">
        <v>0</v>
      </c>
      <c r="O43" s="40">
        <v>0</v>
      </c>
      <c r="P43" s="40">
        <v>0</v>
      </c>
      <c r="Q43" s="40">
        <v>1</v>
      </c>
      <c r="S43" s="9"/>
      <c r="T43" s="9"/>
      <c r="U43" s="9"/>
    </row>
    <row r="44" spans="1:21" x14ac:dyDescent="0.2">
      <c r="A44" s="3">
        <v>32</v>
      </c>
      <c r="G44" s="9"/>
      <c r="H44" s="9"/>
      <c r="I44" s="9"/>
      <c r="K44" s="9"/>
      <c r="L44" s="9"/>
      <c r="M44" s="9"/>
      <c r="O44" s="40"/>
      <c r="P44" s="40"/>
      <c r="Q44" s="40"/>
      <c r="S44" s="9"/>
      <c r="T44" s="9"/>
      <c r="U44" s="9"/>
    </row>
    <row r="45" spans="1:21" x14ac:dyDescent="0.2">
      <c r="A45" s="3">
        <v>33</v>
      </c>
      <c r="B45" s="6" t="s">
        <v>39</v>
      </c>
      <c r="O45" s="38"/>
      <c r="P45" s="38"/>
      <c r="Q45" s="38"/>
    </row>
    <row r="46" spans="1:21" x14ac:dyDescent="0.2">
      <c r="A46" s="3">
        <v>34</v>
      </c>
      <c r="B46" t="s">
        <v>40</v>
      </c>
      <c r="G46" s="9">
        <v>1</v>
      </c>
      <c r="H46" s="9">
        <v>1</v>
      </c>
      <c r="I46" s="9">
        <v>1</v>
      </c>
      <c r="K46" s="9">
        <v>1</v>
      </c>
      <c r="L46" s="9">
        <v>0</v>
      </c>
      <c r="M46" s="9">
        <v>1</v>
      </c>
      <c r="O46" s="40">
        <v>1</v>
      </c>
      <c r="P46" s="40">
        <v>1</v>
      </c>
      <c r="Q46" s="40">
        <v>1</v>
      </c>
      <c r="S46" s="9"/>
      <c r="T46" s="9"/>
      <c r="U46" s="9"/>
    </row>
    <row r="47" spans="1:21" x14ac:dyDescent="0.2">
      <c r="A47" s="3">
        <v>35</v>
      </c>
      <c r="B47" t="s">
        <v>41</v>
      </c>
      <c r="G47" s="9">
        <v>1</v>
      </c>
      <c r="H47" s="9">
        <v>1</v>
      </c>
      <c r="I47" s="9">
        <v>1</v>
      </c>
      <c r="K47" s="9">
        <v>1</v>
      </c>
      <c r="L47" s="9">
        <v>0</v>
      </c>
      <c r="M47" s="9">
        <v>1</v>
      </c>
      <c r="O47" s="40">
        <v>1</v>
      </c>
      <c r="P47" s="40">
        <v>1</v>
      </c>
      <c r="Q47" s="40">
        <v>1</v>
      </c>
      <c r="S47" s="9"/>
      <c r="T47" s="9"/>
      <c r="U47" s="9"/>
    </row>
    <row r="48" spans="1:21" x14ac:dyDescent="0.2">
      <c r="A48" s="3">
        <v>36</v>
      </c>
      <c r="B48" t="s">
        <v>42</v>
      </c>
      <c r="G48" s="9">
        <v>1</v>
      </c>
      <c r="H48" s="9">
        <v>1</v>
      </c>
      <c r="I48" s="9">
        <v>1</v>
      </c>
      <c r="K48" s="9">
        <v>1</v>
      </c>
      <c r="L48" s="9">
        <v>0</v>
      </c>
      <c r="M48" s="9">
        <v>1</v>
      </c>
      <c r="O48" s="40">
        <v>1</v>
      </c>
      <c r="P48" s="40">
        <v>1</v>
      </c>
      <c r="Q48" s="40">
        <v>1</v>
      </c>
      <c r="S48" s="9"/>
      <c r="T48" s="9"/>
      <c r="U48" s="9"/>
    </row>
    <row r="49" spans="1:21" x14ac:dyDescent="0.2">
      <c r="A49" s="3">
        <v>37</v>
      </c>
      <c r="B49" t="s">
        <v>43</v>
      </c>
      <c r="G49" s="9">
        <v>8</v>
      </c>
      <c r="H49" s="9">
        <v>8</v>
      </c>
      <c r="I49" s="9">
        <v>8</v>
      </c>
      <c r="K49" s="9">
        <v>8</v>
      </c>
      <c r="L49" s="9">
        <v>0</v>
      </c>
      <c r="M49" s="9">
        <v>8</v>
      </c>
      <c r="O49" s="40">
        <v>8</v>
      </c>
      <c r="P49" s="40">
        <v>8</v>
      </c>
      <c r="Q49" s="40">
        <v>8</v>
      </c>
      <c r="S49" s="9"/>
      <c r="T49" s="9"/>
      <c r="U49" s="9"/>
    </row>
    <row r="50" spans="1:21" x14ac:dyDescent="0.2">
      <c r="A50" s="3">
        <v>38</v>
      </c>
      <c r="G50" s="11"/>
      <c r="H50" s="11"/>
      <c r="I50" s="11"/>
      <c r="K50" s="11"/>
      <c r="L50" s="11"/>
      <c r="M50" s="11"/>
      <c r="O50" s="43"/>
      <c r="P50" s="43"/>
      <c r="Q50" s="43"/>
      <c r="S50" s="11"/>
      <c r="T50" s="11"/>
      <c r="U50" s="11"/>
    </row>
    <row r="51" spans="1:21" x14ac:dyDescent="0.2">
      <c r="A51" s="3">
        <v>39</v>
      </c>
      <c r="B51" t="s">
        <v>44</v>
      </c>
      <c r="G51" s="9">
        <v>0</v>
      </c>
      <c r="H51" s="9">
        <v>1</v>
      </c>
      <c r="I51" s="9">
        <v>1</v>
      </c>
      <c r="K51" s="9">
        <v>1</v>
      </c>
      <c r="L51" s="9">
        <v>2</v>
      </c>
      <c r="M51" s="9">
        <v>4</v>
      </c>
      <c r="O51" s="40">
        <v>0</v>
      </c>
      <c r="P51" s="40">
        <v>1</v>
      </c>
      <c r="Q51" s="40">
        <v>1</v>
      </c>
      <c r="S51" s="9"/>
      <c r="T51" s="9"/>
      <c r="U51" s="9"/>
    </row>
    <row r="52" spans="1:21" x14ac:dyDescent="0.2">
      <c r="A52" s="3">
        <v>40</v>
      </c>
      <c r="G52" s="11"/>
      <c r="H52" s="11"/>
      <c r="I52" s="11"/>
      <c r="K52" s="11"/>
      <c r="L52" s="11"/>
      <c r="M52" s="11"/>
      <c r="O52" s="43"/>
      <c r="P52" s="43"/>
      <c r="Q52" s="43"/>
      <c r="S52" s="11"/>
      <c r="T52" s="11"/>
      <c r="U52" s="11"/>
    </row>
    <row r="53" spans="1:21" x14ac:dyDescent="0.2">
      <c r="A53" s="3">
        <v>41</v>
      </c>
      <c r="B53" t="s">
        <v>15</v>
      </c>
      <c r="G53" s="11">
        <v>0.2</v>
      </c>
      <c r="H53" s="11">
        <v>0.6</v>
      </c>
      <c r="I53" s="11">
        <v>0.2</v>
      </c>
      <c r="K53" s="11">
        <v>0.2</v>
      </c>
      <c r="L53" s="11">
        <v>0.6</v>
      </c>
      <c r="M53" s="11">
        <v>0.2</v>
      </c>
      <c r="O53" s="43">
        <v>0.2</v>
      </c>
      <c r="P53" s="43">
        <v>0.6</v>
      </c>
      <c r="Q53" s="43">
        <v>0.2</v>
      </c>
      <c r="S53" s="11"/>
      <c r="T53" s="11"/>
      <c r="U53" s="11"/>
    </row>
  </sheetData>
  <mergeCells count="3">
    <mergeCell ref="G14:I14"/>
    <mergeCell ref="O14:Q14"/>
    <mergeCell ref="K14:M14"/>
  </mergeCells>
  <pageMargins left="0.25" right="0.25" top="0.75" bottom="0.75" header="0.511811023622047" footer="0.511811023622047"/>
  <pageSetup scale="62" orientation="landscape"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D3675-7C29-D04D-90DD-CB171B4366D9}">
  <sheetPr>
    <pageSetUpPr fitToPage="1"/>
  </sheetPr>
  <dimension ref="A2:Q49"/>
  <sheetViews>
    <sheetView topLeftCell="A10" zoomScaleNormal="100" workbookViewId="0">
      <selection activeCell="B2" sqref="B2:N49"/>
    </sheetView>
  </sheetViews>
  <sheetFormatPr baseColWidth="10" defaultColWidth="10.6640625" defaultRowHeight="16" x14ac:dyDescent="0.2"/>
  <cols>
    <col min="2" max="2" width="35.5" customWidth="1"/>
    <col min="6" max="6" width="10.33203125" customWidth="1"/>
  </cols>
  <sheetData>
    <row r="2" spans="1:17" x14ac:dyDescent="0.2">
      <c r="B2" s="1" t="s">
        <v>0</v>
      </c>
    </row>
    <row r="3" spans="1:17" x14ac:dyDescent="0.2">
      <c r="B3" t="s">
        <v>1</v>
      </c>
    </row>
    <row r="4" spans="1:17" x14ac:dyDescent="0.2">
      <c r="B4" t="s">
        <v>2</v>
      </c>
    </row>
    <row r="5" spans="1:17" x14ac:dyDescent="0.2">
      <c r="B5" s="2" t="s">
        <v>182</v>
      </c>
    </row>
    <row r="6" spans="1:17" x14ac:dyDescent="0.2">
      <c r="B6" t="s">
        <v>3</v>
      </c>
    </row>
    <row r="8" spans="1:17" x14ac:dyDescent="0.2">
      <c r="A8" s="3"/>
      <c r="B8" s="23" t="s">
        <v>4</v>
      </c>
      <c r="C8" s="23"/>
      <c r="D8" s="23"/>
      <c r="E8" s="23"/>
      <c r="F8" s="23"/>
      <c r="G8" s="23"/>
      <c r="H8" s="23"/>
      <c r="I8" s="23"/>
      <c r="J8" s="23"/>
      <c r="K8" s="23"/>
      <c r="L8" s="23"/>
      <c r="M8" s="23"/>
      <c r="N8" s="23"/>
      <c r="O8" s="23"/>
      <c r="P8" s="23"/>
    </row>
    <row r="9" spans="1:17" x14ac:dyDescent="0.2">
      <c r="A9" s="3"/>
      <c r="B9" s="3"/>
      <c r="C9" s="3"/>
      <c r="D9" s="3"/>
      <c r="E9" s="3"/>
      <c r="F9" s="3"/>
      <c r="G9" s="3"/>
      <c r="H9" s="3"/>
      <c r="I9" s="3"/>
      <c r="J9" s="3"/>
      <c r="K9" s="3"/>
      <c r="L9" s="3"/>
      <c r="M9" s="3"/>
      <c r="N9" s="3"/>
      <c r="O9" s="3"/>
      <c r="P9" s="3"/>
    </row>
    <row r="10" spans="1:17" x14ac:dyDescent="0.2">
      <c r="A10" s="3"/>
      <c r="B10" t="s">
        <v>5</v>
      </c>
      <c r="C10" s="3"/>
      <c r="D10" s="3"/>
      <c r="E10" s="3"/>
      <c r="F10" s="3"/>
      <c r="G10" s="3"/>
      <c r="H10" s="3"/>
      <c r="I10" s="3"/>
      <c r="J10" s="3"/>
      <c r="K10" s="3"/>
      <c r="L10" s="3"/>
      <c r="M10" s="3"/>
      <c r="N10" s="3"/>
      <c r="O10" s="3"/>
      <c r="P10" s="3"/>
    </row>
    <row r="11" spans="1:17" x14ac:dyDescent="0.2">
      <c r="A11" s="3"/>
    </row>
    <row r="12" spans="1:17" x14ac:dyDescent="0.2">
      <c r="A12" s="3">
        <v>1</v>
      </c>
      <c r="B12" s="4" t="s">
        <v>65</v>
      </c>
      <c r="C12" s="5"/>
      <c r="D12" s="5"/>
      <c r="E12" s="5"/>
      <c r="F12" s="5"/>
      <c r="G12" s="5"/>
      <c r="H12" s="5"/>
      <c r="I12" s="5"/>
      <c r="J12" s="5"/>
      <c r="K12" s="5"/>
      <c r="L12" s="5"/>
      <c r="M12" s="5"/>
      <c r="N12" s="5"/>
      <c r="O12" s="60"/>
      <c r="P12" s="60"/>
      <c r="Q12" s="60"/>
    </row>
    <row r="13" spans="1:17" x14ac:dyDescent="0.2">
      <c r="A13" s="3">
        <v>2</v>
      </c>
      <c r="B13" s="20"/>
      <c r="C13" s="19"/>
      <c r="D13" s="19"/>
      <c r="E13" s="19"/>
      <c r="F13" s="19"/>
      <c r="G13" s="19"/>
      <c r="H13" s="19"/>
      <c r="I13" s="19"/>
      <c r="J13" s="19"/>
      <c r="K13" s="19"/>
      <c r="L13" s="19"/>
      <c r="M13" s="19"/>
      <c r="N13" s="19"/>
      <c r="O13" s="19"/>
      <c r="P13" s="19"/>
      <c r="Q13" s="19"/>
    </row>
    <row r="14" spans="1:17" ht="22" customHeight="1" x14ac:dyDescent="0.2">
      <c r="A14" s="3">
        <v>3</v>
      </c>
      <c r="C14" s="409" t="s">
        <v>95</v>
      </c>
      <c r="D14" s="409"/>
      <c r="E14" s="409"/>
      <c r="F14" s="47"/>
      <c r="G14" s="407" t="s">
        <v>94</v>
      </c>
      <c r="H14" s="407"/>
      <c r="I14" s="407"/>
    </row>
    <row r="15" spans="1:17" x14ac:dyDescent="0.2">
      <c r="A15" s="3">
        <v>4</v>
      </c>
      <c r="B15" s="6" t="s">
        <v>64</v>
      </c>
      <c r="C15" s="7" t="s">
        <v>7</v>
      </c>
      <c r="D15" s="7" t="s">
        <v>8</v>
      </c>
      <c r="E15" s="7" t="s">
        <v>9</v>
      </c>
      <c r="F15" s="6"/>
      <c r="G15" s="37" t="s">
        <v>7</v>
      </c>
      <c r="H15" s="37" t="s">
        <v>8</v>
      </c>
      <c r="I15" s="37" t="s">
        <v>9</v>
      </c>
    </row>
    <row r="16" spans="1:17" x14ac:dyDescent="0.2">
      <c r="A16" s="3">
        <v>5</v>
      </c>
      <c r="B16" s="6"/>
      <c r="C16" s="7"/>
      <c r="D16" s="7"/>
      <c r="E16" s="7"/>
      <c r="F16" s="6"/>
      <c r="G16" s="37"/>
      <c r="H16" s="37"/>
      <c r="I16" s="37"/>
    </row>
    <row r="17" spans="1:9" ht="17" x14ac:dyDescent="0.2">
      <c r="A17" s="3">
        <v>6</v>
      </c>
      <c r="B17" s="17" t="s">
        <v>63</v>
      </c>
      <c r="G17" s="38"/>
      <c r="H17" s="38"/>
      <c r="I17" s="38"/>
    </row>
    <row r="18" spans="1:9" x14ac:dyDescent="0.2">
      <c r="A18" s="3">
        <v>7</v>
      </c>
      <c r="B18" s="33" t="s">
        <v>62</v>
      </c>
      <c r="C18" s="34">
        <v>3</v>
      </c>
      <c r="D18" s="34">
        <v>5</v>
      </c>
      <c r="E18" s="34">
        <v>7</v>
      </c>
      <c r="F18" s="33"/>
      <c r="G18" s="39">
        <v>2</v>
      </c>
      <c r="H18" s="39">
        <v>4</v>
      </c>
      <c r="I18" s="39">
        <v>6</v>
      </c>
    </row>
    <row r="19" spans="1:9" x14ac:dyDescent="0.2">
      <c r="A19" s="3">
        <v>8</v>
      </c>
      <c r="B19" t="s">
        <v>61</v>
      </c>
      <c r="C19" s="9">
        <v>6</v>
      </c>
      <c r="D19" s="9">
        <v>8</v>
      </c>
      <c r="E19" s="9">
        <v>12</v>
      </c>
      <c r="G19" s="40">
        <v>6</v>
      </c>
      <c r="H19" s="40">
        <v>8</v>
      </c>
      <c r="I19" s="40">
        <v>12</v>
      </c>
    </row>
    <row r="20" spans="1:9" x14ac:dyDescent="0.2">
      <c r="A20" s="3">
        <v>9</v>
      </c>
      <c r="C20" s="9"/>
      <c r="D20" s="9"/>
      <c r="E20" s="9"/>
      <c r="G20" s="40"/>
      <c r="H20" s="40"/>
      <c r="I20" s="40"/>
    </row>
    <row r="21" spans="1:9" x14ac:dyDescent="0.2">
      <c r="A21" s="3">
        <v>10</v>
      </c>
      <c r="B21" s="6" t="s">
        <v>11</v>
      </c>
      <c r="G21" s="38"/>
      <c r="H21" s="38"/>
      <c r="I21" s="38"/>
    </row>
    <row r="22" spans="1:9" x14ac:dyDescent="0.2">
      <c r="A22" s="3">
        <v>11</v>
      </c>
      <c r="B22" s="33" t="s">
        <v>16</v>
      </c>
      <c r="C22" s="34">
        <v>1</v>
      </c>
      <c r="D22" s="34">
        <v>1</v>
      </c>
      <c r="E22" s="34">
        <v>1</v>
      </c>
      <c r="F22" s="33"/>
      <c r="G22" s="39">
        <v>1</v>
      </c>
      <c r="H22" s="39">
        <v>1</v>
      </c>
      <c r="I22" s="39">
        <v>1</v>
      </c>
    </row>
    <row r="23" spans="1:9" x14ac:dyDescent="0.2">
      <c r="A23" s="3">
        <v>12</v>
      </c>
      <c r="B23" s="35" t="s">
        <v>17</v>
      </c>
      <c r="C23" s="36">
        <v>1</v>
      </c>
      <c r="D23" s="36">
        <v>1</v>
      </c>
      <c r="E23" s="36">
        <v>2</v>
      </c>
      <c r="F23" s="35"/>
      <c r="G23" s="41">
        <v>1</v>
      </c>
      <c r="H23" s="41">
        <v>1</v>
      </c>
      <c r="I23" s="41">
        <v>2</v>
      </c>
    </row>
    <row r="24" spans="1:9" x14ac:dyDescent="0.2">
      <c r="A24" s="3">
        <v>13</v>
      </c>
      <c r="B24" s="35" t="s">
        <v>18</v>
      </c>
      <c r="C24" s="36">
        <v>1</v>
      </c>
      <c r="D24" s="36">
        <v>1</v>
      </c>
      <c r="E24" s="36">
        <v>2</v>
      </c>
      <c r="F24" s="35"/>
      <c r="G24" s="41">
        <v>1</v>
      </c>
      <c r="H24" s="41">
        <v>1</v>
      </c>
      <c r="I24" s="41">
        <v>2</v>
      </c>
    </row>
    <row r="25" spans="1:9" x14ac:dyDescent="0.2">
      <c r="A25" s="3">
        <v>14</v>
      </c>
      <c r="B25" s="35" t="s">
        <v>19</v>
      </c>
      <c r="C25" s="36">
        <v>1</v>
      </c>
      <c r="D25" s="36">
        <v>1</v>
      </c>
      <c r="E25" s="36">
        <v>1</v>
      </c>
      <c r="F25" s="35"/>
      <c r="G25" s="41">
        <v>1</v>
      </c>
      <c r="H25" s="41">
        <v>1</v>
      </c>
      <c r="I25" s="41">
        <v>1</v>
      </c>
    </row>
    <row r="26" spans="1:9" x14ac:dyDescent="0.2">
      <c r="A26" s="3">
        <v>15</v>
      </c>
      <c r="B26" s="35" t="s">
        <v>20</v>
      </c>
      <c r="C26" s="36">
        <v>6</v>
      </c>
      <c r="D26" s="36">
        <v>10</v>
      </c>
      <c r="E26" s="36">
        <v>10</v>
      </c>
      <c r="F26" s="35"/>
      <c r="G26" s="41">
        <v>6</v>
      </c>
      <c r="H26" s="41">
        <v>10</v>
      </c>
      <c r="I26" s="41">
        <v>10</v>
      </c>
    </row>
    <row r="27" spans="1:9" ht="16" customHeight="1" x14ac:dyDescent="0.2">
      <c r="A27" s="3">
        <v>16</v>
      </c>
      <c r="B27" s="61" t="s">
        <v>104</v>
      </c>
      <c r="C27" s="44">
        <v>1</v>
      </c>
      <c r="D27" s="44">
        <v>1</v>
      </c>
      <c r="E27" s="44">
        <v>2</v>
      </c>
      <c r="F27" s="24"/>
      <c r="G27" s="63" t="s">
        <v>91</v>
      </c>
      <c r="H27" s="63" t="s">
        <v>91</v>
      </c>
      <c r="I27" s="63" t="s">
        <v>91</v>
      </c>
    </row>
    <row r="28" spans="1:9" x14ac:dyDescent="0.2">
      <c r="A28" s="3">
        <v>17</v>
      </c>
      <c r="C28" s="9"/>
      <c r="D28" s="9"/>
      <c r="E28" s="9"/>
      <c r="G28" s="42"/>
      <c r="H28" s="42"/>
      <c r="I28" s="42"/>
    </row>
    <row r="29" spans="1:9" x14ac:dyDescent="0.2">
      <c r="A29" s="3">
        <v>18</v>
      </c>
      <c r="B29" s="6" t="s">
        <v>60</v>
      </c>
      <c r="C29" s="9"/>
      <c r="D29" s="9"/>
      <c r="E29" s="9"/>
      <c r="G29" s="40"/>
      <c r="H29" s="40"/>
      <c r="I29" s="40"/>
    </row>
    <row r="30" spans="1:9" x14ac:dyDescent="0.2">
      <c r="A30" s="3">
        <v>19</v>
      </c>
      <c r="B30" s="33" t="s">
        <v>53</v>
      </c>
      <c r="C30" s="34">
        <v>1</v>
      </c>
      <c r="D30" s="34">
        <v>2</v>
      </c>
      <c r="E30" s="34">
        <v>2</v>
      </c>
      <c r="F30" s="33"/>
      <c r="G30" s="39">
        <v>1</v>
      </c>
      <c r="H30" s="39">
        <v>2</v>
      </c>
      <c r="I30" s="39">
        <v>2</v>
      </c>
    </row>
    <row r="31" spans="1:9" x14ac:dyDescent="0.2">
      <c r="A31" s="3">
        <v>20</v>
      </c>
      <c r="B31" s="35" t="s">
        <v>52</v>
      </c>
      <c r="C31" s="36">
        <v>1</v>
      </c>
      <c r="D31" s="36">
        <v>1</v>
      </c>
      <c r="E31" s="36">
        <v>2</v>
      </c>
      <c r="F31" s="35"/>
      <c r="G31" s="41">
        <v>1</v>
      </c>
      <c r="H31" s="41">
        <v>1</v>
      </c>
      <c r="I31" s="41">
        <v>2</v>
      </c>
    </row>
    <row r="32" spans="1:9" x14ac:dyDescent="0.2">
      <c r="A32" s="3">
        <v>21</v>
      </c>
      <c r="B32" s="35" t="s">
        <v>51</v>
      </c>
      <c r="C32" s="36">
        <v>1</v>
      </c>
      <c r="D32" s="36">
        <v>1</v>
      </c>
      <c r="E32" s="36">
        <v>2</v>
      </c>
      <c r="F32" s="35"/>
      <c r="G32" s="41">
        <v>1</v>
      </c>
      <c r="H32" s="41">
        <v>1</v>
      </c>
      <c r="I32" s="41">
        <v>2</v>
      </c>
    </row>
    <row r="33" spans="1:9" x14ac:dyDescent="0.2">
      <c r="A33" s="3">
        <v>22</v>
      </c>
      <c r="B33" s="35" t="s">
        <v>50</v>
      </c>
      <c r="C33" s="36">
        <v>2</v>
      </c>
      <c r="D33" s="36">
        <v>4</v>
      </c>
      <c r="E33" s="36">
        <v>4</v>
      </c>
      <c r="F33" s="35"/>
      <c r="G33" s="41">
        <v>2</v>
      </c>
      <c r="H33" s="41">
        <v>4</v>
      </c>
      <c r="I33" s="41">
        <v>4</v>
      </c>
    </row>
    <row r="34" spans="1:9" x14ac:dyDescent="0.2">
      <c r="A34" s="3">
        <v>23</v>
      </c>
      <c r="B34" s="31" t="s">
        <v>49</v>
      </c>
      <c r="C34" s="32">
        <v>1</v>
      </c>
      <c r="D34" s="32">
        <v>2</v>
      </c>
      <c r="E34" s="32">
        <v>2</v>
      </c>
      <c r="F34" s="31"/>
      <c r="G34" s="42">
        <v>1</v>
      </c>
      <c r="H34" s="42">
        <v>2</v>
      </c>
      <c r="I34" s="42">
        <v>2</v>
      </c>
    </row>
    <row r="35" spans="1:9" x14ac:dyDescent="0.2">
      <c r="A35" s="3">
        <v>24</v>
      </c>
      <c r="B35" s="31"/>
      <c r="C35" s="32"/>
      <c r="D35" s="32"/>
      <c r="E35" s="32"/>
      <c r="F35" s="31"/>
      <c r="G35" s="42"/>
      <c r="H35" s="42"/>
      <c r="I35" s="42"/>
    </row>
    <row r="36" spans="1:9" x14ac:dyDescent="0.2">
      <c r="A36" s="3">
        <v>25</v>
      </c>
      <c r="C36" s="9"/>
      <c r="D36" s="9"/>
      <c r="E36" s="9"/>
      <c r="G36" s="40"/>
      <c r="H36" s="40"/>
      <c r="I36" s="40"/>
    </row>
    <row r="37" spans="1:9" x14ac:dyDescent="0.2">
      <c r="A37" s="3">
        <v>26</v>
      </c>
      <c r="B37" s="6" t="s">
        <v>39</v>
      </c>
      <c r="C37" s="9"/>
      <c r="D37" s="9"/>
      <c r="E37" s="9"/>
      <c r="G37" s="40"/>
      <c r="H37" s="40"/>
      <c r="I37" s="40"/>
    </row>
    <row r="38" spans="1:9" x14ac:dyDescent="0.2">
      <c r="A38" s="3">
        <v>27</v>
      </c>
      <c r="B38" s="33" t="s">
        <v>22</v>
      </c>
      <c r="C38" s="34">
        <v>1</v>
      </c>
      <c r="D38" s="34">
        <v>1</v>
      </c>
      <c r="E38" s="34">
        <v>1</v>
      </c>
      <c r="F38" s="33"/>
      <c r="G38" s="39">
        <v>1</v>
      </c>
      <c r="H38" s="39">
        <v>1</v>
      </c>
      <c r="I38" s="39">
        <v>1</v>
      </c>
    </row>
    <row r="39" spans="1:9" x14ac:dyDescent="0.2">
      <c r="A39" s="3">
        <v>28</v>
      </c>
      <c r="B39" s="35" t="s">
        <v>23</v>
      </c>
      <c r="C39" s="36">
        <v>1</v>
      </c>
      <c r="D39" s="36">
        <v>1</v>
      </c>
      <c r="E39" s="36">
        <v>1</v>
      </c>
      <c r="F39" s="35"/>
      <c r="G39" s="41">
        <v>1</v>
      </c>
      <c r="H39" s="41">
        <v>1</v>
      </c>
      <c r="I39" s="41">
        <v>1</v>
      </c>
    </row>
    <row r="40" spans="1:9" x14ac:dyDescent="0.2">
      <c r="A40" s="3">
        <v>29</v>
      </c>
      <c r="B40" s="35" t="s">
        <v>24</v>
      </c>
      <c r="C40" s="36">
        <v>1</v>
      </c>
      <c r="D40" s="36">
        <v>1</v>
      </c>
      <c r="E40" s="36">
        <v>1</v>
      </c>
      <c r="F40" s="35"/>
      <c r="G40" s="41">
        <v>1</v>
      </c>
      <c r="H40" s="41">
        <v>1</v>
      </c>
      <c r="I40" s="41">
        <v>1</v>
      </c>
    </row>
    <row r="41" spans="1:9" x14ac:dyDescent="0.2">
      <c r="A41" s="3">
        <v>30</v>
      </c>
      <c r="B41" s="29" t="s">
        <v>13</v>
      </c>
      <c r="C41" s="44">
        <v>4</v>
      </c>
      <c r="D41" s="44">
        <v>6</v>
      </c>
      <c r="E41" s="44">
        <v>8</v>
      </c>
      <c r="G41" s="40">
        <v>8</v>
      </c>
      <c r="H41" s="40">
        <v>8</v>
      </c>
      <c r="I41" s="40">
        <v>8</v>
      </c>
    </row>
    <row r="42" spans="1:9" x14ac:dyDescent="0.2">
      <c r="A42" s="3">
        <v>31</v>
      </c>
      <c r="C42" s="9"/>
      <c r="D42" s="9"/>
      <c r="E42" s="9"/>
      <c r="G42" s="40"/>
      <c r="H42" s="40"/>
      <c r="I42" s="40"/>
    </row>
    <row r="43" spans="1:9" x14ac:dyDescent="0.2">
      <c r="A43" s="3">
        <v>32</v>
      </c>
      <c r="B43" s="6" t="s">
        <v>59</v>
      </c>
      <c r="G43" s="38"/>
      <c r="H43" s="38"/>
      <c r="I43" s="38"/>
    </row>
    <row r="44" spans="1:9" x14ac:dyDescent="0.2">
      <c r="A44" s="3">
        <v>33</v>
      </c>
      <c r="B44" s="33" t="s">
        <v>46</v>
      </c>
      <c r="C44" s="34">
        <v>1</v>
      </c>
      <c r="D44" s="34">
        <v>1</v>
      </c>
      <c r="E44" s="34">
        <v>2</v>
      </c>
      <c r="F44" s="33"/>
      <c r="G44" s="39">
        <v>1</v>
      </c>
      <c r="H44" s="39">
        <v>1</v>
      </c>
      <c r="I44" s="39">
        <v>2</v>
      </c>
    </row>
    <row r="45" spans="1:9" x14ac:dyDescent="0.2">
      <c r="A45" s="3">
        <v>34</v>
      </c>
      <c r="B45" t="s">
        <v>58</v>
      </c>
      <c r="C45" s="9">
        <v>1</v>
      </c>
      <c r="D45" s="9">
        <v>1</v>
      </c>
      <c r="E45" s="9">
        <v>2</v>
      </c>
      <c r="G45" s="40">
        <v>1</v>
      </c>
      <c r="H45" s="40">
        <v>1</v>
      </c>
      <c r="I45" s="40">
        <v>2</v>
      </c>
    </row>
    <row r="46" spans="1:9" x14ac:dyDescent="0.2">
      <c r="A46" s="3">
        <v>35</v>
      </c>
      <c r="C46" s="9"/>
      <c r="D46" s="9"/>
      <c r="E46" s="9"/>
      <c r="G46" s="40"/>
      <c r="H46" s="40"/>
      <c r="I46" s="40"/>
    </row>
    <row r="47" spans="1:9" x14ac:dyDescent="0.2">
      <c r="A47" s="3">
        <v>36</v>
      </c>
      <c r="B47" s="45" t="s">
        <v>93</v>
      </c>
      <c r="C47" s="46">
        <v>1</v>
      </c>
      <c r="D47" s="46">
        <v>1</v>
      </c>
      <c r="E47" s="46">
        <v>1</v>
      </c>
      <c r="F47" s="33"/>
      <c r="G47" s="55" t="s">
        <v>91</v>
      </c>
      <c r="H47" s="55" t="s">
        <v>91</v>
      </c>
      <c r="I47" s="55" t="s">
        <v>91</v>
      </c>
    </row>
    <row r="48" spans="1:9" x14ac:dyDescent="0.2">
      <c r="A48" s="3">
        <v>37</v>
      </c>
      <c r="C48" s="9"/>
      <c r="D48" s="9"/>
      <c r="E48" s="9"/>
      <c r="G48" s="40"/>
      <c r="H48" s="40"/>
      <c r="I48" s="40"/>
    </row>
    <row r="49" spans="1:9" x14ac:dyDescent="0.2">
      <c r="A49" s="3">
        <v>38</v>
      </c>
      <c r="B49" t="s">
        <v>15</v>
      </c>
      <c r="C49" s="11">
        <v>0.4</v>
      </c>
      <c r="D49" s="11">
        <v>0.4</v>
      </c>
      <c r="E49" s="11">
        <v>0.2</v>
      </c>
      <c r="G49" s="43">
        <v>0.4</v>
      </c>
      <c r="H49" s="43">
        <v>0.4</v>
      </c>
      <c r="I49" s="43">
        <v>0.2</v>
      </c>
    </row>
  </sheetData>
  <mergeCells count="2">
    <mergeCell ref="G14:I14"/>
    <mergeCell ref="C14:E14"/>
  </mergeCells>
  <pageMargins left="0.25" right="0.25" top="0.75" bottom="0.75" header="0.511811023622047" footer="0.511811023622047"/>
  <pageSetup scale="68" orientation="landscape"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354DB-537E-AE4E-A547-93AF70307965}">
  <sheetPr>
    <pageSetUpPr fitToPage="1"/>
  </sheetPr>
  <dimension ref="A2:Z66"/>
  <sheetViews>
    <sheetView zoomScale="70" zoomScaleNormal="70" workbookViewId="0">
      <selection activeCell="B2" sqref="B2:Q52"/>
    </sheetView>
  </sheetViews>
  <sheetFormatPr baseColWidth="10" defaultColWidth="10.6640625" defaultRowHeight="16" x14ac:dyDescent="0.2"/>
  <cols>
    <col min="2" max="2" width="13.5" customWidth="1"/>
    <col min="4" max="4" width="7.1640625" customWidth="1"/>
    <col min="8" max="8" width="13.6640625" customWidth="1"/>
    <col min="17" max="17" width="1.33203125" customWidth="1"/>
  </cols>
  <sheetData>
    <row r="2" spans="1:26" x14ac:dyDescent="0.2">
      <c r="B2" s="1" t="s">
        <v>0</v>
      </c>
    </row>
    <row r="3" spans="1:26" x14ac:dyDescent="0.2">
      <c r="B3" t="s">
        <v>1</v>
      </c>
    </row>
    <row r="4" spans="1:26" x14ac:dyDescent="0.2">
      <c r="B4" t="s">
        <v>2</v>
      </c>
    </row>
    <row r="5" spans="1:26" x14ac:dyDescent="0.2">
      <c r="B5" s="160" t="s">
        <v>182</v>
      </c>
    </row>
    <row r="6" spans="1:26" x14ac:dyDescent="0.2">
      <c r="B6" t="s">
        <v>3</v>
      </c>
    </row>
    <row r="8" spans="1:26" ht="34.25" customHeight="1" x14ac:dyDescent="0.2">
      <c r="B8" s="410" t="s">
        <v>4</v>
      </c>
      <c r="C8" s="410"/>
      <c r="D8" s="410"/>
      <c r="E8" s="410"/>
      <c r="F8" s="410"/>
      <c r="G8" s="410"/>
      <c r="H8" s="410"/>
      <c r="I8" s="410"/>
      <c r="J8" s="410"/>
      <c r="K8" s="410"/>
      <c r="L8" s="410"/>
      <c r="M8" s="410"/>
      <c r="N8" s="410"/>
      <c r="O8" s="410"/>
      <c r="P8" s="410"/>
    </row>
    <row r="9" spans="1:26" x14ac:dyDescent="0.2">
      <c r="B9" s="18"/>
      <c r="C9" s="18"/>
      <c r="D9" s="18"/>
      <c r="E9" s="18"/>
      <c r="F9" s="18"/>
      <c r="G9" s="18"/>
      <c r="H9" s="18"/>
      <c r="I9" s="18"/>
      <c r="J9" s="18"/>
      <c r="K9" s="18"/>
      <c r="L9" s="18"/>
      <c r="M9" s="18"/>
      <c r="N9" s="18"/>
      <c r="O9" s="18"/>
    </row>
    <row r="10" spans="1:26" x14ac:dyDescent="0.2">
      <c r="B10" t="s">
        <v>5</v>
      </c>
      <c r="C10" s="3"/>
      <c r="D10" s="3"/>
      <c r="E10" s="3"/>
      <c r="F10" s="3"/>
      <c r="G10" s="3"/>
      <c r="H10" s="3"/>
      <c r="I10" s="3"/>
      <c r="J10" s="3"/>
      <c r="K10" s="3"/>
      <c r="L10" s="3"/>
      <c r="M10" s="3"/>
      <c r="N10" s="3"/>
      <c r="O10" s="3"/>
    </row>
    <row r="11" spans="1:26" x14ac:dyDescent="0.2">
      <c r="Q11" s="15"/>
      <c r="R11" s="15"/>
      <c r="S11" s="15"/>
      <c r="T11" s="15"/>
      <c r="U11" s="15"/>
      <c r="V11" s="15"/>
      <c r="W11" s="15"/>
      <c r="X11" s="15"/>
      <c r="Y11" s="15"/>
      <c r="Z11" s="15"/>
    </row>
    <row r="12" spans="1:26" x14ac:dyDescent="0.2">
      <c r="A12" s="3">
        <v>1</v>
      </c>
      <c r="B12" s="4" t="s">
        <v>57</v>
      </c>
      <c r="C12" s="5"/>
      <c r="D12" s="5"/>
      <c r="E12" s="5"/>
      <c r="F12" s="5"/>
      <c r="G12" s="5"/>
      <c r="H12" s="5"/>
      <c r="I12" s="5"/>
      <c r="J12" s="5"/>
      <c r="K12" s="5"/>
      <c r="L12" s="5"/>
      <c r="M12" s="5"/>
      <c r="N12" s="5"/>
      <c r="O12" s="5"/>
      <c r="P12" s="5"/>
      <c r="Q12" s="60"/>
      <c r="R12" s="15"/>
      <c r="S12" s="60"/>
      <c r="T12" s="60"/>
      <c r="U12" s="60"/>
      <c r="V12" s="60"/>
      <c r="W12" s="60"/>
      <c r="X12" s="60"/>
      <c r="Y12" s="60"/>
      <c r="Z12" s="15"/>
    </row>
    <row r="13" spans="1:26" ht="22" customHeight="1" x14ac:dyDescent="0.2">
      <c r="A13" s="3">
        <v>2</v>
      </c>
      <c r="E13" s="409" t="s">
        <v>97</v>
      </c>
      <c r="F13" s="409"/>
      <c r="G13" s="409"/>
      <c r="H13" s="409"/>
      <c r="J13" s="408" t="s">
        <v>96</v>
      </c>
      <c r="K13" s="408"/>
      <c r="L13" s="408"/>
      <c r="N13" s="407" t="s">
        <v>94</v>
      </c>
      <c r="O13" s="407"/>
      <c r="P13" s="407"/>
      <c r="Q13" s="15"/>
      <c r="R13" s="15"/>
      <c r="S13" s="15"/>
      <c r="T13" s="15"/>
      <c r="U13" s="15"/>
      <c r="V13" s="15"/>
      <c r="W13" s="15"/>
      <c r="X13" s="15"/>
      <c r="Y13" s="15"/>
      <c r="Z13" s="15"/>
    </row>
    <row r="14" spans="1:26" x14ac:dyDescent="0.2">
      <c r="A14" s="3">
        <v>3</v>
      </c>
      <c r="B14" s="6" t="s">
        <v>56</v>
      </c>
      <c r="C14" s="6"/>
      <c r="D14" s="6"/>
      <c r="E14" s="7" t="s">
        <v>7</v>
      </c>
      <c r="F14" s="7" t="s">
        <v>8</v>
      </c>
      <c r="G14" s="7" t="s">
        <v>9</v>
      </c>
      <c r="H14" s="7" t="s">
        <v>98</v>
      </c>
      <c r="I14" s="7"/>
      <c r="J14" s="7" t="s">
        <v>7</v>
      </c>
      <c r="K14" s="7" t="s">
        <v>8</v>
      </c>
      <c r="L14" s="7" t="s">
        <v>9</v>
      </c>
      <c r="N14" s="37" t="s">
        <v>7</v>
      </c>
      <c r="O14" s="37" t="s">
        <v>8</v>
      </c>
      <c r="P14" s="37" t="s">
        <v>9</v>
      </c>
    </row>
    <row r="15" spans="1:26" x14ac:dyDescent="0.2">
      <c r="A15" s="3">
        <v>4</v>
      </c>
      <c r="B15" s="6"/>
      <c r="C15" s="6"/>
      <c r="D15" s="6"/>
      <c r="N15" s="37"/>
      <c r="O15" s="37"/>
      <c r="P15" s="37"/>
    </row>
    <row r="16" spans="1:26" ht="17" x14ac:dyDescent="0.2">
      <c r="A16" s="3">
        <v>5</v>
      </c>
      <c r="B16" s="64" t="s">
        <v>86</v>
      </c>
      <c r="C16" s="31"/>
      <c r="D16" s="31"/>
      <c r="E16" s="32"/>
      <c r="F16" s="32"/>
      <c r="G16" s="32"/>
      <c r="H16" s="32"/>
      <c r="I16" s="31"/>
      <c r="J16" s="32"/>
      <c r="K16" s="32"/>
      <c r="L16" s="32"/>
      <c r="M16" s="31"/>
      <c r="N16" s="48"/>
      <c r="O16" s="48"/>
      <c r="P16" s="48"/>
    </row>
    <row r="17" spans="1:16" x14ac:dyDescent="0.2">
      <c r="A17" s="3">
        <v>6</v>
      </c>
      <c r="B17" s="58" t="s">
        <v>55</v>
      </c>
      <c r="C17" s="58"/>
      <c r="D17" s="58"/>
      <c r="E17" s="46">
        <v>3</v>
      </c>
      <c r="F17" s="46">
        <v>5</v>
      </c>
      <c r="G17" s="46">
        <v>7</v>
      </c>
      <c r="H17" s="46">
        <v>7</v>
      </c>
      <c r="I17" s="33"/>
      <c r="J17" s="34">
        <v>3</v>
      </c>
      <c r="K17" s="34">
        <v>5</v>
      </c>
      <c r="L17" s="34">
        <v>7</v>
      </c>
      <c r="M17" s="33"/>
      <c r="N17" s="39">
        <v>3</v>
      </c>
      <c r="O17" s="39">
        <v>5</v>
      </c>
      <c r="P17" s="39">
        <v>7</v>
      </c>
    </row>
    <row r="18" spans="1:16" x14ac:dyDescent="0.2">
      <c r="A18" s="3">
        <v>7</v>
      </c>
      <c r="B18" s="29" t="s">
        <v>54</v>
      </c>
      <c r="C18" s="29"/>
      <c r="D18" s="29"/>
      <c r="E18" s="44">
        <v>6</v>
      </c>
      <c r="F18" s="44">
        <v>10</v>
      </c>
      <c r="G18" s="44">
        <v>14</v>
      </c>
      <c r="H18" s="44">
        <v>14</v>
      </c>
      <c r="J18" s="30" t="s">
        <v>91</v>
      </c>
      <c r="K18" s="30" t="s">
        <v>91</v>
      </c>
      <c r="L18" s="30" t="s">
        <v>91</v>
      </c>
      <c r="N18" s="40">
        <v>6</v>
      </c>
      <c r="O18" s="40">
        <v>8</v>
      </c>
      <c r="P18" s="40">
        <v>12</v>
      </c>
    </row>
    <row r="19" spans="1:16" x14ac:dyDescent="0.2">
      <c r="A19" s="3">
        <v>8</v>
      </c>
      <c r="E19" s="9"/>
      <c r="F19" s="9"/>
      <c r="G19" s="9"/>
      <c r="H19" s="9"/>
      <c r="J19" s="9"/>
      <c r="K19" s="9"/>
      <c r="L19" s="9"/>
      <c r="N19" s="40"/>
      <c r="O19" s="40"/>
      <c r="P19" s="40"/>
    </row>
    <row r="20" spans="1:16" x14ac:dyDescent="0.2">
      <c r="A20" s="3">
        <v>9</v>
      </c>
      <c r="B20" s="6" t="s">
        <v>11</v>
      </c>
      <c r="J20" s="9"/>
      <c r="K20" s="9"/>
      <c r="L20" s="9"/>
      <c r="N20" s="38"/>
      <c r="O20" s="38"/>
      <c r="P20" s="38"/>
    </row>
    <row r="21" spans="1:16" x14ac:dyDescent="0.2">
      <c r="A21" s="3">
        <v>10</v>
      </c>
      <c r="B21" s="58" t="s">
        <v>16</v>
      </c>
      <c r="C21" s="58"/>
      <c r="D21" s="58"/>
      <c r="E21" s="46">
        <v>1</v>
      </c>
      <c r="F21" s="46">
        <v>1</v>
      </c>
      <c r="G21" s="46">
        <v>2</v>
      </c>
      <c r="H21" s="46">
        <v>2</v>
      </c>
      <c r="I21" s="33"/>
      <c r="J21" s="34">
        <v>1</v>
      </c>
      <c r="K21" s="34">
        <v>1</v>
      </c>
      <c r="L21" s="34">
        <v>2</v>
      </c>
      <c r="M21" s="33"/>
      <c r="N21" s="39">
        <v>1</v>
      </c>
      <c r="O21" s="39">
        <v>1</v>
      </c>
      <c r="P21" s="39">
        <v>1</v>
      </c>
    </row>
    <row r="22" spans="1:16" x14ac:dyDescent="0.2">
      <c r="A22" s="3">
        <v>11</v>
      </c>
      <c r="B22" s="35" t="s">
        <v>17</v>
      </c>
      <c r="C22" s="35"/>
      <c r="D22" s="35"/>
      <c r="E22" s="36">
        <v>1</v>
      </c>
      <c r="F22" s="36">
        <v>1</v>
      </c>
      <c r="G22" s="36">
        <v>2</v>
      </c>
      <c r="H22" s="36">
        <v>2</v>
      </c>
      <c r="I22" s="35"/>
      <c r="J22" s="50" t="s">
        <v>91</v>
      </c>
      <c r="K22" s="50" t="s">
        <v>91</v>
      </c>
      <c r="L22" s="50" t="s">
        <v>91</v>
      </c>
      <c r="M22" s="35"/>
      <c r="N22" s="41">
        <v>1</v>
      </c>
      <c r="O22" s="41">
        <v>1</v>
      </c>
      <c r="P22" s="41">
        <v>2</v>
      </c>
    </row>
    <row r="23" spans="1:16" x14ac:dyDescent="0.2">
      <c r="A23" s="3">
        <v>12</v>
      </c>
      <c r="B23" s="35" t="s">
        <v>18</v>
      </c>
      <c r="C23" s="35"/>
      <c r="D23" s="35"/>
      <c r="E23" s="36">
        <v>1</v>
      </c>
      <c r="F23" s="36">
        <v>1</v>
      </c>
      <c r="G23" s="36">
        <v>2</v>
      </c>
      <c r="H23" s="36">
        <v>2</v>
      </c>
      <c r="I23" s="35"/>
      <c r="J23" s="50" t="s">
        <v>91</v>
      </c>
      <c r="K23" s="50" t="s">
        <v>91</v>
      </c>
      <c r="L23" s="50" t="s">
        <v>91</v>
      </c>
      <c r="M23" s="35"/>
      <c r="N23" s="41">
        <v>1</v>
      </c>
      <c r="O23" s="41">
        <v>1</v>
      </c>
      <c r="P23" s="41">
        <v>2</v>
      </c>
    </row>
    <row r="24" spans="1:16" x14ac:dyDescent="0.2">
      <c r="A24" s="3">
        <v>13</v>
      </c>
      <c r="B24" s="35" t="s">
        <v>19</v>
      </c>
      <c r="C24" s="35"/>
      <c r="D24" s="35"/>
      <c r="E24" s="36">
        <v>1</v>
      </c>
      <c r="F24" s="36">
        <v>1</v>
      </c>
      <c r="G24" s="36">
        <v>1</v>
      </c>
      <c r="H24" s="36">
        <v>2</v>
      </c>
      <c r="I24" s="35"/>
      <c r="J24" s="50" t="s">
        <v>91</v>
      </c>
      <c r="K24" s="50" t="s">
        <v>91</v>
      </c>
      <c r="L24" s="50" t="s">
        <v>91</v>
      </c>
      <c r="M24" s="35"/>
      <c r="N24" s="41">
        <v>1</v>
      </c>
      <c r="O24" s="41">
        <v>1</v>
      </c>
      <c r="P24" s="41">
        <v>1</v>
      </c>
    </row>
    <row r="25" spans="1:16" x14ac:dyDescent="0.2">
      <c r="A25" s="3">
        <v>14</v>
      </c>
      <c r="B25" s="56" t="s">
        <v>20</v>
      </c>
      <c r="C25" s="56"/>
      <c r="D25" s="56"/>
      <c r="E25" s="57">
        <v>3</v>
      </c>
      <c r="F25" s="57">
        <v>4</v>
      </c>
      <c r="G25" s="57">
        <v>4</v>
      </c>
      <c r="H25" s="57">
        <v>10</v>
      </c>
      <c r="I25" s="51"/>
      <c r="J25" s="52">
        <v>3</v>
      </c>
      <c r="K25" s="52">
        <v>4</v>
      </c>
      <c r="L25" s="52">
        <v>10</v>
      </c>
      <c r="M25" s="51"/>
      <c r="N25" s="41">
        <v>6</v>
      </c>
      <c r="O25" s="41">
        <v>10</v>
      </c>
      <c r="P25" s="41">
        <v>10</v>
      </c>
    </row>
    <row r="26" spans="1:16" x14ac:dyDescent="0.2">
      <c r="A26" s="3">
        <v>15</v>
      </c>
      <c r="B26" s="35" t="s">
        <v>21</v>
      </c>
      <c r="C26" s="35"/>
      <c r="D26" s="35"/>
      <c r="E26" s="36">
        <v>1</v>
      </c>
      <c r="F26" s="36">
        <v>1</v>
      </c>
      <c r="G26" s="36">
        <v>1</v>
      </c>
      <c r="H26" s="36">
        <v>2</v>
      </c>
      <c r="I26" s="35"/>
      <c r="J26" s="36"/>
      <c r="K26" s="36"/>
      <c r="L26" s="36"/>
      <c r="M26" s="35"/>
      <c r="N26" s="41">
        <v>1</v>
      </c>
      <c r="O26" s="41">
        <v>1</v>
      </c>
      <c r="P26" s="41">
        <v>1</v>
      </c>
    </row>
    <row r="27" spans="1:16" x14ac:dyDescent="0.2">
      <c r="A27" s="3"/>
      <c r="B27" s="61" t="s">
        <v>104</v>
      </c>
      <c r="C27" s="29"/>
      <c r="D27" s="29"/>
      <c r="E27" s="44">
        <v>1</v>
      </c>
      <c r="F27" s="44">
        <v>1</v>
      </c>
      <c r="G27" s="44">
        <v>2</v>
      </c>
      <c r="H27" s="44">
        <v>2</v>
      </c>
      <c r="J27" s="62" t="s">
        <v>91</v>
      </c>
      <c r="K27" s="62" t="s">
        <v>91</v>
      </c>
      <c r="L27" s="62" t="s">
        <v>91</v>
      </c>
      <c r="N27" s="63" t="s">
        <v>91</v>
      </c>
      <c r="O27" s="63" t="s">
        <v>91</v>
      </c>
      <c r="P27" s="63" t="s">
        <v>91</v>
      </c>
    </row>
    <row r="28" spans="1:16" x14ac:dyDescent="0.2">
      <c r="A28" s="3">
        <v>16</v>
      </c>
      <c r="B28" s="31"/>
      <c r="C28" s="31"/>
      <c r="D28" s="31"/>
      <c r="E28" s="32"/>
      <c r="F28" s="32"/>
      <c r="G28" s="32"/>
      <c r="H28" s="32"/>
      <c r="I28" s="31"/>
      <c r="J28" s="32"/>
      <c r="K28" s="32"/>
      <c r="L28" s="32"/>
      <c r="M28" s="31"/>
      <c r="N28" s="42"/>
      <c r="O28" s="42"/>
      <c r="P28" s="42"/>
    </row>
    <row r="29" spans="1:16" x14ac:dyDescent="0.2">
      <c r="A29" s="3">
        <v>17</v>
      </c>
      <c r="B29" s="6" t="s">
        <v>10</v>
      </c>
      <c r="E29" s="9"/>
      <c r="F29" s="9"/>
      <c r="G29" s="9"/>
      <c r="H29" s="9"/>
      <c r="J29" s="9"/>
      <c r="K29" s="9"/>
      <c r="L29" s="9"/>
      <c r="N29" s="40"/>
      <c r="O29" s="40"/>
      <c r="P29" s="40"/>
    </row>
    <row r="30" spans="1:16" x14ac:dyDescent="0.2">
      <c r="A30" s="3">
        <v>18</v>
      </c>
      <c r="B30" s="33" t="s">
        <v>53</v>
      </c>
      <c r="C30" s="33"/>
      <c r="D30" s="33"/>
      <c r="E30" s="34">
        <v>1</v>
      </c>
      <c r="F30" s="34">
        <v>2</v>
      </c>
      <c r="G30" s="34">
        <v>2</v>
      </c>
      <c r="H30" s="34">
        <v>2</v>
      </c>
      <c r="I30" s="33"/>
      <c r="J30" s="34">
        <v>1</v>
      </c>
      <c r="K30" s="34">
        <v>2</v>
      </c>
      <c r="L30" s="34">
        <v>2</v>
      </c>
      <c r="M30" s="33"/>
      <c r="N30" s="39">
        <v>1</v>
      </c>
      <c r="O30" s="39">
        <v>2</v>
      </c>
      <c r="P30" s="39">
        <v>2</v>
      </c>
    </row>
    <row r="31" spans="1:16" x14ac:dyDescent="0.2">
      <c r="A31" s="3">
        <v>19</v>
      </c>
      <c r="B31" s="56" t="s">
        <v>52</v>
      </c>
      <c r="C31" s="56"/>
      <c r="D31" s="56"/>
      <c r="E31" s="57">
        <v>1</v>
      </c>
      <c r="F31" s="57">
        <v>2</v>
      </c>
      <c r="G31" s="57">
        <v>2</v>
      </c>
      <c r="H31" s="57">
        <v>2</v>
      </c>
      <c r="I31" s="35"/>
      <c r="J31" s="50" t="s">
        <v>91</v>
      </c>
      <c r="K31" s="50" t="s">
        <v>91</v>
      </c>
      <c r="L31" s="50" t="s">
        <v>91</v>
      </c>
      <c r="M31" s="35"/>
      <c r="N31" s="41">
        <v>1</v>
      </c>
      <c r="O31" s="41">
        <v>1</v>
      </c>
      <c r="P31" s="41">
        <v>2</v>
      </c>
    </row>
    <row r="32" spans="1:16" x14ac:dyDescent="0.2">
      <c r="A32" s="3">
        <v>20</v>
      </c>
      <c r="B32" s="56" t="s">
        <v>51</v>
      </c>
      <c r="C32" s="56"/>
      <c r="D32" s="56"/>
      <c r="E32" s="57">
        <v>1</v>
      </c>
      <c r="F32" s="57">
        <v>2</v>
      </c>
      <c r="G32" s="57">
        <v>2</v>
      </c>
      <c r="H32" s="57">
        <v>2</v>
      </c>
      <c r="I32" s="35"/>
      <c r="J32" s="50" t="s">
        <v>91</v>
      </c>
      <c r="K32" s="50" t="s">
        <v>91</v>
      </c>
      <c r="L32" s="50" t="s">
        <v>91</v>
      </c>
      <c r="M32" s="35"/>
      <c r="N32" s="41">
        <v>1</v>
      </c>
      <c r="O32" s="41">
        <v>1</v>
      </c>
      <c r="P32" s="41">
        <v>2</v>
      </c>
    </row>
    <row r="33" spans="1:16" x14ac:dyDescent="0.2">
      <c r="A33" s="3">
        <v>21</v>
      </c>
      <c r="B33" s="35" t="s">
        <v>50</v>
      </c>
      <c r="C33" s="35"/>
      <c r="D33" s="35"/>
      <c r="E33" s="36">
        <v>2</v>
      </c>
      <c r="F33" s="36">
        <v>4</v>
      </c>
      <c r="G33" s="36">
        <v>4</v>
      </c>
      <c r="H33" s="36">
        <v>4</v>
      </c>
      <c r="I33" s="35"/>
      <c r="J33" s="36">
        <v>2</v>
      </c>
      <c r="K33" s="36">
        <v>4</v>
      </c>
      <c r="L33" s="36">
        <v>4</v>
      </c>
      <c r="M33" s="35"/>
      <c r="N33" s="41">
        <v>2</v>
      </c>
      <c r="O33" s="41">
        <v>4</v>
      </c>
      <c r="P33" s="41">
        <v>4</v>
      </c>
    </row>
    <row r="34" spans="1:16" x14ac:dyDescent="0.2">
      <c r="A34" s="3">
        <v>22</v>
      </c>
      <c r="B34" t="s">
        <v>49</v>
      </c>
      <c r="E34" s="9">
        <v>1</v>
      </c>
      <c r="F34" s="9">
        <v>2</v>
      </c>
      <c r="G34" s="9">
        <v>2</v>
      </c>
      <c r="H34" s="9">
        <v>2</v>
      </c>
      <c r="J34" s="9"/>
      <c r="K34" s="9"/>
      <c r="L34" s="9"/>
      <c r="N34" s="40">
        <v>1</v>
      </c>
      <c r="O34" s="40">
        <v>2</v>
      </c>
      <c r="P34" s="40">
        <v>2</v>
      </c>
    </row>
    <row r="35" spans="1:16" x14ac:dyDescent="0.2">
      <c r="A35" s="3">
        <v>23</v>
      </c>
      <c r="E35" s="9"/>
      <c r="F35" s="9"/>
      <c r="G35" s="9"/>
      <c r="H35" s="9"/>
      <c r="J35" s="9"/>
      <c r="K35" s="9"/>
      <c r="L35" s="9"/>
      <c r="N35" s="40"/>
      <c r="O35" s="40"/>
      <c r="P35" s="40"/>
    </row>
    <row r="36" spans="1:16" x14ac:dyDescent="0.2">
      <c r="A36" s="3">
        <v>24</v>
      </c>
      <c r="B36" s="6" t="s">
        <v>39</v>
      </c>
      <c r="E36" s="9"/>
      <c r="F36" s="9"/>
      <c r="G36" s="9"/>
      <c r="H36" s="9"/>
      <c r="J36" s="9"/>
      <c r="K36" s="9"/>
      <c r="L36" s="9"/>
      <c r="N36" s="40"/>
      <c r="O36" s="40"/>
      <c r="P36" s="40"/>
    </row>
    <row r="37" spans="1:16" x14ac:dyDescent="0.2">
      <c r="A37" s="3">
        <v>25</v>
      </c>
      <c r="B37" s="33" t="s">
        <v>22</v>
      </c>
      <c r="C37" s="33"/>
      <c r="D37" s="33"/>
      <c r="E37" s="34">
        <v>1</v>
      </c>
      <c r="F37" s="34">
        <v>1</v>
      </c>
      <c r="G37" s="34">
        <v>1</v>
      </c>
      <c r="H37" s="34">
        <v>2</v>
      </c>
      <c r="I37" s="33"/>
      <c r="J37" s="34">
        <v>1</v>
      </c>
      <c r="K37" s="34">
        <v>1</v>
      </c>
      <c r="L37" s="34">
        <v>1</v>
      </c>
      <c r="M37" s="33"/>
      <c r="N37" s="39">
        <v>1</v>
      </c>
      <c r="O37" s="39">
        <v>1</v>
      </c>
      <c r="P37" s="39">
        <v>1</v>
      </c>
    </row>
    <row r="38" spans="1:16" x14ac:dyDescent="0.2">
      <c r="A38" s="3">
        <v>26</v>
      </c>
      <c r="B38" s="35" t="s">
        <v>23</v>
      </c>
      <c r="C38" s="35"/>
      <c r="D38" s="35"/>
      <c r="E38" s="36">
        <v>1</v>
      </c>
      <c r="F38" s="36">
        <v>1</v>
      </c>
      <c r="G38" s="36">
        <v>1</v>
      </c>
      <c r="H38" s="36">
        <v>2</v>
      </c>
      <c r="I38" s="35"/>
      <c r="J38" s="50" t="s">
        <v>91</v>
      </c>
      <c r="K38" s="50" t="s">
        <v>91</v>
      </c>
      <c r="L38" s="50" t="s">
        <v>91</v>
      </c>
      <c r="M38" s="35"/>
      <c r="N38" s="41">
        <v>1</v>
      </c>
      <c r="O38" s="41">
        <v>1</v>
      </c>
      <c r="P38" s="41">
        <v>1</v>
      </c>
    </row>
    <row r="39" spans="1:16" x14ac:dyDescent="0.2">
      <c r="A39" s="3">
        <v>27</v>
      </c>
      <c r="B39" s="35" t="s">
        <v>24</v>
      </c>
      <c r="C39" s="35"/>
      <c r="D39" s="35"/>
      <c r="E39" s="36">
        <v>1</v>
      </c>
      <c r="F39" s="36">
        <v>1</v>
      </c>
      <c r="G39" s="36">
        <v>1</v>
      </c>
      <c r="H39" s="36">
        <v>2</v>
      </c>
      <c r="I39" s="35"/>
      <c r="J39" s="50" t="s">
        <v>91</v>
      </c>
      <c r="K39" s="50" t="s">
        <v>91</v>
      </c>
      <c r="L39" s="50" t="s">
        <v>91</v>
      </c>
      <c r="M39" s="35"/>
      <c r="N39" s="41">
        <v>1</v>
      </c>
      <c r="O39" s="41">
        <v>1</v>
      </c>
      <c r="P39" s="41">
        <v>1</v>
      </c>
    </row>
    <row r="40" spans="1:16" x14ac:dyDescent="0.2">
      <c r="A40" s="3">
        <v>28</v>
      </c>
      <c r="B40" s="35" t="s">
        <v>13</v>
      </c>
      <c r="C40" s="35"/>
      <c r="D40" s="35"/>
      <c r="E40" s="36">
        <v>5</v>
      </c>
      <c r="F40" s="36">
        <v>6</v>
      </c>
      <c r="G40" s="36">
        <v>8</v>
      </c>
      <c r="H40" s="36">
        <v>10</v>
      </c>
      <c r="I40" s="35"/>
      <c r="J40" s="36">
        <v>8</v>
      </c>
      <c r="K40" s="36">
        <v>8</v>
      </c>
      <c r="L40" s="36">
        <v>8</v>
      </c>
      <c r="M40" s="35"/>
      <c r="N40" s="41">
        <v>8</v>
      </c>
      <c r="O40" s="41">
        <v>8</v>
      </c>
      <c r="P40" s="41">
        <v>8</v>
      </c>
    </row>
    <row r="41" spans="1:16" x14ac:dyDescent="0.2">
      <c r="A41" s="3">
        <v>29</v>
      </c>
      <c r="B41" s="29" t="s">
        <v>85</v>
      </c>
      <c r="C41" s="29"/>
      <c r="D41" s="29"/>
      <c r="E41" s="44">
        <v>1</v>
      </c>
      <c r="F41" s="44">
        <v>1</v>
      </c>
      <c r="G41" s="44">
        <v>1</v>
      </c>
      <c r="H41" s="44">
        <v>2</v>
      </c>
      <c r="J41" s="9">
        <v>1</v>
      </c>
      <c r="K41" s="9">
        <v>1</v>
      </c>
      <c r="L41" s="9">
        <v>1</v>
      </c>
      <c r="N41" s="49" t="s">
        <v>91</v>
      </c>
      <c r="O41" s="49" t="s">
        <v>91</v>
      </c>
      <c r="P41" s="49" t="s">
        <v>91</v>
      </c>
    </row>
    <row r="42" spans="1:16" x14ac:dyDescent="0.2">
      <c r="A42" s="3">
        <v>30</v>
      </c>
      <c r="D42" s="15"/>
      <c r="E42" s="9"/>
      <c r="F42" s="9"/>
      <c r="G42" s="9"/>
      <c r="H42" s="9"/>
      <c r="J42" s="9"/>
      <c r="K42" s="9"/>
      <c r="L42" s="9"/>
      <c r="N42" s="40"/>
      <c r="O42" s="40"/>
      <c r="P42" s="40"/>
    </row>
    <row r="43" spans="1:16" x14ac:dyDescent="0.2">
      <c r="A43" s="3">
        <v>31</v>
      </c>
      <c r="B43" s="6" t="s">
        <v>47</v>
      </c>
      <c r="D43" s="15"/>
      <c r="E43" s="9"/>
      <c r="F43" s="9"/>
      <c r="G43" s="9"/>
      <c r="H43" s="9"/>
      <c r="J43" s="9"/>
      <c r="K43" s="9"/>
      <c r="L43" s="9"/>
      <c r="N43" s="38"/>
      <c r="O43" s="38"/>
      <c r="P43" s="38"/>
    </row>
    <row r="44" spans="1:16" x14ac:dyDescent="0.2">
      <c r="A44" s="3">
        <v>32</v>
      </c>
      <c r="B44" s="33" t="s">
        <v>46</v>
      </c>
      <c r="C44" s="33"/>
      <c r="D44" s="59"/>
      <c r="E44" s="34">
        <v>1</v>
      </c>
      <c r="F44" s="34">
        <v>1</v>
      </c>
      <c r="G44" s="34">
        <v>2</v>
      </c>
      <c r="H44" s="34">
        <v>2</v>
      </c>
      <c r="I44" s="33"/>
      <c r="J44" s="34">
        <v>1</v>
      </c>
      <c r="K44" s="34">
        <v>1</v>
      </c>
      <c r="L44" s="34">
        <v>2</v>
      </c>
      <c r="M44" s="33"/>
      <c r="N44" s="39">
        <v>1</v>
      </c>
      <c r="O44" s="39">
        <v>1</v>
      </c>
      <c r="P44" s="39">
        <v>2</v>
      </c>
    </row>
    <row r="45" spans="1:16" x14ac:dyDescent="0.2">
      <c r="A45" s="3">
        <v>33</v>
      </c>
      <c r="B45" s="31" t="s">
        <v>92</v>
      </c>
      <c r="C45" s="31"/>
      <c r="D45" s="25"/>
      <c r="E45" s="32">
        <v>1</v>
      </c>
      <c r="F45" s="32">
        <v>1</v>
      </c>
      <c r="G45" s="32">
        <v>2</v>
      </c>
      <c r="H45" s="32">
        <v>2</v>
      </c>
      <c r="I45" s="31"/>
      <c r="J45" s="53" t="s">
        <v>91</v>
      </c>
      <c r="K45" s="53" t="s">
        <v>91</v>
      </c>
      <c r="L45" s="53" t="s">
        <v>91</v>
      </c>
      <c r="M45" s="31"/>
      <c r="N45" s="42">
        <v>1</v>
      </c>
      <c r="O45" s="42">
        <v>1</v>
      </c>
      <c r="P45" s="42">
        <v>2</v>
      </c>
    </row>
    <row r="46" spans="1:16" x14ac:dyDescent="0.2">
      <c r="A46" s="3">
        <v>34</v>
      </c>
      <c r="B46" s="31"/>
      <c r="C46" s="31"/>
      <c r="D46" s="25"/>
      <c r="E46" s="32"/>
      <c r="F46" s="32"/>
      <c r="G46" s="32"/>
      <c r="H46" s="32"/>
      <c r="I46" s="31"/>
      <c r="J46" s="32"/>
      <c r="K46" s="32"/>
      <c r="L46" s="32"/>
      <c r="M46" s="31"/>
      <c r="N46" s="42"/>
      <c r="O46" s="42"/>
      <c r="P46" s="42"/>
    </row>
    <row r="47" spans="1:16" x14ac:dyDescent="0.2">
      <c r="A47" s="3">
        <v>35</v>
      </c>
      <c r="B47" s="45" t="s">
        <v>93</v>
      </c>
      <c r="C47" s="58"/>
      <c r="D47" s="58"/>
      <c r="E47" s="46">
        <v>1</v>
      </c>
      <c r="F47" s="46">
        <v>1</v>
      </c>
      <c r="G47" s="46">
        <v>1</v>
      </c>
      <c r="H47" s="46">
        <v>2</v>
      </c>
      <c r="I47" s="33"/>
      <c r="J47" s="54" t="s">
        <v>91</v>
      </c>
      <c r="K47" s="54" t="s">
        <v>91</v>
      </c>
      <c r="L47" s="54" t="s">
        <v>91</v>
      </c>
      <c r="M47" s="33"/>
      <c r="N47" s="55" t="s">
        <v>91</v>
      </c>
      <c r="O47" s="55" t="s">
        <v>91</v>
      </c>
      <c r="P47" s="55" t="s">
        <v>91</v>
      </c>
    </row>
    <row r="48" spans="1:16" x14ac:dyDescent="0.2">
      <c r="A48" s="3">
        <v>36</v>
      </c>
      <c r="J48" s="9"/>
      <c r="K48" s="9"/>
      <c r="L48" s="9"/>
      <c r="N48" s="40"/>
      <c r="O48" s="40"/>
      <c r="P48" s="40"/>
    </row>
    <row r="49" spans="1:16" x14ac:dyDescent="0.2">
      <c r="A49" s="3">
        <v>37</v>
      </c>
      <c r="B49" t="s">
        <v>15</v>
      </c>
      <c r="E49" s="28">
        <v>0.4</v>
      </c>
      <c r="F49" s="28">
        <v>0.4</v>
      </c>
      <c r="G49" s="28">
        <v>0.2</v>
      </c>
      <c r="H49" s="28" t="s">
        <v>91</v>
      </c>
      <c r="J49" s="11">
        <v>0.4</v>
      </c>
      <c r="K49" s="11">
        <v>0.4</v>
      </c>
      <c r="L49" s="11">
        <v>0.2</v>
      </c>
      <c r="N49" s="43">
        <v>0.4</v>
      </c>
      <c r="O49" s="43">
        <v>0.4</v>
      </c>
      <c r="P49" s="43">
        <v>0.2</v>
      </c>
    </row>
    <row r="50" spans="1:16" x14ac:dyDescent="0.2">
      <c r="A50" s="3">
        <v>38</v>
      </c>
    </row>
    <row r="51" spans="1:16" x14ac:dyDescent="0.2">
      <c r="A51" s="3">
        <v>39</v>
      </c>
    </row>
    <row r="52" spans="1:16" x14ac:dyDescent="0.2">
      <c r="A52" s="3">
        <v>40</v>
      </c>
      <c r="B52" t="s">
        <v>90</v>
      </c>
    </row>
    <row r="59" spans="1:16" x14ac:dyDescent="0.2">
      <c r="E59" s="21"/>
      <c r="F59" s="21">
        <v>915</v>
      </c>
      <c r="G59" s="21"/>
      <c r="I59" s="21"/>
      <c r="J59" s="26" t="s">
        <v>84</v>
      </c>
      <c r="K59" s="21">
        <v>1140</v>
      </c>
      <c r="L59" s="21"/>
      <c r="M59" s="21" t="s">
        <v>9</v>
      </c>
      <c r="N59" s="21"/>
      <c r="O59" s="21">
        <v>1390</v>
      </c>
    </row>
    <row r="60" spans="1:16" x14ac:dyDescent="0.2">
      <c r="E60" s="21"/>
      <c r="F60" s="21"/>
      <c r="G60" s="21"/>
      <c r="I60" s="21"/>
      <c r="J60" s="26"/>
      <c r="K60" s="21"/>
      <c r="L60" s="21"/>
      <c r="M60" s="21"/>
      <c r="N60" s="21"/>
      <c r="O60" s="21"/>
    </row>
    <row r="61" spans="1:16" ht="17" x14ac:dyDescent="0.2">
      <c r="E61" s="21"/>
      <c r="F61" s="21" t="s">
        <v>82</v>
      </c>
      <c r="G61" s="21"/>
      <c r="I61" s="22"/>
      <c r="J61" s="27" t="s">
        <v>83</v>
      </c>
      <c r="K61" s="21" t="s">
        <v>82</v>
      </c>
      <c r="L61" s="21"/>
      <c r="M61" s="22" t="s">
        <v>83</v>
      </c>
      <c r="N61" s="21"/>
      <c r="O61" s="21" t="s">
        <v>82</v>
      </c>
    </row>
    <row r="62" spans="1:16" ht="17" x14ac:dyDescent="0.2">
      <c r="E62" s="21"/>
      <c r="F62" s="21" t="s">
        <v>81</v>
      </c>
      <c r="G62" s="21"/>
      <c r="I62" s="22"/>
      <c r="J62" s="27" t="s">
        <v>80</v>
      </c>
      <c r="K62" s="21" t="s">
        <v>78</v>
      </c>
      <c r="L62" s="21"/>
      <c r="M62" s="22" t="s">
        <v>80</v>
      </c>
      <c r="N62" s="21"/>
      <c r="O62" s="21" t="s">
        <v>78</v>
      </c>
    </row>
    <row r="63" spans="1:16" x14ac:dyDescent="0.2">
      <c r="E63" s="21"/>
      <c r="F63" s="21" t="s">
        <v>79</v>
      </c>
      <c r="G63" s="21"/>
      <c r="I63" s="21"/>
      <c r="J63" s="26" t="s">
        <v>77</v>
      </c>
      <c r="K63" s="21" t="s">
        <v>78</v>
      </c>
      <c r="L63" s="21"/>
      <c r="M63" s="21" t="s">
        <v>77</v>
      </c>
      <c r="N63" s="21"/>
      <c r="O63" s="21" t="s">
        <v>76</v>
      </c>
    </row>
    <row r="64" spans="1:16" ht="17" x14ac:dyDescent="0.2">
      <c r="E64" s="21"/>
      <c r="F64" s="21" t="s">
        <v>75</v>
      </c>
      <c r="G64" s="21"/>
      <c r="I64" s="22"/>
      <c r="J64" s="27" t="s">
        <v>73</v>
      </c>
      <c r="K64" s="21" t="s">
        <v>74</v>
      </c>
      <c r="L64" s="21"/>
      <c r="M64" s="22" t="s">
        <v>73</v>
      </c>
      <c r="N64" s="21"/>
      <c r="O64" s="21" t="s">
        <v>72</v>
      </c>
    </row>
    <row r="65" spans="5:15" ht="17" x14ac:dyDescent="0.2">
      <c r="E65" s="21"/>
      <c r="F65" s="21" t="s">
        <v>70</v>
      </c>
      <c r="G65" s="21"/>
      <c r="I65" s="22"/>
      <c r="J65" s="27" t="s">
        <v>71</v>
      </c>
      <c r="K65" s="21" t="s">
        <v>70</v>
      </c>
      <c r="L65" s="21"/>
      <c r="M65" s="22" t="s">
        <v>69</v>
      </c>
      <c r="N65" s="21"/>
      <c r="O65" s="21" t="s">
        <v>68</v>
      </c>
    </row>
    <row r="66" spans="5:15" ht="17" x14ac:dyDescent="0.2">
      <c r="E66" s="21"/>
      <c r="F66" s="21"/>
      <c r="G66" s="21"/>
      <c r="I66" s="22"/>
      <c r="J66" s="27" t="s">
        <v>67</v>
      </c>
      <c r="K66" s="21"/>
      <c r="L66" s="21"/>
      <c r="M66" s="22" t="s">
        <v>67</v>
      </c>
      <c r="N66" s="21"/>
      <c r="O66" s="21"/>
    </row>
  </sheetData>
  <mergeCells count="4">
    <mergeCell ref="N13:P13"/>
    <mergeCell ref="J13:L13"/>
    <mergeCell ref="B8:P8"/>
    <mergeCell ref="E13:H13"/>
  </mergeCells>
  <pageMargins left="0.25" right="0.25" top="0.75" bottom="0.75" header="0.3" footer="0.3"/>
  <pageSetup scale="54" orientation="landscape"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D9956-5847-0B48-97E2-7C931D165EAA}">
  <sheetPr>
    <pageSetUpPr fitToPage="1"/>
  </sheetPr>
  <dimension ref="B2:Q45"/>
  <sheetViews>
    <sheetView topLeftCell="A11" zoomScaleNormal="100" workbookViewId="0">
      <selection activeCell="B5" sqref="B5"/>
    </sheetView>
  </sheetViews>
  <sheetFormatPr baseColWidth="10" defaultColWidth="10.6640625" defaultRowHeight="16" x14ac:dyDescent="0.2"/>
  <cols>
    <col min="2" max="2" width="13.5" customWidth="1"/>
  </cols>
  <sheetData>
    <row r="2" spans="2:17" x14ac:dyDescent="0.2">
      <c r="B2" s="1" t="s">
        <v>0</v>
      </c>
    </row>
    <row r="3" spans="2:17" x14ac:dyDescent="0.2">
      <c r="B3" t="s">
        <v>1</v>
      </c>
    </row>
    <row r="4" spans="2:17" x14ac:dyDescent="0.2">
      <c r="B4" t="s">
        <v>2</v>
      </c>
    </row>
    <row r="5" spans="2:17" x14ac:dyDescent="0.2">
      <c r="B5" s="2" t="s">
        <v>120</v>
      </c>
    </row>
    <row r="6" spans="2:17" x14ac:dyDescent="0.2">
      <c r="B6" t="s">
        <v>3</v>
      </c>
    </row>
    <row r="8" spans="2:17" ht="34.25" customHeight="1" x14ac:dyDescent="0.2">
      <c r="B8" s="410" t="s">
        <v>4</v>
      </c>
      <c r="C8" s="410"/>
      <c r="D8" s="410"/>
      <c r="E8" s="410"/>
      <c r="F8" s="410"/>
      <c r="G8" s="410"/>
      <c r="H8" s="410"/>
      <c r="I8" s="410"/>
      <c r="J8" s="410"/>
      <c r="K8" s="410"/>
      <c r="L8" s="410"/>
      <c r="M8" s="410"/>
      <c r="N8" s="410"/>
      <c r="O8" s="410"/>
      <c r="P8" s="410"/>
    </row>
    <row r="9" spans="2:17" x14ac:dyDescent="0.2">
      <c r="B9" s="18"/>
      <c r="C9" s="18"/>
      <c r="D9" s="18"/>
      <c r="E9" s="18"/>
      <c r="F9" s="18"/>
      <c r="G9" s="18"/>
      <c r="H9" s="18"/>
      <c r="I9" s="18"/>
      <c r="J9" s="18"/>
      <c r="K9" s="18"/>
      <c r="L9" s="18"/>
      <c r="M9" s="18"/>
      <c r="N9" s="18"/>
      <c r="O9" s="18"/>
      <c r="P9" s="18"/>
    </row>
    <row r="10" spans="2:17" x14ac:dyDescent="0.2">
      <c r="B10" t="s">
        <v>5</v>
      </c>
      <c r="C10" s="3"/>
      <c r="D10" s="3"/>
      <c r="E10" s="3"/>
      <c r="F10" s="3"/>
      <c r="G10" s="3"/>
      <c r="H10" s="3"/>
      <c r="I10" s="3"/>
      <c r="J10" s="3"/>
      <c r="K10" s="3"/>
      <c r="L10" s="3"/>
      <c r="M10" s="3"/>
      <c r="N10" s="3"/>
      <c r="O10" s="3"/>
      <c r="P10" s="3"/>
    </row>
    <row r="12" spans="2:17" x14ac:dyDescent="0.2">
      <c r="B12" s="4" t="s">
        <v>57</v>
      </c>
      <c r="C12" s="5"/>
      <c r="D12" s="5"/>
      <c r="E12" s="5"/>
      <c r="F12" s="5"/>
      <c r="G12" s="5"/>
      <c r="H12" s="5"/>
      <c r="I12" s="5"/>
      <c r="J12" s="5"/>
      <c r="K12" s="5"/>
      <c r="L12" s="5"/>
      <c r="M12" s="5"/>
      <c r="N12" s="5"/>
      <c r="O12" s="5"/>
      <c r="P12" s="5"/>
      <c r="Q12" s="5"/>
    </row>
    <row r="14" spans="2:17" x14ac:dyDescent="0.2">
      <c r="B14" s="6" t="s">
        <v>56</v>
      </c>
      <c r="C14" s="6"/>
      <c r="D14" s="6"/>
      <c r="E14" s="6"/>
      <c r="F14" s="6"/>
      <c r="G14" s="7" t="s">
        <v>7</v>
      </c>
      <c r="H14" s="7" t="s">
        <v>8</v>
      </c>
      <c r="I14" s="7" t="s">
        <v>9</v>
      </c>
    </row>
    <row r="15" spans="2:17" x14ac:dyDescent="0.2">
      <c r="B15" s="6"/>
      <c r="C15" s="6"/>
      <c r="D15" s="6"/>
      <c r="E15" s="6"/>
      <c r="F15" s="6"/>
      <c r="G15" s="7"/>
      <c r="H15" s="7"/>
      <c r="I15" s="7"/>
    </row>
    <row r="16" spans="2:17" x14ac:dyDescent="0.2">
      <c r="B16" s="17"/>
    </row>
    <row r="17" spans="2:9" x14ac:dyDescent="0.2">
      <c r="B17" t="s">
        <v>55</v>
      </c>
      <c r="G17" s="9">
        <v>3</v>
      </c>
      <c r="H17" s="9">
        <v>5</v>
      </c>
      <c r="I17" s="9">
        <v>7</v>
      </c>
    </row>
    <row r="18" spans="2:9" x14ac:dyDescent="0.2">
      <c r="B18" t="s">
        <v>54</v>
      </c>
      <c r="G18" s="9">
        <v>6</v>
      </c>
      <c r="H18" s="9">
        <v>8</v>
      </c>
      <c r="I18" s="9">
        <v>12</v>
      </c>
    </row>
    <row r="19" spans="2:9" x14ac:dyDescent="0.2">
      <c r="G19" s="9"/>
      <c r="H19" s="9"/>
      <c r="I19" s="9"/>
    </row>
    <row r="20" spans="2:9" x14ac:dyDescent="0.2">
      <c r="B20" s="6" t="s">
        <v>11</v>
      </c>
    </row>
    <row r="21" spans="2:9" x14ac:dyDescent="0.2">
      <c r="B21" t="s">
        <v>16</v>
      </c>
      <c r="G21" s="9">
        <v>1</v>
      </c>
      <c r="H21" s="9">
        <v>1</v>
      </c>
      <c r="I21" s="9">
        <v>1</v>
      </c>
    </row>
    <row r="22" spans="2:9" x14ac:dyDescent="0.2">
      <c r="B22" t="s">
        <v>17</v>
      </c>
      <c r="G22" s="9">
        <v>1</v>
      </c>
      <c r="H22" s="9">
        <v>1</v>
      </c>
      <c r="I22" s="9">
        <v>2</v>
      </c>
    </row>
    <row r="23" spans="2:9" x14ac:dyDescent="0.2">
      <c r="B23" t="s">
        <v>18</v>
      </c>
      <c r="G23" s="9">
        <v>1</v>
      </c>
      <c r="H23" s="9">
        <v>1</v>
      </c>
      <c r="I23" s="9">
        <v>2</v>
      </c>
    </row>
    <row r="24" spans="2:9" x14ac:dyDescent="0.2">
      <c r="B24" t="s">
        <v>19</v>
      </c>
      <c r="G24" s="9">
        <v>1</v>
      </c>
      <c r="H24" s="9">
        <v>1</v>
      </c>
      <c r="I24" s="9">
        <v>1</v>
      </c>
    </row>
    <row r="25" spans="2:9" x14ac:dyDescent="0.2">
      <c r="B25" t="s">
        <v>20</v>
      </c>
      <c r="G25" s="9">
        <v>6</v>
      </c>
      <c r="H25" s="9">
        <v>10</v>
      </c>
      <c r="I25" s="9">
        <v>10</v>
      </c>
    </row>
    <row r="26" spans="2:9" ht="68" x14ac:dyDescent="0.2">
      <c r="B26" s="16" t="s">
        <v>21</v>
      </c>
      <c r="G26" s="9">
        <v>1</v>
      </c>
      <c r="H26" s="9">
        <v>1</v>
      </c>
      <c r="I26" s="9">
        <v>1</v>
      </c>
    </row>
    <row r="27" spans="2:9" x14ac:dyDescent="0.2">
      <c r="G27" s="9"/>
      <c r="H27" s="9"/>
      <c r="I27" s="9"/>
    </row>
    <row r="28" spans="2:9" x14ac:dyDescent="0.2">
      <c r="B28" s="6" t="s">
        <v>10</v>
      </c>
      <c r="G28" s="9"/>
      <c r="H28" s="9"/>
      <c r="I28" s="9"/>
    </row>
    <row r="29" spans="2:9" x14ac:dyDescent="0.2">
      <c r="B29" t="s">
        <v>53</v>
      </c>
      <c r="G29" s="9">
        <v>1</v>
      </c>
      <c r="H29" s="9">
        <v>2</v>
      </c>
      <c r="I29" s="9">
        <v>2</v>
      </c>
    </row>
    <row r="30" spans="2:9" x14ac:dyDescent="0.2">
      <c r="B30" t="s">
        <v>52</v>
      </c>
      <c r="G30" s="9">
        <v>1</v>
      </c>
      <c r="H30" s="9">
        <v>1</v>
      </c>
      <c r="I30" s="9">
        <v>2</v>
      </c>
    </row>
    <row r="31" spans="2:9" x14ac:dyDescent="0.2">
      <c r="B31" t="s">
        <v>51</v>
      </c>
      <c r="G31" s="9">
        <v>1</v>
      </c>
      <c r="H31" s="9">
        <v>1</v>
      </c>
      <c r="I31" s="9">
        <v>2</v>
      </c>
    </row>
    <row r="32" spans="2:9" x14ac:dyDescent="0.2">
      <c r="B32" t="s">
        <v>50</v>
      </c>
      <c r="G32" s="9">
        <v>2</v>
      </c>
      <c r="H32" s="9">
        <v>4</v>
      </c>
      <c r="I32" s="9">
        <v>4</v>
      </c>
    </row>
    <row r="33" spans="2:9" x14ac:dyDescent="0.2">
      <c r="B33" t="s">
        <v>49</v>
      </c>
      <c r="G33" s="9">
        <v>1</v>
      </c>
      <c r="H33" s="9">
        <v>2</v>
      </c>
      <c r="I33" s="9">
        <v>2</v>
      </c>
    </row>
    <row r="34" spans="2:9" x14ac:dyDescent="0.2">
      <c r="G34" s="9"/>
      <c r="H34" s="9"/>
      <c r="I34" s="9"/>
    </row>
    <row r="35" spans="2:9" x14ac:dyDescent="0.2">
      <c r="B35" s="6" t="s">
        <v>48</v>
      </c>
      <c r="G35" s="9">
        <v>1</v>
      </c>
      <c r="H35" s="9">
        <v>1</v>
      </c>
      <c r="I35" s="9">
        <v>1</v>
      </c>
    </row>
    <row r="36" spans="2:9" x14ac:dyDescent="0.2">
      <c r="B36" t="s">
        <v>22</v>
      </c>
      <c r="G36" s="9"/>
      <c r="H36" s="9"/>
      <c r="I36" s="9"/>
    </row>
    <row r="37" spans="2:9" x14ac:dyDescent="0.2">
      <c r="B37" t="s">
        <v>23</v>
      </c>
      <c r="G37" s="9">
        <v>1</v>
      </c>
      <c r="H37" s="9">
        <v>1</v>
      </c>
      <c r="I37" s="9">
        <v>1</v>
      </c>
    </row>
    <row r="38" spans="2:9" x14ac:dyDescent="0.2">
      <c r="B38" t="s">
        <v>24</v>
      </c>
      <c r="G38" s="9">
        <v>1</v>
      </c>
      <c r="H38" s="9">
        <v>1</v>
      </c>
      <c r="I38" s="9">
        <v>1</v>
      </c>
    </row>
    <row r="39" spans="2:9" x14ac:dyDescent="0.2">
      <c r="B39" t="s">
        <v>13</v>
      </c>
      <c r="G39" s="9">
        <v>8</v>
      </c>
      <c r="H39" s="9">
        <v>8</v>
      </c>
      <c r="I39" s="9">
        <v>8</v>
      </c>
    </row>
    <row r="40" spans="2:9" x14ac:dyDescent="0.2">
      <c r="G40" s="9"/>
      <c r="H40" s="9"/>
      <c r="I40" s="9"/>
    </row>
    <row r="41" spans="2:9" x14ac:dyDescent="0.2">
      <c r="B41" s="6" t="s">
        <v>47</v>
      </c>
    </row>
    <row r="42" spans="2:9" x14ac:dyDescent="0.2">
      <c r="B42" t="s">
        <v>46</v>
      </c>
      <c r="G42" s="9">
        <v>1</v>
      </c>
      <c r="H42" s="9">
        <v>1</v>
      </c>
      <c r="I42" s="9">
        <v>2</v>
      </c>
    </row>
    <row r="43" spans="2:9" x14ac:dyDescent="0.2">
      <c r="B43" t="s">
        <v>45</v>
      </c>
      <c r="G43" s="9">
        <v>1</v>
      </c>
      <c r="H43" s="9">
        <v>1</v>
      </c>
      <c r="I43" s="9">
        <v>2</v>
      </c>
    </row>
    <row r="44" spans="2:9" x14ac:dyDescent="0.2">
      <c r="G44" s="9"/>
      <c r="H44" s="9"/>
      <c r="I44" s="9"/>
    </row>
    <row r="45" spans="2:9" x14ac:dyDescent="0.2">
      <c r="B45" t="s">
        <v>15</v>
      </c>
      <c r="G45" s="11">
        <v>0.4</v>
      </c>
      <c r="H45" s="11">
        <v>0.4</v>
      </c>
      <c r="I45" s="11">
        <v>0.2</v>
      </c>
    </row>
  </sheetData>
  <mergeCells count="1">
    <mergeCell ref="B8:P8"/>
  </mergeCells>
  <pageMargins left="0.25" right="0.25" top="0.75" bottom="0.75" header="0.511811023622047" footer="0.511811023622047"/>
  <pageSetup orientation="landscape"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0DDA-F14D-6B42-9C3E-857FFDB60C77}">
  <sheetPr>
    <pageSetUpPr fitToPage="1"/>
  </sheetPr>
  <dimension ref="A2:Q24"/>
  <sheetViews>
    <sheetView zoomScaleNormal="100" zoomScaleSheetLayoutView="80" workbookViewId="0">
      <selection activeCell="B18" sqref="B18:D22"/>
    </sheetView>
  </sheetViews>
  <sheetFormatPr baseColWidth="10" defaultColWidth="10.6640625" defaultRowHeight="16" x14ac:dyDescent="0.2"/>
  <cols>
    <col min="2" max="2" width="3.5" customWidth="1"/>
    <col min="16" max="16" width="16.83203125" customWidth="1"/>
  </cols>
  <sheetData>
    <row r="2" spans="1:17" x14ac:dyDescent="0.2">
      <c r="B2" s="1" t="s">
        <v>0</v>
      </c>
    </row>
    <row r="3" spans="1:17" x14ac:dyDescent="0.2">
      <c r="B3" t="s">
        <v>1</v>
      </c>
    </row>
    <row r="4" spans="1:17" x14ac:dyDescent="0.2">
      <c r="B4" t="s">
        <v>2</v>
      </c>
    </row>
    <row r="5" spans="1:17" x14ac:dyDescent="0.2">
      <c r="B5" s="160" t="s">
        <v>180</v>
      </c>
    </row>
    <row r="6" spans="1:17" x14ac:dyDescent="0.2">
      <c r="B6" t="s">
        <v>3</v>
      </c>
    </row>
    <row r="8" spans="1:17" x14ac:dyDescent="0.2">
      <c r="B8" s="403" t="s">
        <v>4</v>
      </c>
      <c r="C8" s="403"/>
      <c r="D8" s="403"/>
      <c r="E8" s="403"/>
      <c r="F8" s="403"/>
      <c r="G8" s="403"/>
      <c r="H8" s="403"/>
      <c r="I8" s="403"/>
      <c r="J8" s="403"/>
      <c r="K8" s="403"/>
      <c r="L8" s="403"/>
      <c r="M8" s="403"/>
      <c r="N8" s="403"/>
      <c r="O8" s="403"/>
      <c r="P8" s="403"/>
    </row>
    <row r="9" spans="1:17" x14ac:dyDescent="0.2">
      <c r="B9" s="3"/>
      <c r="C9" s="3"/>
      <c r="D9" s="3"/>
      <c r="E9" s="3"/>
      <c r="F9" s="3"/>
      <c r="G9" s="3"/>
      <c r="H9" s="3"/>
      <c r="I9" s="3"/>
      <c r="J9" s="3"/>
      <c r="K9" s="3"/>
      <c r="L9" s="3"/>
      <c r="M9" s="3"/>
      <c r="N9" s="3"/>
      <c r="O9" s="3"/>
      <c r="P9" s="3"/>
    </row>
    <row r="10" spans="1:17" x14ac:dyDescent="0.2">
      <c r="B10" t="s">
        <v>5</v>
      </c>
      <c r="C10" s="3"/>
      <c r="D10" s="3"/>
      <c r="E10" s="3"/>
      <c r="F10" s="3"/>
      <c r="G10" s="3"/>
      <c r="H10" s="3"/>
      <c r="I10" s="3"/>
      <c r="J10" s="3"/>
      <c r="K10" s="3"/>
      <c r="L10" s="3"/>
      <c r="M10" s="3"/>
      <c r="N10" s="3"/>
      <c r="O10" s="3"/>
      <c r="P10" s="3"/>
    </row>
    <row r="12" spans="1:17" x14ac:dyDescent="0.2">
      <c r="A12" s="3">
        <v>1</v>
      </c>
      <c r="B12" s="4" t="s">
        <v>119</v>
      </c>
      <c r="C12" s="5"/>
      <c r="D12" s="5"/>
      <c r="E12" s="5"/>
      <c r="F12" s="5"/>
      <c r="G12" s="5"/>
      <c r="H12" s="5"/>
      <c r="I12" s="5"/>
      <c r="J12" s="5"/>
      <c r="K12" s="5"/>
      <c r="L12" s="5"/>
      <c r="M12" s="5"/>
      <c r="N12" s="5"/>
      <c r="O12" s="5"/>
      <c r="P12" s="5"/>
      <c r="Q12" s="5"/>
    </row>
    <row r="13" spans="1:17" x14ac:dyDescent="0.2">
      <c r="A13" s="3">
        <v>2</v>
      </c>
    </row>
    <row r="14" spans="1:17" x14ac:dyDescent="0.2">
      <c r="A14" s="3">
        <v>3</v>
      </c>
      <c r="G14" s="405" t="s">
        <v>118</v>
      </c>
      <c r="H14" s="405"/>
      <c r="I14" s="405"/>
    </row>
    <row r="15" spans="1:17" x14ac:dyDescent="0.2">
      <c r="A15" s="3">
        <v>4</v>
      </c>
      <c r="B15" s="6" t="s">
        <v>106</v>
      </c>
      <c r="C15" s="6"/>
      <c r="D15" s="6"/>
      <c r="G15" s="7" t="s">
        <v>7</v>
      </c>
      <c r="H15" s="7" t="s">
        <v>8</v>
      </c>
      <c r="I15" s="7" t="s">
        <v>9</v>
      </c>
    </row>
    <row r="16" spans="1:17" x14ac:dyDescent="0.2">
      <c r="A16" s="3">
        <v>5</v>
      </c>
      <c r="B16" s="6"/>
      <c r="C16" s="6"/>
      <c r="D16" s="6"/>
      <c r="G16" s="7"/>
      <c r="H16" s="7"/>
      <c r="I16" s="7"/>
    </row>
    <row r="17" spans="1:10" x14ac:dyDescent="0.2">
      <c r="A17" s="3">
        <v>6</v>
      </c>
      <c r="B17" s="12" t="s">
        <v>10</v>
      </c>
      <c r="G17" s="9"/>
      <c r="H17" s="9"/>
      <c r="I17" s="9"/>
      <c r="J17" s="10"/>
    </row>
    <row r="18" spans="1:10" x14ac:dyDescent="0.2">
      <c r="A18" s="3">
        <v>7</v>
      </c>
      <c r="B18" s="8" t="s">
        <v>25</v>
      </c>
      <c r="G18" s="9">
        <v>1</v>
      </c>
      <c r="H18" s="9">
        <v>2</v>
      </c>
      <c r="I18" s="9">
        <v>3</v>
      </c>
      <c r="J18" s="10"/>
    </row>
    <row r="19" spans="1:10" x14ac:dyDescent="0.2">
      <c r="A19" s="3">
        <v>8</v>
      </c>
      <c r="B19" s="8" t="s">
        <v>26</v>
      </c>
      <c r="G19" s="9">
        <v>1</v>
      </c>
      <c r="H19" s="9">
        <v>1</v>
      </c>
      <c r="I19" s="9">
        <v>1</v>
      </c>
      <c r="J19" s="10"/>
    </row>
    <row r="20" spans="1:10" x14ac:dyDescent="0.2">
      <c r="A20" s="3">
        <v>9</v>
      </c>
      <c r="B20" s="8" t="s">
        <v>27</v>
      </c>
      <c r="G20" s="9">
        <v>1</v>
      </c>
      <c r="H20" s="9">
        <v>1</v>
      </c>
      <c r="I20" s="9">
        <v>2</v>
      </c>
      <c r="J20" s="10"/>
    </row>
    <row r="21" spans="1:10" x14ac:dyDescent="0.2">
      <c r="A21" s="3">
        <v>10</v>
      </c>
      <c r="B21" s="8" t="s">
        <v>28</v>
      </c>
      <c r="G21" s="9">
        <v>1</v>
      </c>
      <c r="H21" s="9">
        <v>1</v>
      </c>
      <c r="I21" s="9">
        <v>2</v>
      </c>
      <c r="J21" s="10"/>
    </row>
    <row r="22" spans="1:10" x14ac:dyDescent="0.2">
      <c r="A22" s="3">
        <v>11</v>
      </c>
      <c r="B22" s="8" t="s">
        <v>29</v>
      </c>
      <c r="G22" s="9">
        <v>1</v>
      </c>
      <c r="H22" s="9">
        <v>1</v>
      </c>
      <c r="I22" s="9">
        <v>2</v>
      </c>
      <c r="J22" s="10"/>
    </row>
    <row r="23" spans="1:10" x14ac:dyDescent="0.2">
      <c r="A23" s="3">
        <v>12</v>
      </c>
      <c r="G23" s="9"/>
      <c r="H23" s="9"/>
      <c r="I23" s="9"/>
      <c r="J23" s="10"/>
    </row>
    <row r="24" spans="1:10" x14ac:dyDescent="0.2">
      <c r="A24" s="3">
        <v>13</v>
      </c>
      <c r="B24" t="s">
        <v>15</v>
      </c>
      <c r="G24" s="11">
        <v>0.8</v>
      </c>
      <c r="H24" s="11">
        <v>0.1</v>
      </c>
      <c r="I24" s="11">
        <v>0.1</v>
      </c>
    </row>
  </sheetData>
  <mergeCells count="2">
    <mergeCell ref="B8:P8"/>
    <mergeCell ref="G14:I14"/>
  </mergeCells>
  <pageMargins left="0.25" right="0.25" top="0.75" bottom="0.75" header="0.511811023622047" footer="0.511811023622047"/>
  <pageSetup scale="79" orientation="landscape"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0D0C8-FD02-4342-94E9-CE8FE485F53B}">
  <sheetPr>
    <pageSetUpPr fitToPage="1"/>
  </sheetPr>
  <dimension ref="A2:Q53"/>
  <sheetViews>
    <sheetView topLeftCell="A5" zoomScaleNormal="100" zoomScaleSheetLayoutView="80" workbookViewId="0">
      <selection activeCell="B2" sqref="B2:P53"/>
    </sheetView>
  </sheetViews>
  <sheetFormatPr baseColWidth="10" defaultColWidth="10.6640625" defaultRowHeight="16" x14ac:dyDescent="0.2"/>
  <cols>
    <col min="2" max="2" width="3.5" customWidth="1"/>
    <col min="16" max="16" width="16.83203125" customWidth="1"/>
  </cols>
  <sheetData>
    <row r="2" spans="1:17" x14ac:dyDescent="0.2">
      <c r="B2" s="1" t="s">
        <v>0</v>
      </c>
    </row>
    <row r="3" spans="1:17" x14ac:dyDescent="0.2">
      <c r="B3" t="s">
        <v>1</v>
      </c>
    </row>
    <row r="4" spans="1:17" x14ac:dyDescent="0.2">
      <c r="B4" t="s">
        <v>2</v>
      </c>
    </row>
    <row r="5" spans="1:17" x14ac:dyDescent="0.2">
      <c r="B5" s="2" t="s">
        <v>183</v>
      </c>
    </row>
    <row r="6" spans="1:17" x14ac:dyDescent="0.2">
      <c r="B6" t="s">
        <v>3</v>
      </c>
    </row>
    <row r="8" spans="1:17" x14ac:dyDescent="0.2">
      <c r="B8" s="403" t="s">
        <v>4</v>
      </c>
      <c r="C8" s="403"/>
      <c r="D8" s="403"/>
      <c r="E8" s="403"/>
      <c r="F8" s="403"/>
      <c r="G8" s="403"/>
      <c r="H8" s="403"/>
      <c r="I8" s="403"/>
      <c r="J8" s="403"/>
      <c r="K8" s="403"/>
      <c r="L8" s="403"/>
      <c r="M8" s="403"/>
      <c r="N8" s="403"/>
      <c r="O8" s="403"/>
      <c r="P8" s="403"/>
    </row>
    <row r="9" spans="1:17" x14ac:dyDescent="0.2">
      <c r="B9" s="3"/>
      <c r="C9" s="3"/>
      <c r="D9" s="3"/>
      <c r="E9" s="3"/>
      <c r="F9" s="3"/>
      <c r="G9" s="3"/>
      <c r="H9" s="3"/>
      <c r="I9" s="3"/>
      <c r="J9" s="3"/>
      <c r="K9" s="3"/>
      <c r="L9" s="3"/>
      <c r="M9" s="3"/>
      <c r="N9" s="3"/>
      <c r="O9" s="3"/>
      <c r="P9" s="3"/>
    </row>
    <row r="10" spans="1:17" x14ac:dyDescent="0.2">
      <c r="B10" t="s">
        <v>5</v>
      </c>
      <c r="C10" s="3"/>
      <c r="D10" s="3"/>
      <c r="E10" s="3"/>
      <c r="F10" s="3"/>
      <c r="G10" s="3"/>
      <c r="H10" s="3"/>
      <c r="I10" s="3"/>
      <c r="J10" s="3"/>
      <c r="K10" s="3"/>
      <c r="L10" s="3"/>
      <c r="M10" s="3"/>
      <c r="N10" s="3"/>
      <c r="O10" s="3"/>
      <c r="P10" s="3"/>
    </row>
    <row r="12" spans="1:17" x14ac:dyDescent="0.2">
      <c r="A12" s="3">
        <v>1</v>
      </c>
      <c r="B12" s="4" t="s">
        <v>106</v>
      </c>
      <c r="C12" s="5"/>
      <c r="D12" s="5"/>
      <c r="E12" s="5"/>
      <c r="F12" s="5"/>
      <c r="G12" s="5"/>
      <c r="H12" s="5"/>
      <c r="I12" s="5"/>
      <c r="J12" s="5"/>
      <c r="K12" s="5"/>
      <c r="L12" s="5"/>
      <c r="M12" s="5"/>
      <c r="N12" s="5"/>
      <c r="O12" s="5"/>
      <c r="P12" s="5"/>
      <c r="Q12" s="5"/>
    </row>
    <row r="13" spans="1:17" x14ac:dyDescent="0.2">
      <c r="A13" s="3">
        <v>2</v>
      </c>
    </row>
    <row r="14" spans="1:17" x14ac:dyDescent="0.2">
      <c r="A14" s="3"/>
      <c r="G14" s="405" t="s">
        <v>118</v>
      </c>
      <c r="H14" s="405"/>
      <c r="I14" s="405"/>
    </row>
    <row r="15" spans="1:17" x14ac:dyDescent="0.2">
      <c r="A15" s="3">
        <v>3</v>
      </c>
      <c r="B15" s="6" t="s">
        <v>106</v>
      </c>
      <c r="C15" s="6"/>
      <c r="D15" s="6"/>
      <c r="G15" s="7" t="s">
        <v>7</v>
      </c>
      <c r="H15" s="7" t="s">
        <v>8</v>
      </c>
      <c r="I15" s="7" t="s">
        <v>9</v>
      </c>
    </row>
    <row r="16" spans="1:17" x14ac:dyDescent="0.2">
      <c r="A16" s="3">
        <v>4</v>
      </c>
      <c r="B16" s="6"/>
      <c r="C16" s="6"/>
      <c r="D16" s="6"/>
      <c r="G16" s="7"/>
      <c r="H16" s="7"/>
      <c r="I16" s="7"/>
    </row>
    <row r="17" spans="1:10" x14ac:dyDescent="0.2">
      <c r="A17" s="3">
        <v>5</v>
      </c>
      <c r="B17" s="12" t="s">
        <v>10</v>
      </c>
      <c r="G17" s="9">
        <v>2</v>
      </c>
      <c r="H17" s="9">
        <v>4</v>
      </c>
      <c r="I17" s="9">
        <v>5</v>
      </c>
      <c r="J17" s="10"/>
    </row>
    <row r="18" spans="1:10" x14ac:dyDescent="0.2">
      <c r="A18" s="3">
        <v>6</v>
      </c>
      <c r="B18" s="8" t="s">
        <v>25</v>
      </c>
      <c r="G18" s="9">
        <v>2</v>
      </c>
      <c r="H18" s="9">
        <v>2</v>
      </c>
      <c r="I18" s="9">
        <v>3</v>
      </c>
      <c r="J18" s="10"/>
    </row>
    <row r="19" spans="1:10" x14ac:dyDescent="0.2">
      <c r="A19" s="3">
        <v>7</v>
      </c>
      <c r="B19" s="8" t="s">
        <v>26</v>
      </c>
      <c r="G19" s="9">
        <v>1</v>
      </c>
      <c r="H19" s="9">
        <v>1</v>
      </c>
      <c r="I19" s="9">
        <v>1</v>
      </c>
      <c r="J19" s="10"/>
    </row>
    <row r="20" spans="1:10" x14ac:dyDescent="0.2">
      <c r="A20" s="3">
        <v>8</v>
      </c>
      <c r="B20" s="8" t="s">
        <v>27</v>
      </c>
      <c r="G20" s="9">
        <v>1</v>
      </c>
      <c r="H20" s="9">
        <v>1</v>
      </c>
      <c r="I20" s="9">
        <v>2</v>
      </c>
      <c r="J20" s="10"/>
    </row>
    <row r="21" spans="1:10" x14ac:dyDescent="0.2">
      <c r="A21" s="3">
        <v>9</v>
      </c>
      <c r="B21" s="8" t="s">
        <v>28</v>
      </c>
      <c r="G21" s="9">
        <v>1</v>
      </c>
      <c r="H21" s="9">
        <v>1</v>
      </c>
      <c r="I21" s="9">
        <v>2</v>
      </c>
      <c r="J21" s="10"/>
    </row>
    <row r="22" spans="1:10" x14ac:dyDescent="0.2">
      <c r="A22" s="3">
        <v>10</v>
      </c>
      <c r="B22" s="8" t="s">
        <v>29</v>
      </c>
      <c r="G22" s="9">
        <v>1</v>
      </c>
      <c r="H22" s="9">
        <v>1</v>
      </c>
      <c r="I22" s="9">
        <v>2</v>
      </c>
      <c r="J22" s="10"/>
    </row>
    <row r="23" spans="1:10" x14ac:dyDescent="0.2">
      <c r="A23" s="3">
        <v>11</v>
      </c>
      <c r="G23" s="9"/>
      <c r="H23" s="9"/>
      <c r="I23" s="9"/>
      <c r="J23" s="10"/>
    </row>
    <row r="24" spans="1:10" x14ac:dyDescent="0.2">
      <c r="A24" s="3">
        <v>12</v>
      </c>
      <c r="B24" s="6" t="s">
        <v>11</v>
      </c>
      <c r="J24" s="10"/>
    </row>
    <row r="25" spans="1:10" x14ac:dyDescent="0.2">
      <c r="A25" s="3">
        <v>13</v>
      </c>
      <c r="B25" t="s">
        <v>16</v>
      </c>
      <c r="G25" s="9">
        <v>1</v>
      </c>
      <c r="H25" s="9">
        <v>1</v>
      </c>
      <c r="I25" s="9">
        <v>1</v>
      </c>
      <c r="J25" s="10"/>
    </row>
    <row r="26" spans="1:10" x14ac:dyDescent="0.2">
      <c r="A26" s="3">
        <v>14</v>
      </c>
      <c r="B26" t="s">
        <v>17</v>
      </c>
      <c r="G26" s="9">
        <v>1</v>
      </c>
      <c r="H26" s="9">
        <v>1</v>
      </c>
      <c r="I26" s="9">
        <v>2</v>
      </c>
      <c r="J26" s="10"/>
    </row>
    <row r="27" spans="1:10" x14ac:dyDescent="0.2">
      <c r="A27" s="3">
        <v>15</v>
      </c>
      <c r="B27" t="s">
        <v>18</v>
      </c>
      <c r="G27" s="9">
        <v>1</v>
      </c>
      <c r="H27" s="9">
        <v>1</v>
      </c>
      <c r="I27" s="9">
        <v>2</v>
      </c>
    </row>
    <row r="28" spans="1:10" x14ac:dyDescent="0.2">
      <c r="A28" s="3">
        <v>16</v>
      </c>
      <c r="B28" t="s">
        <v>19</v>
      </c>
      <c r="G28" s="9">
        <v>1</v>
      </c>
      <c r="H28" s="9">
        <v>1</v>
      </c>
      <c r="I28" s="9">
        <v>1</v>
      </c>
    </row>
    <row r="29" spans="1:10" x14ac:dyDescent="0.2">
      <c r="A29" s="3">
        <v>17</v>
      </c>
      <c r="B29" t="s">
        <v>20</v>
      </c>
      <c r="G29" s="9">
        <v>2</v>
      </c>
      <c r="H29" s="9">
        <v>6</v>
      </c>
      <c r="I29" s="9">
        <v>8</v>
      </c>
    </row>
    <row r="30" spans="1:10" x14ac:dyDescent="0.2">
      <c r="A30" s="3">
        <v>18</v>
      </c>
      <c r="B30" t="s">
        <v>21</v>
      </c>
      <c r="G30" s="9">
        <v>1</v>
      </c>
      <c r="H30" s="9">
        <v>1</v>
      </c>
      <c r="I30" s="9">
        <v>1</v>
      </c>
    </row>
    <row r="31" spans="1:10" x14ac:dyDescent="0.2">
      <c r="A31" s="3">
        <v>19</v>
      </c>
    </row>
    <row r="32" spans="1:10" x14ac:dyDescent="0.2">
      <c r="A32" s="3">
        <v>20</v>
      </c>
      <c r="B32" s="12" t="s">
        <v>107</v>
      </c>
    </row>
    <row r="33" spans="1:9" x14ac:dyDescent="0.2">
      <c r="A33" s="3">
        <v>21</v>
      </c>
      <c r="B33" s="8" t="s">
        <v>108</v>
      </c>
      <c r="G33" s="9">
        <v>4</v>
      </c>
      <c r="H33" s="9">
        <v>8</v>
      </c>
      <c r="I33" s="9">
        <v>8</v>
      </c>
    </row>
    <row r="34" spans="1:9" x14ac:dyDescent="0.2">
      <c r="A34" s="3">
        <v>22</v>
      </c>
      <c r="B34" s="8" t="s">
        <v>109</v>
      </c>
      <c r="G34" s="9">
        <v>8</v>
      </c>
      <c r="H34" s="9">
        <v>16</v>
      </c>
      <c r="I34" s="9">
        <v>16</v>
      </c>
    </row>
    <row r="35" spans="1:9" x14ac:dyDescent="0.2">
      <c r="A35" s="3">
        <v>23</v>
      </c>
      <c r="B35" s="13" t="s">
        <v>116</v>
      </c>
      <c r="C35" s="15"/>
      <c r="D35" s="15"/>
      <c r="E35" s="15"/>
      <c r="G35" s="9">
        <v>1</v>
      </c>
      <c r="H35" s="9">
        <v>1</v>
      </c>
      <c r="I35" s="9">
        <v>1</v>
      </c>
    </row>
    <row r="36" spans="1:9" x14ac:dyDescent="0.2">
      <c r="A36" s="3">
        <v>24</v>
      </c>
      <c r="B36" s="13" t="s">
        <v>117</v>
      </c>
      <c r="C36" s="15"/>
      <c r="D36" s="15"/>
      <c r="E36" s="15"/>
      <c r="G36" s="9">
        <v>1</v>
      </c>
      <c r="H36" s="9">
        <v>2</v>
      </c>
      <c r="I36" s="9">
        <v>2</v>
      </c>
    </row>
    <row r="37" spans="1:9" x14ac:dyDescent="0.2">
      <c r="A37" s="3">
        <v>25</v>
      </c>
      <c r="B37" s="13" t="s">
        <v>110</v>
      </c>
      <c r="C37" s="15"/>
      <c r="D37" s="15"/>
      <c r="E37" s="15"/>
      <c r="G37" s="9">
        <v>1</v>
      </c>
      <c r="H37" s="9">
        <v>1</v>
      </c>
      <c r="I37" s="9">
        <v>1</v>
      </c>
    </row>
    <row r="38" spans="1:9" x14ac:dyDescent="0.2">
      <c r="A38" s="3">
        <v>26</v>
      </c>
      <c r="B38" s="13"/>
      <c r="C38" s="15"/>
      <c r="D38" s="15"/>
      <c r="E38" s="15"/>
      <c r="G38" s="9"/>
      <c r="H38" s="9"/>
      <c r="I38" s="9"/>
    </row>
    <row r="39" spans="1:9" x14ac:dyDescent="0.2">
      <c r="A39" s="3">
        <v>27</v>
      </c>
      <c r="B39" s="14" t="s">
        <v>111</v>
      </c>
      <c r="C39" s="15"/>
      <c r="D39" s="15"/>
      <c r="E39" s="15"/>
    </row>
    <row r="40" spans="1:9" x14ac:dyDescent="0.2">
      <c r="A40" s="3">
        <v>28</v>
      </c>
      <c r="B40" s="15" t="s">
        <v>112</v>
      </c>
      <c r="C40" s="15"/>
      <c r="D40" s="15"/>
      <c r="E40" s="15"/>
      <c r="G40" s="9">
        <v>0</v>
      </c>
      <c r="H40" s="9">
        <v>0</v>
      </c>
      <c r="I40" s="9">
        <v>28</v>
      </c>
    </row>
    <row r="41" spans="1:9" x14ac:dyDescent="0.2">
      <c r="A41" s="3">
        <v>29</v>
      </c>
      <c r="B41" s="13" t="s">
        <v>114</v>
      </c>
      <c r="C41" s="15"/>
      <c r="D41" s="15"/>
      <c r="E41" s="15"/>
      <c r="G41" s="9">
        <v>0</v>
      </c>
      <c r="H41" s="9">
        <v>0</v>
      </c>
      <c r="I41" s="9">
        <v>1</v>
      </c>
    </row>
    <row r="42" spans="1:9" x14ac:dyDescent="0.2">
      <c r="A42" s="3">
        <v>30</v>
      </c>
      <c r="B42" s="13" t="s">
        <v>115</v>
      </c>
      <c r="C42" s="15"/>
      <c r="D42" s="15"/>
      <c r="E42" s="15"/>
      <c r="G42" s="9">
        <v>0</v>
      </c>
      <c r="H42" s="9">
        <v>0</v>
      </c>
      <c r="I42" s="9">
        <v>1</v>
      </c>
    </row>
    <row r="43" spans="1:9" x14ac:dyDescent="0.2">
      <c r="A43" s="3">
        <v>31</v>
      </c>
      <c r="B43" s="13" t="s">
        <v>113</v>
      </c>
      <c r="C43" s="15"/>
      <c r="D43" s="15"/>
      <c r="E43" s="15"/>
      <c r="G43" s="9">
        <v>1</v>
      </c>
      <c r="H43" s="9">
        <v>1</v>
      </c>
      <c r="I43" s="9">
        <v>1</v>
      </c>
    </row>
    <row r="44" spans="1:9" x14ac:dyDescent="0.2">
      <c r="A44" s="3">
        <v>32</v>
      </c>
      <c r="B44" s="13"/>
      <c r="D44" s="15"/>
      <c r="G44" s="9"/>
      <c r="H44" s="9"/>
      <c r="I44" s="9"/>
    </row>
    <row r="45" spans="1:9" x14ac:dyDescent="0.2">
      <c r="A45" s="3">
        <v>33</v>
      </c>
      <c r="B45" s="6" t="s">
        <v>39</v>
      </c>
    </row>
    <row r="46" spans="1:9" x14ac:dyDescent="0.2">
      <c r="A46" s="3">
        <v>34</v>
      </c>
      <c r="B46" t="s">
        <v>40</v>
      </c>
      <c r="G46" s="9">
        <v>1</v>
      </c>
      <c r="H46" s="9">
        <v>1</v>
      </c>
      <c r="I46" s="9">
        <v>1</v>
      </c>
    </row>
    <row r="47" spans="1:9" x14ac:dyDescent="0.2">
      <c r="A47" s="3">
        <v>35</v>
      </c>
      <c r="B47" t="s">
        <v>41</v>
      </c>
      <c r="G47" s="9">
        <v>1</v>
      </c>
      <c r="H47" s="9">
        <v>1</v>
      </c>
      <c r="I47" s="9">
        <v>1</v>
      </c>
    </row>
    <row r="48" spans="1:9" x14ac:dyDescent="0.2">
      <c r="A48" s="3">
        <v>36</v>
      </c>
      <c r="B48" t="s">
        <v>42</v>
      </c>
      <c r="G48" s="9">
        <v>1</v>
      </c>
      <c r="H48" s="9">
        <v>1</v>
      </c>
      <c r="I48" s="9">
        <v>1</v>
      </c>
    </row>
    <row r="49" spans="1:9" x14ac:dyDescent="0.2">
      <c r="A49" s="3">
        <v>37</v>
      </c>
      <c r="B49" t="s">
        <v>43</v>
      </c>
      <c r="G49" s="9">
        <v>8</v>
      </c>
      <c r="H49" s="9">
        <v>8</v>
      </c>
      <c r="I49" s="9">
        <v>8</v>
      </c>
    </row>
    <row r="50" spans="1:9" x14ac:dyDescent="0.2">
      <c r="A50" s="3">
        <v>38</v>
      </c>
      <c r="G50" s="11"/>
      <c r="H50" s="11"/>
      <c r="I50" s="11"/>
    </row>
    <row r="51" spans="1:9" x14ac:dyDescent="0.2">
      <c r="A51" s="3">
        <v>39</v>
      </c>
      <c r="B51" t="s">
        <v>44</v>
      </c>
      <c r="G51" s="9">
        <v>0</v>
      </c>
      <c r="H51" s="9">
        <v>1</v>
      </c>
      <c r="I51" s="9">
        <v>1</v>
      </c>
    </row>
    <row r="52" spans="1:9" x14ac:dyDescent="0.2">
      <c r="A52" s="3">
        <v>40</v>
      </c>
      <c r="G52" s="11"/>
      <c r="H52" s="11"/>
      <c r="I52" s="11"/>
    </row>
    <row r="53" spans="1:9" x14ac:dyDescent="0.2">
      <c r="A53" s="3">
        <v>41</v>
      </c>
      <c r="B53" t="s">
        <v>15</v>
      </c>
      <c r="G53" s="11">
        <v>0.2</v>
      </c>
      <c r="H53" s="11">
        <v>0.6</v>
      </c>
      <c r="I53" s="11">
        <v>0.2</v>
      </c>
    </row>
  </sheetData>
  <mergeCells count="2">
    <mergeCell ref="B8:P8"/>
    <mergeCell ref="G14:I14"/>
  </mergeCells>
  <pageMargins left="0.25" right="0.25" top="0.75" bottom="0.75" header="0.511811023622047" footer="0.511811023622047"/>
  <pageSetup scale="64" orientation="landscape"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B06D8-5389-9C43-B193-158E5D41845D}">
  <sheetPr>
    <pageSetUpPr fitToPage="1"/>
  </sheetPr>
  <dimension ref="B2:AC42"/>
  <sheetViews>
    <sheetView zoomScaleNormal="100" workbookViewId="0">
      <selection activeCell="B2" sqref="B2:AB40"/>
    </sheetView>
  </sheetViews>
  <sheetFormatPr baseColWidth="10" defaultColWidth="10.6640625" defaultRowHeight="16" x14ac:dyDescent="0.2"/>
  <cols>
    <col min="1" max="1" width="10.6640625" style="80"/>
    <col min="2" max="2" width="5.6640625" style="81" customWidth="1"/>
    <col min="3" max="3" width="5.5" style="81" customWidth="1"/>
    <col min="4" max="4" width="23.1640625" style="80" customWidth="1"/>
    <col min="5" max="5" width="8.83203125" style="80" customWidth="1"/>
    <col min="6" max="6" width="2" style="80" customWidth="1"/>
    <col min="7" max="8" width="8.83203125" style="80" customWidth="1"/>
    <col min="9" max="9" width="2" style="80" bestFit="1" customWidth="1"/>
    <col min="10" max="11" width="8.83203125" style="80" customWidth="1"/>
    <col min="12" max="12" width="2" style="80" bestFit="1" customWidth="1"/>
    <col min="13" max="14" width="8.83203125" style="80" customWidth="1"/>
    <col min="15" max="15" width="2" style="80" bestFit="1" customWidth="1"/>
    <col min="16" max="17" width="8.83203125" style="80" customWidth="1"/>
    <col min="18" max="18" width="2" style="80" bestFit="1" customWidth="1"/>
    <col min="19" max="20" width="8.83203125" style="80" customWidth="1"/>
    <col min="21" max="21" width="2" style="80" bestFit="1" customWidth="1"/>
    <col min="22" max="23" width="8.83203125" style="80" customWidth="1"/>
    <col min="24" max="24" width="2" style="80" bestFit="1" customWidth="1"/>
    <col min="25" max="26" width="8.83203125" style="80" customWidth="1"/>
    <col min="27" max="27" width="2" style="80" bestFit="1" customWidth="1"/>
    <col min="28" max="28" width="8.83203125" style="80" customWidth="1"/>
    <col min="29" max="29" width="5.5" style="80" customWidth="1"/>
    <col min="30" max="16384" width="10.6640625" style="80"/>
  </cols>
  <sheetData>
    <row r="2" spans="2:29" x14ac:dyDescent="0.2">
      <c r="C2" s="150" t="s">
        <v>0</v>
      </c>
    </row>
    <row r="3" spans="2:29" x14ac:dyDescent="0.2">
      <c r="C3" s="80" t="s">
        <v>1</v>
      </c>
    </row>
    <row r="4" spans="2:29" x14ac:dyDescent="0.2">
      <c r="C4" s="80" t="s">
        <v>2</v>
      </c>
    </row>
    <row r="5" spans="2:29" x14ac:dyDescent="0.2">
      <c r="C5" s="160" t="s">
        <v>178</v>
      </c>
    </row>
    <row r="6" spans="2:29" x14ac:dyDescent="0.2">
      <c r="C6" s="80" t="s">
        <v>177</v>
      </c>
    </row>
    <row r="7" spans="2:29" ht="34.25" customHeight="1" x14ac:dyDescent="0.2">
      <c r="C7" s="391" t="s">
        <v>151</v>
      </c>
      <c r="D7" s="391"/>
      <c r="E7" s="391"/>
      <c r="F7" s="391"/>
      <c r="G7" s="391"/>
      <c r="H7" s="391"/>
      <c r="I7" s="391"/>
      <c r="J7" s="391"/>
      <c r="K7" s="391"/>
      <c r="L7" s="391"/>
      <c r="M7" s="391"/>
      <c r="N7" s="391"/>
      <c r="O7" s="391"/>
      <c r="P7" s="391"/>
      <c r="Q7" s="391"/>
      <c r="R7" s="391"/>
      <c r="S7" s="391"/>
      <c r="T7" s="391"/>
      <c r="U7" s="391"/>
      <c r="V7" s="391"/>
      <c r="W7" s="391"/>
      <c r="X7" s="391"/>
      <c r="Y7" s="391"/>
      <c r="Z7" s="391"/>
      <c r="AA7" s="391"/>
      <c r="AB7" s="391"/>
    </row>
    <row r="9" spans="2:29" x14ac:dyDescent="0.2">
      <c r="C9" s="159"/>
      <c r="D9" s="159"/>
      <c r="E9" s="159"/>
      <c r="F9" s="159"/>
      <c r="G9" s="159"/>
      <c r="H9" s="158"/>
      <c r="I9" s="158"/>
      <c r="J9" s="158"/>
      <c r="K9" s="158"/>
      <c r="L9" s="158"/>
      <c r="M9" s="158"/>
      <c r="N9" s="158"/>
      <c r="O9" s="158"/>
      <c r="P9" s="158"/>
      <c r="Q9" s="158"/>
      <c r="R9" s="158"/>
      <c r="S9" s="158"/>
      <c r="T9" s="158"/>
      <c r="U9" s="158"/>
      <c r="V9" s="158"/>
      <c r="W9" s="158"/>
      <c r="X9" s="158"/>
      <c r="Y9" s="158"/>
      <c r="Z9" s="158"/>
      <c r="AA9" s="158"/>
      <c r="AB9" s="158"/>
      <c r="AC9" s="157"/>
    </row>
    <row r="11" spans="2:29" ht="30" customHeight="1" x14ac:dyDescent="0.2">
      <c r="B11" s="81">
        <v>1</v>
      </c>
      <c r="C11" s="392" t="s">
        <v>66</v>
      </c>
      <c r="D11" s="392"/>
      <c r="E11" s="393" t="s">
        <v>176</v>
      </c>
      <c r="F11" s="394"/>
      <c r="G11" s="395"/>
      <c r="H11" s="396" t="s">
        <v>130</v>
      </c>
      <c r="I11" s="396"/>
      <c r="J11" s="382"/>
      <c r="K11" s="381" t="s">
        <v>130</v>
      </c>
      <c r="L11" s="396"/>
      <c r="M11" s="382"/>
      <c r="N11" s="381" t="s">
        <v>130</v>
      </c>
      <c r="O11" s="396"/>
      <c r="P11" s="382"/>
      <c r="Q11" s="381" t="s">
        <v>130</v>
      </c>
      <c r="R11" s="396"/>
      <c r="S11" s="382"/>
      <c r="T11" s="381" t="s">
        <v>130</v>
      </c>
      <c r="U11" s="396"/>
      <c r="V11" s="382"/>
      <c r="W11" s="381" t="s">
        <v>130</v>
      </c>
      <c r="X11" s="396"/>
      <c r="Y11" s="382"/>
      <c r="Z11" s="397" t="s">
        <v>134</v>
      </c>
      <c r="AA11" s="398"/>
      <c r="AB11" s="399"/>
    </row>
    <row r="12" spans="2:29" x14ac:dyDescent="0.2">
      <c r="B12" s="81">
        <v>2</v>
      </c>
      <c r="E12" s="387"/>
      <c r="F12" s="388"/>
      <c r="G12" s="389"/>
      <c r="H12" s="390" t="s">
        <v>122</v>
      </c>
      <c r="I12" s="390"/>
      <c r="J12" s="385"/>
      <c r="K12" s="383" t="s">
        <v>135</v>
      </c>
      <c r="L12" s="390"/>
      <c r="M12" s="385"/>
      <c r="N12" s="383" t="s">
        <v>123</v>
      </c>
      <c r="O12" s="390"/>
      <c r="P12" s="385"/>
      <c r="Q12" s="383" t="s">
        <v>131</v>
      </c>
      <c r="R12" s="390"/>
      <c r="S12" s="385"/>
      <c r="T12" s="383" t="s">
        <v>132</v>
      </c>
      <c r="U12" s="390"/>
      <c r="V12" s="385"/>
      <c r="W12" s="383" t="s">
        <v>133</v>
      </c>
      <c r="X12" s="390"/>
      <c r="Y12" s="385"/>
      <c r="Z12" s="400" t="s">
        <v>101</v>
      </c>
      <c r="AA12" s="401"/>
      <c r="AB12" s="402"/>
    </row>
    <row r="13" spans="2:29" x14ac:dyDescent="0.2">
      <c r="B13" s="81">
        <v>3</v>
      </c>
      <c r="C13" s="150" t="s">
        <v>155</v>
      </c>
      <c r="E13" s="87"/>
      <c r="F13" s="193"/>
      <c r="G13" s="83"/>
      <c r="H13" s="113"/>
      <c r="I13" s="113"/>
      <c r="J13" s="111"/>
      <c r="K13" s="113"/>
      <c r="L13" s="113"/>
      <c r="M13" s="111"/>
      <c r="N13" s="113"/>
      <c r="O13" s="113"/>
      <c r="P13" s="111"/>
      <c r="Q13" s="113"/>
      <c r="R13" s="113"/>
      <c r="S13" s="111"/>
      <c r="T13" s="164"/>
      <c r="U13" s="164"/>
      <c r="V13" s="165"/>
      <c r="W13" s="113"/>
      <c r="X13" s="113"/>
      <c r="Y13" s="111"/>
      <c r="Z13" s="113"/>
      <c r="AA13" s="113"/>
      <c r="AB13" s="111"/>
    </row>
    <row r="14" spans="2:29" x14ac:dyDescent="0.2">
      <c r="B14" s="81">
        <v>4</v>
      </c>
      <c r="D14" s="132" t="s">
        <v>7</v>
      </c>
      <c r="E14" s="131">
        <v>0</v>
      </c>
      <c r="F14" s="130"/>
      <c r="G14" s="129">
        <v>0</v>
      </c>
      <c r="H14" s="149">
        <v>30.1935</v>
      </c>
      <c r="I14" s="130"/>
      <c r="J14" s="156">
        <v>325</v>
      </c>
      <c r="K14" s="131">
        <v>0</v>
      </c>
      <c r="L14" s="130"/>
      <c r="M14" s="129">
        <v>0</v>
      </c>
      <c r="N14" s="131">
        <v>0</v>
      </c>
      <c r="O14" s="130"/>
      <c r="P14" s="129">
        <v>0</v>
      </c>
      <c r="Q14" s="131">
        <v>0</v>
      </c>
      <c r="R14" s="130"/>
      <c r="S14" s="129">
        <v>0</v>
      </c>
      <c r="T14" s="166">
        <v>0</v>
      </c>
      <c r="U14" s="167"/>
      <c r="V14" s="148">
        <v>0</v>
      </c>
      <c r="W14" s="131">
        <v>0</v>
      </c>
      <c r="X14" s="130"/>
      <c r="Y14" s="129">
        <v>0</v>
      </c>
      <c r="Z14" s="131">
        <v>0</v>
      </c>
      <c r="AA14" s="130"/>
      <c r="AB14" s="129">
        <v>0</v>
      </c>
    </row>
    <row r="15" spans="2:29" x14ac:dyDescent="0.2">
      <c r="B15" s="81">
        <v>5</v>
      </c>
      <c r="D15" s="147" t="s">
        <v>8</v>
      </c>
      <c r="E15" s="144">
        <v>0</v>
      </c>
      <c r="F15" s="130"/>
      <c r="G15" s="143">
        <v>0</v>
      </c>
      <c r="H15" s="146">
        <v>43.198999999999998</v>
      </c>
      <c r="I15" s="130"/>
      <c r="J15" s="155">
        <v>465</v>
      </c>
      <c r="K15" s="144">
        <v>0</v>
      </c>
      <c r="L15" s="130"/>
      <c r="M15" s="143">
        <v>0</v>
      </c>
      <c r="N15" s="144">
        <v>0</v>
      </c>
      <c r="O15" s="130"/>
      <c r="P15" s="143">
        <v>0</v>
      </c>
      <c r="Q15" s="144">
        <v>0</v>
      </c>
      <c r="R15" s="130"/>
      <c r="S15" s="143">
        <v>0</v>
      </c>
      <c r="T15" s="168">
        <v>0</v>
      </c>
      <c r="U15" s="167"/>
      <c r="V15" s="145">
        <v>0</v>
      </c>
      <c r="W15" s="144">
        <v>0</v>
      </c>
      <c r="X15" s="130"/>
      <c r="Y15" s="143">
        <v>0</v>
      </c>
      <c r="Z15" s="144">
        <v>0</v>
      </c>
      <c r="AA15" s="130"/>
      <c r="AB15" s="143">
        <v>0</v>
      </c>
    </row>
    <row r="16" spans="2:29" x14ac:dyDescent="0.2">
      <c r="B16" s="81">
        <v>6</v>
      </c>
      <c r="D16" s="142" t="s">
        <v>9</v>
      </c>
      <c r="E16" s="137">
        <v>0</v>
      </c>
      <c r="F16" s="136"/>
      <c r="G16" s="135">
        <v>0</v>
      </c>
      <c r="H16" s="211">
        <v>63.638599999999997</v>
      </c>
      <c r="I16" s="136"/>
      <c r="J16" s="154">
        <v>685</v>
      </c>
      <c r="K16" s="137">
        <v>0</v>
      </c>
      <c r="L16" s="136"/>
      <c r="M16" s="135">
        <v>0</v>
      </c>
      <c r="N16" s="153">
        <v>0</v>
      </c>
      <c r="O16" s="136"/>
      <c r="P16" s="140">
        <v>0</v>
      </c>
      <c r="Q16" s="137">
        <v>0</v>
      </c>
      <c r="R16" s="136"/>
      <c r="S16" s="135">
        <v>0</v>
      </c>
      <c r="T16" s="169">
        <v>0</v>
      </c>
      <c r="U16" s="170"/>
      <c r="V16" s="139">
        <v>0</v>
      </c>
      <c r="W16" s="137">
        <v>0</v>
      </c>
      <c r="X16" s="136"/>
      <c r="Y16" s="135">
        <v>0</v>
      </c>
      <c r="Z16" s="137">
        <v>0</v>
      </c>
      <c r="AA16" s="136"/>
      <c r="AB16" s="135">
        <v>0</v>
      </c>
    </row>
    <row r="17" spans="2:28" x14ac:dyDescent="0.2">
      <c r="B17" s="81">
        <v>7</v>
      </c>
      <c r="D17" s="121" t="s">
        <v>89</v>
      </c>
      <c r="E17" s="118">
        <f>SUM(E14:E16)</f>
        <v>0</v>
      </c>
      <c r="F17" s="89"/>
      <c r="G17" s="88">
        <f>SUM(G14:G16)</f>
        <v>0</v>
      </c>
      <c r="H17" s="133">
        <f>SUM(H14:H16)</f>
        <v>137.03109999999998</v>
      </c>
      <c r="I17" s="89"/>
      <c r="J17" s="88">
        <f>SUM(J14:J16)</f>
        <v>1475</v>
      </c>
      <c r="K17" s="118">
        <f>SUM(K14:K16)</f>
        <v>0</v>
      </c>
      <c r="L17" s="89"/>
      <c r="M17" s="88">
        <f>SUM(M14:M16)</f>
        <v>0</v>
      </c>
      <c r="N17" s="118">
        <f>SUM(N14:N16)</f>
        <v>0</v>
      </c>
      <c r="O17" s="89"/>
      <c r="P17" s="88">
        <f>SUM(P14:P16)</f>
        <v>0</v>
      </c>
      <c r="Q17" s="118">
        <f>SUM(Q14:Q16)</f>
        <v>0</v>
      </c>
      <c r="R17" s="89"/>
      <c r="S17" s="88">
        <f>SUM(S14:S16)</f>
        <v>0</v>
      </c>
      <c r="T17" s="171">
        <f>SUM(T14:T16)</f>
        <v>0</v>
      </c>
      <c r="U17" s="151"/>
      <c r="V17" s="134">
        <f>SUM(V14:V16)</f>
        <v>0</v>
      </c>
      <c r="W17" s="118">
        <f>SUM(W14:W16)</f>
        <v>0</v>
      </c>
      <c r="X17" s="89"/>
      <c r="Y17" s="88">
        <f>SUM(Y14:Y16)</f>
        <v>0</v>
      </c>
      <c r="Z17" s="118">
        <f>SUM(Z14:Z16)</f>
        <v>0</v>
      </c>
      <c r="AA17" s="89"/>
      <c r="AB17" s="88">
        <f>SUM(AB14:AB16)</f>
        <v>0</v>
      </c>
    </row>
    <row r="18" spans="2:28" x14ac:dyDescent="0.2">
      <c r="B18" s="81">
        <v>8</v>
      </c>
      <c r="D18" s="152"/>
      <c r="E18" s="118"/>
      <c r="F18" s="117"/>
      <c r="G18" s="88"/>
      <c r="H18" s="133"/>
      <c r="I18" s="89"/>
      <c r="J18" s="88"/>
      <c r="K18" s="118"/>
      <c r="L18" s="151"/>
      <c r="M18" s="88"/>
      <c r="N18" s="118"/>
      <c r="O18" s="89"/>
      <c r="P18" s="88"/>
      <c r="Q18" s="118"/>
      <c r="R18" s="117"/>
      <c r="S18" s="88"/>
      <c r="T18" s="171"/>
      <c r="U18" s="172"/>
      <c r="V18" s="134"/>
      <c r="W18" s="118"/>
      <c r="X18" s="117"/>
      <c r="Y18" s="88"/>
      <c r="Z18" s="118"/>
      <c r="AA18" s="117"/>
      <c r="AB18" s="88"/>
    </row>
    <row r="19" spans="2:28" x14ac:dyDescent="0.2">
      <c r="B19" s="81">
        <v>9</v>
      </c>
      <c r="C19" s="150" t="s">
        <v>154</v>
      </c>
      <c r="E19" s="118"/>
      <c r="F19" s="117"/>
      <c r="G19" s="88"/>
      <c r="H19" s="133"/>
      <c r="I19" s="89"/>
      <c r="J19" s="88"/>
      <c r="K19" s="118"/>
      <c r="L19" s="89"/>
      <c r="M19" s="88"/>
      <c r="N19" s="118"/>
      <c r="O19" s="89"/>
      <c r="P19" s="88"/>
      <c r="Q19" s="118"/>
      <c r="R19" s="117"/>
      <c r="S19" s="88"/>
      <c r="T19" s="171"/>
      <c r="U19" s="172"/>
      <c r="V19" s="134"/>
      <c r="W19" s="118"/>
      <c r="X19" s="117"/>
      <c r="Y19" s="88"/>
      <c r="Z19" s="118"/>
      <c r="AA19" s="117"/>
      <c r="AB19" s="88"/>
    </row>
    <row r="20" spans="2:28" x14ac:dyDescent="0.2">
      <c r="B20" s="81">
        <v>10</v>
      </c>
      <c r="D20" s="132" t="s">
        <v>7</v>
      </c>
      <c r="E20" s="131">
        <v>130.06</v>
      </c>
      <c r="F20" s="130"/>
      <c r="G20" s="129">
        <v>1400</v>
      </c>
      <c r="H20" s="149">
        <v>0</v>
      </c>
      <c r="I20" s="130"/>
      <c r="J20" s="129">
        <v>0</v>
      </c>
      <c r="K20" s="199">
        <v>195.0035</v>
      </c>
      <c r="L20" s="200"/>
      <c r="M20" s="148">
        <v>2099</v>
      </c>
      <c r="N20" s="131">
        <v>105</v>
      </c>
      <c r="O20" s="130"/>
      <c r="P20" s="148">
        <v>1131</v>
      </c>
      <c r="Q20" s="131">
        <v>0</v>
      </c>
      <c r="R20" s="130"/>
      <c r="S20" s="129">
        <v>0</v>
      </c>
      <c r="T20" s="166">
        <v>223</v>
      </c>
      <c r="U20" s="167"/>
      <c r="V20" s="148">
        <v>2401.5</v>
      </c>
      <c r="W20" s="131">
        <v>0</v>
      </c>
      <c r="X20" s="130"/>
      <c r="Y20" s="129">
        <v>0</v>
      </c>
      <c r="Z20" s="131">
        <v>0</v>
      </c>
      <c r="AA20" s="130"/>
      <c r="AB20" s="129">
        <v>0</v>
      </c>
    </row>
    <row r="21" spans="2:28" x14ac:dyDescent="0.2">
      <c r="B21" s="81">
        <v>11</v>
      </c>
      <c r="D21" s="147" t="s">
        <v>8</v>
      </c>
      <c r="E21" s="144">
        <v>0</v>
      </c>
      <c r="F21" s="130"/>
      <c r="G21" s="143">
        <v>0</v>
      </c>
      <c r="H21" s="146">
        <v>0</v>
      </c>
      <c r="I21" s="130"/>
      <c r="J21" s="143">
        <v>0</v>
      </c>
      <c r="K21" s="201">
        <v>315.95999999999998</v>
      </c>
      <c r="L21" s="200"/>
      <c r="M21" s="145">
        <v>3401</v>
      </c>
      <c r="N21" s="144">
        <v>240</v>
      </c>
      <c r="O21" s="130"/>
      <c r="P21" s="145">
        <v>2583</v>
      </c>
      <c r="Q21" s="144">
        <v>0</v>
      </c>
      <c r="R21" s="130"/>
      <c r="S21" s="143">
        <v>0</v>
      </c>
      <c r="T21" s="168">
        <v>331</v>
      </c>
      <c r="U21" s="167"/>
      <c r="V21" s="145">
        <v>3567.7</v>
      </c>
      <c r="W21" s="144">
        <v>0</v>
      </c>
      <c r="X21" s="130"/>
      <c r="Y21" s="143">
        <v>0</v>
      </c>
      <c r="Z21" s="144">
        <v>0</v>
      </c>
      <c r="AA21" s="130"/>
      <c r="AB21" s="143">
        <v>0</v>
      </c>
    </row>
    <row r="22" spans="2:28" x14ac:dyDescent="0.2">
      <c r="B22" s="81">
        <v>12</v>
      </c>
      <c r="D22" s="142" t="s">
        <v>9</v>
      </c>
      <c r="E22" s="137">
        <v>0</v>
      </c>
      <c r="F22" s="136"/>
      <c r="G22" s="135">
        <v>0</v>
      </c>
      <c r="H22" s="141">
        <v>0</v>
      </c>
      <c r="I22" s="136"/>
      <c r="J22" s="140">
        <v>0</v>
      </c>
      <c r="K22" s="202">
        <v>400.69</v>
      </c>
      <c r="L22" s="203"/>
      <c r="M22" s="139">
        <v>4313</v>
      </c>
      <c r="N22" s="153">
        <v>378</v>
      </c>
      <c r="O22" s="136"/>
      <c r="P22" s="138">
        <v>4070</v>
      </c>
      <c r="Q22" s="137">
        <v>0</v>
      </c>
      <c r="R22" s="136"/>
      <c r="S22" s="135">
        <v>0</v>
      </c>
      <c r="T22" s="169">
        <v>486</v>
      </c>
      <c r="U22" s="170"/>
      <c r="V22" s="139">
        <v>5231.3999999999996</v>
      </c>
      <c r="W22" s="137">
        <v>0</v>
      </c>
      <c r="X22" s="136"/>
      <c r="Y22" s="135">
        <v>0</v>
      </c>
      <c r="Z22" s="137">
        <v>0</v>
      </c>
      <c r="AA22" s="136"/>
      <c r="AB22" s="135">
        <v>0</v>
      </c>
    </row>
    <row r="23" spans="2:28" x14ac:dyDescent="0.2">
      <c r="B23" s="81">
        <v>13</v>
      </c>
      <c r="D23" s="121" t="s">
        <v>89</v>
      </c>
      <c r="E23" s="118">
        <f>SUM(E20:E22)</f>
        <v>130.06</v>
      </c>
      <c r="F23" s="89"/>
      <c r="G23" s="88">
        <f>SUM(G20:G22)</f>
        <v>1400</v>
      </c>
      <c r="H23" s="133">
        <v>0</v>
      </c>
      <c r="I23" s="89"/>
      <c r="J23" s="88">
        <v>0</v>
      </c>
      <c r="K23" s="204">
        <f>SUM(K20:K22)</f>
        <v>911.65349999999989</v>
      </c>
      <c r="L23" s="205"/>
      <c r="M23" s="134">
        <f>SUM(M20:M22)</f>
        <v>9813</v>
      </c>
      <c r="N23" s="118">
        <f>SUM(N20:N22)</f>
        <v>723</v>
      </c>
      <c r="O23" s="89"/>
      <c r="P23" s="88">
        <f>SUM(P20:P22)</f>
        <v>7784</v>
      </c>
      <c r="Q23" s="118">
        <f>SUM(Q20:Q22)</f>
        <v>0</v>
      </c>
      <c r="R23" s="89"/>
      <c r="S23" s="88">
        <f>SUM(S20:S22)</f>
        <v>0</v>
      </c>
      <c r="T23" s="171">
        <f>SUM(T20:T22)</f>
        <v>1040</v>
      </c>
      <c r="U23" s="151"/>
      <c r="V23" s="134">
        <f>SUM(V20:V22)</f>
        <v>11200.599999999999</v>
      </c>
      <c r="W23" s="118">
        <f>SUM(W20:W22)</f>
        <v>0</v>
      </c>
      <c r="X23" s="89"/>
      <c r="Y23" s="88">
        <f>SUM(Y20:Y22)</f>
        <v>0</v>
      </c>
      <c r="Z23" s="118">
        <f>SUM(Z20:Z22)</f>
        <v>0</v>
      </c>
      <c r="AA23" s="89"/>
      <c r="AB23" s="88">
        <f>SUM(AB20:AB22)</f>
        <v>0</v>
      </c>
    </row>
    <row r="24" spans="2:28" x14ac:dyDescent="0.2">
      <c r="B24" s="81">
        <v>14</v>
      </c>
      <c r="D24" s="121"/>
      <c r="E24" s="118"/>
      <c r="F24" s="117"/>
      <c r="G24" s="88"/>
      <c r="H24" s="133"/>
      <c r="I24" s="89"/>
      <c r="J24" s="88"/>
      <c r="K24" s="206"/>
      <c r="L24" s="205"/>
      <c r="M24" s="134"/>
      <c r="N24" s="118"/>
      <c r="O24" s="89"/>
      <c r="P24" s="88"/>
      <c r="Q24" s="118"/>
      <c r="R24" s="117"/>
      <c r="S24" s="88"/>
      <c r="T24" s="171"/>
      <c r="U24" s="172"/>
      <c r="V24" s="134"/>
      <c r="W24" s="118"/>
      <c r="X24" s="117"/>
      <c r="Y24" s="88"/>
      <c r="Z24" s="118"/>
      <c r="AA24" s="117"/>
      <c r="AB24" s="88"/>
    </row>
    <row r="25" spans="2:28" x14ac:dyDescent="0.2">
      <c r="B25" s="81">
        <v>15</v>
      </c>
      <c r="D25" s="122" t="s">
        <v>149</v>
      </c>
      <c r="E25" s="118"/>
      <c r="F25" s="117"/>
      <c r="G25" s="88"/>
      <c r="H25" s="133"/>
      <c r="I25" s="89"/>
      <c r="J25" s="88"/>
      <c r="K25" s="206"/>
      <c r="L25" s="205"/>
      <c r="M25" s="83"/>
      <c r="N25" s="118"/>
      <c r="O25" s="89"/>
      <c r="P25" s="88"/>
      <c r="Q25" s="118"/>
      <c r="R25" s="117"/>
      <c r="S25" s="88"/>
      <c r="T25" s="171"/>
      <c r="U25" s="172"/>
      <c r="V25" s="134"/>
      <c r="W25" s="118"/>
      <c r="X25" s="117"/>
      <c r="Y25" s="88"/>
      <c r="Z25" s="118"/>
      <c r="AA25" s="117"/>
      <c r="AB25" s="88"/>
    </row>
    <row r="26" spans="2:28" x14ac:dyDescent="0.2">
      <c r="B26" s="81">
        <v>16</v>
      </c>
      <c r="D26" s="132" t="s">
        <v>99</v>
      </c>
      <c r="E26" s="131">
        <f>E20+E20</f>
        <v>260.12</v>
      </c>
      <c r="F26" s="130"/>
      <c r="G26" s="129">
        <f>G20+G20</f>
        <v>2800</v>
      </c>
      <c r="H26" s="149">
        <f>H14+H14</f>
        <v>60.387</v>
      </c>
      <c r="I26" s="130"/>
      <c r="J26" s="129">
        <f>J14+J14</f>
        <v>650</v>
      </c>
      <c r="K26" s="199">
        <v>390.00700000000001</v>
      </c>
      <c r="L26" s="200"/>
      <c r="M26" s="129">
        <f>M20+M20</f>
        <v>4198</v>
      </c>
      <c r="N26" s="131">
        <f>N20+N20</f>
        <v>210</v>
      </c>
      <c r="O26" s="130"/>
      <c r="P26" s="129">
        <f>P20+P20</f>
        <v>2262</v>
      </c>
      <c r="Q26" s="131">
        <v>0</v>
      </c>
      <c r="R26" s="130"/>
      <c r="S26" s="129">
        <v>0</v>
      </c>
      <c r="T26" s="166">
        <f>T20+T20</f>
        <v>446</v>
      </c>
      <c r="U26" s="167"/>
      <c r="V26" s="148">
        <f>V20+V200</f>
        <v>2401.5</v>
      </c>
      <c r="W26" s="131">
        <v>0</v>
      </c>
      <c r="X26" s="130"/>
      <c r="Y26" s="129">
        <v>0</v>
      </c>
      <c r="Z26" s="131">
        <v>0</v>
      </c>
      <c r="AA26" s="130"/>
      <c r="AB26" s="129">
        <v>0</v>
      </c>
    </row>
    <row r="27" spans="2:28" x14ac:dyDescent="0.2">
      <c r="B27" s="81">
        <v>17</v>
      </c>
      <c r="D27" s="128" t="s">
        <v>100</v>
      </c>
      <c r="E27" s="127">
        <v>0</v>
      </c>
      <c r="F27" s="126"/>
      <c r="G27" s="125">
        <v>0</v>
      </c>
      <c r="H27" s="212">
        <f>H14+H15</f>
        <v>73.392499999999998</v>
      </c>
      <c r="I27" s="126"/>
      <c r="J27" s="125">
        <f>J14+J15</f>
        <v>790</v>
      </c>
      <c r="K27" s="207">
        <v>510.9667</v>
      </c>
      <c r="L27" s="208"/>
      <c r="M27" s="125">
        <f>M20+M21</f>
        <v>5500</v>
      </c>
      <c r="N27" s="127">
        <f>N20+N21</f>
        <v>345</v>
      </c>
      <c r="O27" s="126"/>
      <c r="P27" s="125">
        <f>P20+P21</f>
        <v>3714</v>
      </c>
      <c r="Q27" s="127">
        <v>0</v>
      </c>
      <c r="R27" s="126"/>
      <c r="S27" s="125">
        <v>0</v>
      </c>
      <c r="T27" s="173">
        <f>T20+T21</f>
        <v>554</v>
      </c>
      <c r="U27" s="174"/>
      <c r="V27" s="175">
        <f>V20+V21</f>
        <v>5969.2</v>
      </c>
      <c r="W27" s="127">
        <v>0</v>
      </c>
      <c r="X27" s="126"/>
      <c r="Y27" s="125">
        <v>0</v>
      </c>
      <c r="Z27" s="127">
        <v>0</v>
      </c>
      <c r="AA27" s="126"/>
      <c r="AB27" s="125">
        <v>0</v>
      </c>
    </row>
    <row r="28" spans="2:28" x14ac:dyDescent="0.2">
      <c r="B28" s="81">
        <v>18</v>
      </c>
      <c r="D28" s="124" t="s">
        <v>102</v>
      </c>
      <c r="E28" s="194">
        <v>0</v>
      </c>
      <c r="F28" s="95"/>
      <c r="G28" s="94">
        <v>0</v>
      </c>
      <c r="H28" s="123">
        <f>H14+H16</f>
        <v>93.832099999999997</v>
      </c>
      <c r="I28" s="95"/>
      <c r="J28" s="94">
        <f>J14+J16</f>
        <v>1010</v>
      </c>
      <c r="K28" s="209">
        <v>595.6943</v>
      </c>
      <c r="L28" s="210"/>
      <c r="M28" s="94">
        <f>M20+M22</f>
        <v>6412</v>
      </c>
      <c r="N28" s="194">
        <f>N20+N22</f>
        <v>483</v>
      </c>
      <c r="O28" s="95"/>
      <c r="P28" s="94">
        <f>P20+P22</f>
        <v>5201</v>
      </c>
      <c r="Q28" s="123">
        <v>0</v>
      </c>
      <c r="R28" s="95"/>
      <c r="S28" s="94">
        <v>0</v>
      </c>
      <c r="T28" s="176">
        <f>T20+T22</f>
        <v>709</v>
      </c>
      <c r="U28" s="177"/>
      <c r="V28" s="178">
        <f>V20+V22</f>
        <v>7632.9</v>
      </c>
      <c r="W28" s="123">
        <v>0</v>
      </c>
      <c r="X28" s="95"/>
      <c r="Y28" s="94">
        <v>0</v>
      </c>
      <c r="Z28" s="123">
        <v>0</v>
      </c>
      <c r="AA28" s="95"/>
      <c r="AB28" s="94">
        <v>0</v>
      </c>
    </row>
    <row r="29" spans="2:28" x14ac:dyDescent="0.2">
      <c r="B29" s="81">
        <v>19</v>
      </c>
      <c r="D29" s="122" t="s">
        <v>103</v>
      </c>
      <c r="E29" s="118">
        <v>0</v>
      </c>
      <c r="F29" s="89"/>
      <c r="G29" s="88">
        <v>0</v>
      </c>
      <c r="H29" s="133">
        <f>H15+H16</f>
        <v>106.83759999999999</v>
      </c>
      <c r="I29" s="89"/>
      <c r="J29" s="88">
        <f>J15+J16</f>
        <v>1150</v>
      </c>
      <c r="K29" s="204">
        <v>716.65409999999997</v>
      </c>
      <c r="L29" s="205"/>
      <c r="M29" s="88">
        <f>M21+M22</f>
        <v>7714</v>
      </c>
      <c r="N29" s="118">
        <f>N21+N22</f>
        <v>618</v>
      </c>
      <c r="O29" s="89"/>
      <c r="P29" s="88">
        <f>P21+P22</f>
        <v>6653</v>
      </c>
      <c r="Q29" s="118">
        <f>SUM(Q26:Q28)</f>
        <v>0</v>
      </c>
      <c r="R29" s="89"/>
      <c r="S29" s="88">
        <f>SUM(S26:S28)</f>
        <v>0</v>
      </c>
      <c r="T29" s="171">
        <f>T21+T22</f>
        <v>817</v>
      </c>
      <c r="U29" s="151"/>
      <c r="V29" s="134">
        <f>V21+V22</f>
        <v>8799.0999999999985</v>
      </c>
      <c r="W29" s="118">
        <f>SUM(W26:W28)</f>
        <v>0</v>
      </c>
      <c r="X29" s="89"/>
      <c r="Y29" s="88">
        <f>SUM(Y26:Y28)</f>
        <v>0</v>
      </c>
      <c r="Z29" s="118">
        <f>SUM(Z26:Z28)</f>
        <v>0</v>
      </c>
      <c r="AA29" s="89"/>
      <c r="AB29" s="88">
        <f>SUM(AB26:AB28)</f>
        <v>0</v>
      </c>
    </row>
    <row r="30" spans="2:28" x14ac:dyDescent="0.2">
      <c r="B30" s="81">
        <v>20</v>
      </c>
      <c r="D30" s="121"/>
      <c r="E30" s="118"/>
      <c r="F30" s="117"/>
      <c r="G30" s="88"/>
      <c r="H30" s="90"/>
      <c r="I30" s="89"/>
      <c r="J30" s="88"/>
      <c r="K30" s="120"/>
      <c r="L30" s="89"/>
      <c r="M30" s="119"/>
      <c r="N30" s="91"/>
      <c r="O30" s="89"/>
      <c r="P30" s="88"/>
      <c r="Q30" s="118"/>
      <c r="R30" s="117"/>
      <c r="S30" s="88"/>
      <c r="T30" s="171"/>
      <c r="U30" s="172"/>
      <c r="V30" s="134"/>
      <c r="W30" s="118"/>
      <c r="X30" s="117"/>
      <c r="Y30" s="88"/>
      <c r="Z30" s="118"/>
      <c r="AA30" s="117"/>
      <c r="AB30" s="88"/>
    </row>
    <row r="31" spans="2:28" x14ac:dyDescent="0.2">
      <c r="B31" s="81">
        <v>21</v>
      </c>
      <c r="C31" s="116" t="s">
        <v>153</v>
      </c>
      <c r="E31" s="195"/>
      <c r="F31" s="112"/>
      <c r="G31" s="111"/>
      <c r="H31" s="114"/>
      <c r="I31" s="112"/>
      <c r="J31" s="111"/>
      <c r="K31" s="115"/>
      <c r="L31" s="112"/>
      <c r="M31" s="111"/>
      <c r="N31" s="114"/>
      <c r="O31" s="112"/>
      <c r="P31" s="111"/>
      <c r="Q31" s="113"/>
      <c r="R31" s="112"/>
      <c r="S31" s="111"/>
      <c r="T31" s="164"/>
      <c r="U31" s="179"/>
      <c r="V31" s="165"/>
      <c r="W31" s="113"/>
      <c r="X31" s="112"/>
      <c r="Y31" s="111"/>
      <c r="Z31" s="113"/>
      <c r="AA31" s="112"/>
      <c r="AB31" s="111"/>
    </row>
    <row r="32" spans="2:28" x14ac:dyDescent="0.2">
      <c r="B32" s="81">
        <v>22</v>
      </c>
      <c r="D32" s="110" t="s">
        <v>152</v>
      </c>
      <c r="E32" s="196">
        <v>6</v>
      </c>
      <c r="F32" s="104"/>
      <c r="G32" s="106" t="s">
        <v>129</v>
      </c>
      <c r="H32" s="109">
        <v>5.9943999999999997</v>
      </c>
      <c r="I32" s="104"/>
      <c r="J32" s="106" t="s">
        <v>129</v>
      </c>
      <c r="K32" s="108">
        <v>6.7817999999999996</v>
      </c>
      <c r="L32" s="104"/>
      <c r="M32" s="106" t="s">
        <v>126</v>
      </c>
      <c r="N32" s="107">
        <v>4.7</v>
      </c>
      <c r="O32" s="104"/>
      <c r="P32" s="106" t="s">
        <v>128</v>
      </c>
      <c r="Q32" s="105">
        <v>0</v>
      </c>
      <c r="R32" s="104"/>
      <c r="S32" s="103">
        <v>0</v>
      </c>
      <c r="T32" s="180">
        <v>7.2</v>
      </c>
      <c r="U32" s="181"/>
      <c r="V32" s="182" t="s">
        <v>171</v>
      </c>
      <c r="W32" s="105">
        <v>0</v>
      </c>
      <c r="X32" s="104"/>
      <c r="Y32" s="103">
        <v>0</v>
      </c>
      <c r="Z32" s="105">
        <v>0</v>
      </c>
      <c r="AA32" s="104"/>
      <c r="AB32" s="103">
        <v>0</v>
      </c>
    </row>
    <row r="33" spans="2:28" ht="17" x14ac:dyDescent="0.2">
      <c r="B33" s="81">
        <v>23</v>
      </c>
      <c r="D33" s="102" t="s">
        <v>138</v>
      </c>
      <c r="E33" s="197">
        <v>3.8</v>
      </c>
      <c r="F33" s="95"/>
      <c r="G33" s="106" t="s">
        <v>175</v>
      </c>
      <c r="H33" s="101">
        <v>1.3715999999999999</v>
      </c>
      <c r="I33" s="95"/>
      <c r="J33" s="100" t="s">
        <v>88</v>
      </c>
      <c r="K33" s="99">
        <v>4.8006000000000002</v>
      </c>
      <c r="L33" s="95"/>
      <c r="M33" s="97" t="s">
        <v>121</v>
      </c>
      <c r="N33" s="98">
        <v>3</v>
      </c>
      <c r="O33" s="95"/>
      <c r="P33" s="97" t="s">
        <v>127</v>
      </c>
      <c r="Q33" s="96">
        <v>0</v>
      </c>
      <c r="R33" s="95"/>
      <c r="S33" s="94">
        <v>0</v>
      </c>
      <c r="T33" s="183">
        <v>4.87</v>
      </c>
      <c r="U33" s="177"/>
      <c r="V33" s="184" t="s">
        <v>170</v>
      </c>
      <c r="W33" s="96">
        <v>0</v>
      </c>
      <c r="X33" s="95"/>
      <c r="Y33" s="94">
        <v>0</v>
      </c>
      <c r="Z33" s="96">
        <v>0</v>
      </c>
      <c r="AA33" s="95"/>
      <c r="AB33" s="94">
        <v>0</v>
      </c>
    </row>
    <row r="34" spans="2:28" x14ac:dyDescent="0.2">
      <c r="B34" s="81">
        <v>24</v>
      </c>
      <c r="D34" s="81" t="s">
        <v>125</v>
      </c>
      <c r="E34" s="198">
        <v>2</v>
      </c>
      <c r="F34" s="89"/>
      <c r="G34" s="92" t="s">
        <v>174</v>
      </c>
      <c r="H34" s="90">
        <v>0</v>
      </c>
      <c r="I34" s="89"/>
      <c r="J34" s="88">
        <v>0</v>
      </c>
      <c r="K34" s="93">
        <v>3.048</v>
      </c>
      <c r="L34" s="89"/>
      <c r="M34" s="92" t="s">
        <v>156</v>
      </c>
      <c r="N34" s="91">
        <v>0</v>
      </c>
      <c r="O34" s="89"/>
      <c r="P34" s="88">
        <v>0</v>
      </c>
      <c r="Q34" s="90">
        <v>0</v>
      </c>
      <c r="R34" s="89"/>
      <c r="S34" s="88">
        <v>0</v>
      </c>
      <c r="T34" s="185">
        <v>2.89</v>
      </c>
      <c r="U34" s="151"/>
      <c r="V34" s="186" t="s">
        <v>169</v>
      </c>
      <c r="W34" s="90">
        <v>0</v>
      </c>
      <c r="X34" s="89"/>
      <c r="Y34" s="88">
        <v>0</v>
      </c>
      <c r="Z34" s="90">
        <v>0</v>
      </c>
      <c r="AA34" s="89"/>
      <c r="AB34" s="88">
        <v>0</v>
      </c>
    </row>
    <row r="35" spans="2:28" ht="16" customHeight="1" x14ac:dyDescent="0.2">
      <c r="B35" s="81">
        <v>25</v>
      </c>
      <c r="E35" s="85"/>
      <c r="F35" s="84"/>
      <c r="G35" s="83"/>
      <c r="J35" s="83"/>
      <c r="K35" s="87"/>
      <c r="N35" s="86"/>
      <c r="O35" s="84"/>
      <c r="P35" s="83"/>
      <c r="Q35" s="85"/>
      <c r="R35" s="84"/>
      <c r="S35" s="83"/>
      <c r="T35" s="187"/>
      <c r="U35" s="188"/>
      <c r="V35" s="189"/>
      <c r="W35" s="85"/>
      <c r="X35" s="84"/>
      <c r="Y35" s="83"/>
      <c r="Z35" s="85"/>
      <c r="AA35" s="84"/>
      <c r="AB35" s="83"/>
    </row>
    <row r="36" spans="2:28" x14ac:dyDescent="0.2">
      <c r="B36" s="81">
        <v>26</v>
      </c>
    </row>
    <row r="37" spans="2:28" x14ac:dyDescent="0.2">
      <c r="B37" s="81">
        <v>27</v>
      </c>
      <c r="C37" s="82" t="s">
        <v>87</v>
      </c>
    </row>
    <row r="38" spans="2:28" x14ac:dyDescent="0.2">
      <c r="B38" s="81">
        <v>28</v>
      </c>
      <c r="D38" s="80" t="s">
        <v>150</v>
      </c>
    </row>
    <row r="39" spans="2:28" x14ac:dyDescent="0.2">
      <c r="B39" s="81">
        <v>29</v>
      </c>
      <c r="D39" s="386" t="s">
        <v>157</v>
      </c>
      <c r="E39" s="386"/>
      <c r="F39" s="386"/>
      <c r="G39" s="386"/>
      <c r="H39" s="386"/>
      <c r="I39" s="386"/>
      <c r="J39" s="386"/>
      <c r="K39" s="386"/>
      <c r="L39" s="386"/>
      <c r="M39" s="386"/>
      <c r="N39" s="386"/>
      <c r="O39" s="386"/>
      <c r="P39" s="386"/>
      <c r="Q39" s="386"/>
      <c r="R39" s="386"/>
      <c r="S39" s="386"/>
      <c r="T39" s="386"/>
      <c r="U39" s="386"/>
      <c r="V39" s="386"/>
      <c r="W39" s="386"/>
      <c r="X39" s="386"/>
      <c r="Y39" s="386"/>
      <c r="Z39" s="386"/>
      <c r="AA39" s="386"/>
      <c r="AB39" s="386"/>
    </row>
    <row r="40" spans="2:28" x14ac:dyDescent="0.2">
      <c r="B40" s="81">
        <v>30</v>
      </c>
      <c r="D40" s="386"/>
      <c r="E40" s="386"/>
      <c r="F40" s="386"/>
      <c r="G40" s="386"/>
      <c r="H40" s="386"/>
      <c r="I40" s="386"/>
      <c r="J40" s="386"/>
      <c r="K40" s="386"/>
      <c r="L40" s="386"/>
      <c r="M40" s="386"/>
      <c r="N40" s="386"/>
      <c r="O40" s="386"/>
      <c r="P40" s="386"/>
      <c r="Q40" s="386"/>
      <c r="R40" s="386"/>
      <c r="S40" s="386"/>
      <c r="T40" s="386"/>
      <c r="U40" s="386"/>
      <c r="V40" s="386"/>
      <c r="W40" s="386"/>
      <c r="X40" s="386"/>
      <c r="Y40" s="386"/>
      <c r="Z40" s="386"/>
      <c r="AA40" s="386"/>
      <c r="AB40" s="386"/>
    </row>
    <row r="42" spans="2:28" x14ac:dyDescent="0.2">
      <c r="R42" s="82"/>
      <c r="S42" s="82"/>
      <c r="T42" s="82"/>
      <c r="U42" s="82"/>
      <c r="V42" s="82"/>
    </row>
  </sheetData>
  <mergeCells count="19">
    <mergeCell ref="W12:Y12"/>
    <mergeCell ref="Z12:AB12"/>
    <mergeCell ref="D39:AB40"/>
    <mergeCell ref="E12:G12"/>
    <mergeCell ref="H12:J12"/>
    <mergeCell ref="K12:M12"/>
    <mergeCell ref="N12:P12"/>
    <mergeCell ref="Q12:S12"/>
    <mergeCell ref="T12:V12"/>
    <mergeCell ref="C7:AB7"/>
    <mergeCell ref="C11:D11"/>
    <mergeCell ref="E11:G11"/>
    <mergeCell ref="H11:J11"/>
    <mergeCell ref="K11:M11"/>
    <mergeCell ref="N11:P11"/>
    <mergeCell ref="Q11:S11"/>
    <mergeCell ref="T11:V11"/>
    <mergeCell ref="W11:Y11"/>
    <mergeCell ref="Z11:AB11"/>
  </mergeCells>
  <pageMargins left="0.25" right="0.25" top="0.75" bottom="0.75" header="0.3" footer="0.3"/>
  <pageSetup scale="63"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10</TotalTime>
  <Application>Microsoft Macintosh Excel</Application>
  <DocSecurity>0</DocSecurity>
  <ScaleCrop>false</ScaleCrop>
  <HeadingPairs>
    <vt:vector size="4" baseType="variant">
      <vt:variant>
        <vt:lpstr>Worksheets</vt:lpstr>
      </vt:variant>
      <vt:variant>
        <vt:i4>20</vt:i4>
      </vt:variant>
      <vt:variant>
        <vt:lpstr>Named Ranges</vt:lpstr>
      </vt:variant>
      <vt:variant>
        <vt:i4>19</vt:i4>
      </vt:variant>
    </vt:vector>
  </HeadingPairs>
  <TitlesOfParts>
    <vt:vector size="39" baseType="lpstr">
      <vt:lpstr>Summary_Retail and Tech Industr</vt:lpstr>
      <vt:lpstr>Summary_Parking and Landscaping</vt:lpstr>
      <vt:lpstr>Summary_Common Areas</vt:lpstr>
      <vt:lpstr>Summary_Amenities</vt:lpstr>
      <vt:lpstr>Summary_Key Plans</vt:lpstr>
      <vt:lpstr>Sheet1</vt:lpstr>
      <vt:lpstr>Loading and Recycling</vt:lpstr>
      <vt:lpstr>Upper Floors_Building Core</vt:lpstr>
      <vt:lpstr>Public Lobby Washroom</vt:lpstr>
      <vt:lpstr>Auxiliary Structure</vt:lpstr>
      <vt:lpstr>Building Manager + Mail Room</vt:lpstr>
      <vt:lpstr>Business</vt:lpstr>
      <vt:lpstr>Academic V1</vt:lpstr>
      <vt:lpstr>Academic V2</vt:lpstr>
      <vt:lpstr>Medical V2</vt:lpstr>
      <vt:lpstr>Labs V2</vt:lpstr>
      <vt:lpstr>Lab V1</vt:lpstr>
      <vt:lpstr>Private Office</vt:lpstr>
      <vt:lpstr>Civic</vt:lpstr>
      <vt:lpstr>Summary_V3</vt:lpstr>
      <vt:lpstr>'Academic V1'!Print_Area</vt:lpstr>
      <vt:lpstr>'Academic V2'!Print_Area</vt:lpstr>
      <vt:lpstr>'Auxiliary Structure'!Print_Area</vt:lpstr>
      <vt:lpstr>'Building Manager + Mail Room'!Print_Area</vt:lpstr>
      <vt:lpstr>Business!Print_Area</vt:lpstr>
      <vt:lpstr>Civic!Print_Area</vt:lpstr>
      <vt:lpstr>'Lab V1'!Print_Area</vt:lpstr>
      <vt:lpstr>'Labs V2'!Print_Area</vt:lpstr>
      <vt:lpstr>'Loading and Recycling'!Print_Area</vt:lpstr>
      <vt:lpstr>'Medical V2'!Print_Area</vt:lpstr>
      <vt:lpstr>'Private Office'!Print_Area</vt:lpstr>
      <vt:lpstr>'Public Lobby Washroom'!Print_Area</vt:lpstr>
      <vt:lpstr>Summary_Amenities!Print_Area</vt:lpstr>
      <vt:lpstr>'Summary_Common Areas'!Print_Area</vt:lpstr>
      <vt:lpstr>'Summary_Key Plans'!Print_Area</vt:lpstr>
      <vt:lpstr>'Summary_Parking and Landscaping'!Print_Area</vt:lpstr>
      <vt:lpstr>'Summary_Retail and Tech Industr'!Print_Area</vt:lpstr>
      <vt:lpstr>Summary_V3!Print_Area</vt:lpstr>
      <vt:lpstr>'Upper Floors_Building Core'!Print_Area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dc:description/>
  <cp:lastModifiedBy>Microsoft Office User</cp:lastModifiedBy>
  <cp:revision>2</cp:revision>
  <cp:lastPrinted>2025-11-28T01:25:11Z</cp:lastPrinted>
  <dcterms:created xsi:type="dcterms:W3CDTF">2022-04-19T17:26:40Z</dcterms:created>
  <dcterms:modified xsi:type="dcterms:W3CDTF">2025-11-28T20:25:46Z</dcterms:modified>
  <dc:language>en-US</dc:language>
</cp:coreProperties>
</file>