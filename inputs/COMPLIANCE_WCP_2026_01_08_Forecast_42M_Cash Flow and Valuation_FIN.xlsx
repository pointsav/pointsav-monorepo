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Office/Foundry/vm/proforma/inputs/"/>
    </mc:Choice>
  </mc:AlternateContent>
  <xr:revisionPtr revIDLastSave="0" documentId="13_ncr:1_{5443C62F-755C-034C-87E6-83CAA97A9720}" xr6:coauthVersionLast="45" xr6:coauthVersionMax="45" xr10:uidLastSave="{00000000-0000-0000-0000-000000000000}"/>
  <bookViews>
    <workbookView xWindow="-200" yWindow="460" windowWidth="38400" windowHeight="21600" activeTab="1" xr2:uid="{80D886BD-2AD1-FD47-A3EA-B269DA41FD92}"/>
  </bookViews>
  <sheets>
    <sheet name="Alert" sheetId="3" state="hidden" r:id="rId1"/>
    <sheet name="WCP_42M" sheetId="34" r:id="rId2"/>
    <sheet name="INPUT_PCLP 1_250M" sheetId="33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81" i="34" l="1"/>
  <c r="J36" i="34" l="1"/>
  <c r="K36" i="34"/>
  <c r="L36" i="34"/>
  <c r="M36" i="34"/>
  <c r="N36" i="34"/>
  <c r="O36" i="34"/>
  <c r="P36" i="34"/>
  <c r="Q36" i="34"/>
  <c r="R36" i="34"/>
  <c r="J37" i="34"/>
  <c r="K37" i="34"/>
  <c r="L37" i="34"/>
  <c r="M37" i="34"/>
  <c r="N37" i="34"/>
  <c r="O37" i="34"/>
  <c r="P37" i="34"/>
  <c r="Q37" i="34"/>
  <c r="R37" i="34"/>
  <c r="J38" i="34"/>
  <c r="K38" i="34"/>
  <c r="L38" i="34"/>
  <c r="M38" i="34"/>
  <c r="N38" i="34"/>
  <c r="O38" i="34"/>
  <c r="P38" i="34"/>
  <c r="Q38" i="34"/>
  <c r="R38" i="34"/>
  <c r="I38" i="34"/>
  <c r="I37" i="34"/>
  <c r="I36" i="34"/>
  <c r="I32" i="34"/>
  <c r="J32" i="34"/>
  <c r="K32" i="34"/>
  <c r="L32" i="34"/>
  <c r="M32" i="34"/>
  <c r="N32" i="34"/>
  <c r="O32" i="34"/>
  <c r="P32" i="34"/>
  <c r="Q32" i="34"/>
  <c r="R32" i="34"/>
  <c r="I33" i="34"/>
  <c r="J33" i="34"/>
  <c r="K33" i="34"/>
  <c r="L33" i="34"/>
  <c r="M33" i="34"/>
  <c r="N33" i="34"/>
  <c r="O33" i="34"/>
  <c r="P33" i="34"/>
  <c r="Q33" i="34"/>
  <c r="R33" i="34"/>
  <c r="H33" i="34"/>
  <c r="H32" i="34"/>
  <c r="I31" i="34"/>
  <c r="J31" i="34"/>
  <c r="K31" i="34"/>
  <c r="L31" i="34"/>
  <c r="M31" i="34"/>
  <c r="N31" i="34"/>
  <c r="O31" i="34"/>
  <c r="P31" i="34"/>
  <c r="Q31" i="34"/>
  <c r="R31" i="34"/>
  <c r="H31" i="34"/>
  <c r="H23" i="34"/>
  <c r="I23" i="34"/>
  <c r="J23" i="34"/>
  <c r="K23" i="34"/>
  <c r="L23" i="34"/>
  <c r="M23" i="34"/>
  <c r="N23" i="34"/>
  <c r="O23" i="34"/>
  <c r="P23" i="34"/>
  <c r="Q23" i="34"/>
  <c r="R23" i="34"/>
  <c r="G23" i="34"/>
  <c r="H28" i="34" s="1"/>
  <c r="H22" i="34"/>
  <c r="I22" i="34"/>
  <c r="J22" i="34"/>
  <c r="K22" i="34"/>
  <c r="L22" i="34"/>
  <c r="M22" i="34"/>
  <c r="N22" i="34"/>
  <c r="O22" i="34"/>
  <c r="P22" i="34"/>
  <c r="Q22" i="34"/>
  <c r="R22" i="34"/>
  <c r="G22" i="34"/>
  <c r="H27" i="34" s="1"/>
  <c r="J21" i="34"/>
  <c r="K21" i="34"/>
  <c r="L21" i="34"/>
  <c r="M21" i="34"/>
  <c r="N21" i="34"/>
  <c r="O21" i="34"/>
  <c r="P21" i="34"/>
  <c r="Q21" i="34"/>
  <c r="R21" i="34"/>
  <c r="I21" i="34"/>
  <c r="H21" i="34"/>
  <c r="G21" i="34"/>
  <c r="G53" i="34" l="1"/>
  <c r="H26" i="34"/>
  <c r="P26" i="34"/>
  <c r="P27" i="34"/>
  <c r="P41" i="34"/>
  <c r="N27" i="34"/>
  <c r="P46" i="34"/>
  <c r="P47" i="34"/>
  <c r="O26" i="34"/>
  <c r="O41" i="34"/>
  <c r="O42" i="34"/>
  <c r="O46" i="34"/>
  <c r="O47" i="34"/>
  <c r="N26" i="34"/>
  <c r="N41" i="34"/>
  <c r="N42" i="34"/>
  <c r="N46" i="34"/>
  <c r="N47" i="34"/>
  <c r="M26" i="34"/>
  <c r="M27" i="34"/>
  <c r="M41" i="34"/>
  <c r="M42" i="34"/>
  <c r="L26" i="34"/>
  <c r="L27" i="34"/>
  <c r="L42" i="34"/>
  <c r="L46" i="34"/>
  <c r="L47" i="34"/>
  <c r="I26" i="34"/>
  <c r="J26" i="34"/>
  <c r="K26" i="34"/>
  <c r="K41" i="34"/>
  <c r="K47" i="34"/>
  <c r="J27" i="34"/>
  <c r="I27" i="34"/>
  <c r="Q28" i="34"/>
  <c r="P43" i="34"/>
  <c r="P48" i="34"/>
  <c r="O48" i="34"/>
  <c r="N48" i="34"/>
  <c r="K28" i="34"/>
  <c r="J28" i="34"/>
  <c r="I28" i="34"/>
  <c r="K43" i="34"/>
  <c r="G76" i="34"/>
  <c r="G89" i="34" s="1"/>
  <c r="L43" i="34"/>
  <c r="L48" i="34"/>
  <c r="M28" i="34"/>
  <c r="M43" i="34"/>
  <c r="N28" i="34"/>
  <c r="N43" i="34"/>
  <c r="O43" i="34"/>
  <c r="Q43" i="34"/>
  <c r="Q48" i="34"/>
  <c r="R43" i="34"/>
  <c r="R48" i="34"/>
  <c r="G6" i="33"/>
  <c r="J90" i="33"/>
  <c r="R26" i="34"/>
  <c r="R47" i="34"/>
  <c r="Q27" i="34"/>
  <c r="Q42" i="34"/>
  <c r="R42" i="34"/>
  <c r="G58" i="34"/>
  <c r="H58" i="34"/>
  <c r="J58" i="34"/>
  <c r="K58" i="34"/>
  <c r="L58" i="34"/>
  <c r="M58" i="34"/>
  <c r="N58" i="34"/>
  <c r="O58" i="34"/>
  <c r="P58" i="34"/>
  <c r="Q58" i="34"/>
  <c r="R58" i="34"/>
  <c r="J59" i="34"/>
  <c r="K59" i="34"/>
  <c r="L59" i="34"/>
  <c r="M59" i="34"/>
  <c r="N59" i="34"/>
  <c r="O59" i="34"/>
  <c r="P59" i="34"/>
  <c r="Q59" i="34"/>
  <c r="R59" i="34"/>
  <c r="G62" i="34"/>
  <c r="H62" i="34"/>
  <c r="E112" i="34"/>
  <c r="F112" i="34"/>
  <c r="G112" i="34"/>
  <c r="H114" i="34"/>
  <c r="I114" i="34"/>
  <c r="J114" i="34"/>
  <c r="Q47" i="34"/>
  <c r="R46" i="34"/>
  <c r="Q46" i="34"/>
  <c r="R41" i="34"/>
  <c r="Q41" i="34"/>
  <c r="Q26" i="34"/>
  <c r="R27" i="34"/>
  <c r="E7" i="33"/>
  <c r="E8" i="33"/>
  <c r="D38" i="33"/>
  <c r="D39" i="33"/>
  <c r="E62" i="33"/>
  <c r="E66" i="33"/>
  <c r="D40" i="33"/>
  <c r="D42" i="33"/>
  <c r="D45" i="33"/>
  <c r="AE19" i="33"/>
  <c r="D48" i="33"/>
  <c r="F7" i="33" s="1"/>
  <c r="D49" i="33"/>
  <c r="F8" i="33"/>
  <c r="K99" i="33" s="1"/>
  <c r="E50" i="33"/>
  <c r="E57" i="33"/>
  <c r="F57" i="33"/>
  <c r="F68" i="33"/>
  <c r="G57" i="33"/>
  <c r="G68" i="33"/>
  <c r="E61" i="33"/>
  <c r="J62" i="33"/>
  <c r="E63" i="33"/>
  <c r="F63" i="33"/>
  <c r="F66" i="33"/>
  <c r="G63" i="33"/>
  <c r="G66" i="33"/>
  <c r="H63" i="33"/>
  <c r="I63" i="33"/>
  <c r="J63" i="33"/>
  <c r="K63" i="33"/>
  <c r="K66" i="33"/>
  <c r="L63" i="33"/>
  <c r="L66" i="33"/>
  <c r="M63" i="33"/>
  <c r="N63" i="33"/>
  <c r="N66" i="33"/>
  <c r="O63" i="33"/>
  <c r="O66" i="33"/>
  <c r="P63" i="33"/>
  <c r="P66" i="33"/>
  <c r="Q63" i="33"/>
  <c r="R63" i="33"/>
  <c r="S63" i="33"/>
  <c r="T63" i="33"/>
  <c r="U63" i="33"/>
  <c r="V63" i="33"/>
  <c r="V66" i="33"/>
  <c r="W63" i="33"/>
  <c r="W66" i="33"/>
  <c r="X63" i="33"/>
  <c r="E64" i="33"/>
  <c r="F64" i="33"/>
  <c r="G64" i="33"/>
  <c r="H64" i="33"/>
  <c r="I64" i="33"/>
  <c r="J64" i="33"/>
  <c r="J66" i="33"/>
  <c r="K64" i="33"/>
  <c r="L64" i="33"/>
  <c r="M64" i="33"/>
  <c r="N64" i="33"/>
  <c r="O64" i="33"/>
  <c r="P64" i="33"/>
  <c r="Q64" i="33"/>
  <c r="R64" i="33"/>
  <c r="S64" i="33"/>
  <c r="T64" i="33"/>
  <c r="U64" i="33"/>
  <c r="V64" i="33"/>
  <c r="W64" i="33"/>
  <c r="X64" i="33"/>
  <c r="X66" i="33"/>
  <c r="E65" i="33"/>
  <c r="F65" i="33"/>
  <c r="G65" i="33"/>
  <c r="H65" i="33"/>
  <c r="I65" i="33"/>
  <c r="J65" i="33"/>
  <c r="K65" i="33"/>
  <c r="L65" i="33"/>
  <c r="M65" i="33"/>
  <c r="N65" i="33"/>
  <c r="O65" i="33"/>
  <c r="P65" i="33"/>
  <c r="Q65" i="33"/>
  <c r="R65" i="33"/>
  <c r="S65" i="33"/>
  <c r="T65" i="33"/>
  <c r="U65" i="33"/>
  <c r="V65" i="33"/>
  <c r="W65" i="33"/>
  <c r="X65" i="33"/>
  <c r="Q66" i="33"/>
  <c r="R66" i="33"/>
  <c r="S66" i="33"/>
  <c r="T66" i="33"/>
  <c r="U66" i="33"/>
  <c r="E69" i="33"/>
  <c r="E80" i="33"/>
  <c r="E81" i="33"/>
  <c r="F81" i="33"/>
  <c r="G81" i="33"/>
  <c r="H81" i="33"/>
  <c r="I81" i="33"/>
  <c r="J81" i="33"/>
  <c r="L81" i="33"/>
  <c r="M81" i="33"/>
  <c r="V81" i="33"/>
  <c r="W81" i="33"/>
  <c r="X81" i="33"/>
  <c r="E83" i="33"/>
  <c r="F83" i="33"/>
  <c r="G83" i="33"/>
  <c r="H83" i="33"/>
  <c r="I83" i="33"/>
  <c r="J83" i="33"/>
  <c r="K83" i="33"/>
  <c r="E84" i="33"/>
  <c r="F84" i="33"/>
  <c r="G84" i="33"/>
  <c r="C85" i="33"/>
  <c r="H90" i="33"/>
  <c r="I90" i="33"/>
  <c r="M90" i="33"/>
  <c r="N90" i="33"/>
  <c r="N81" i="33"/>
  <c r="O90" i="33"/>
  <c r="O81" i="33"/>
  <c r="P90" i="33"/>
  <c r="P81" i="33"/>
  <c r="Q90" i="33"/>
  <c r="Q81" i="33"/>
  <c r="R90" i="33"/>
  <c r="R81" i="33"/>
  <c r="S90" i="33"/>
  <c r="S81" i="33"/>
  <c r="T90" i="33"/>
  <c r="T81" i="33"/>
  <c r="U90" i="33"/>
  <c r="U81" i="33"/>
  <c r="V90" i="33"/>
  <c r="W90" i="33"/>
  <c r="X90" i="33"/>
  <c r="E92" i="33"/>
  <c r="F89" i="33"/>
  <c r="C97" i="33"/>
  <c r="C98" i="33"/>
  <c r="C99" i="33"/>
  <c r="E123" i="33"/>
  <c r="F123" i="33"/>
  <c r="G123" i="33"/>
  <c r="F127" i="33"/>
  <c r="F92" i="33"/>
  <c r="G127" i="33"/>
  <c r="AE44" i="33"/>
  <c r="E45" i="33"/>
  <c r="E68" i="33"/>
  <c r="I66" i="33"/>
  <c r="M66" i="33"/>
  <c r="AE42" i="33"/>
  <c r="D41" i="33"/>
  <c r="D43" i="33"/>
  <c r="H62" i="33"/>
  <c r="H66" i="33" s="1"/>
  <c r="H68" i="33" s="1"/>
  <c r="E127" i="33"/>
  <c r="E72" i="33"/>
  <c r="E85" i="33"/>
  <c r="F6" i="33"/>
  <c r="G89" i="33"/>
  <c r="AF19" i="33"/>
  <c r="G92" i="33"/>
  <c r="E97" i="33"/>
  <c r="E100" i="33"/>
  <c r="F97" i="33"/>
  <c r="AH35" i="33"/>
  <c r="AI35" i="33"/>
  <c r="G97" i="33"/>
  <c r="F96" i="33"/>
  <c r="F100" i="33"/>
  <c r="E104" i="33"/>
  <c r="E82" i="33"/>
  <c r="E86" i="33"/>
  <c r="F79" i="33"/>
  <c r="E106" i="33"/>
  <c r="H89" i="33"/>
  <c r="AG19" i="33"/>
  <c r="H92" i="33"/>
  <c r="F69" i="33"/>
  <c r="F72" i="33"/>
  <c r="F85" i="33"/>
  <c r="E109" i="33"/>
  <c r="E105" i="33"/>
  <c r="G96" i="33"/>
  <c r="G100" i="33"/>
  <c r="F104" i="33"/>
  <c r="F105" i="33"/>
  <c r="F82" i="33"/>
  <c r="F86" i="33"/>
  <c r="G79" i="33"/>
  <c r="F106" i="33"/>
  <c r="G69" i="33"/>
  <c r="G72" i="33"/>
  <c r="G85" i="33"/>
  <c r="E110" i="33"/>
  <c r="AE18" i="33"/>
  <c r="E114" i="33"/>
  <c r="H102" i="33"/>
  <c r="H96" i="33"/>
  <c r="G104" i="33"/>
  <c r="G82" i="33"/>
  <c r="G86" i="33"/>
  <c r="H79" i="33"/>
  <c r="G106" i="33"/>
  <c r="F109" i="33"/>
  <c r="AH19" i="33"/>
  <c r="H69" i="33"/>
  <c r="H70" i="33" s="1"/>
  <c r="G109" i="33"/>
  <c r="G105" i="33"/>
  <c r="F110" i="33"/>
  <c r="AF18" i="33"/>
  <c r="F114" i="33"/>
  <c r="I102" i="33"/>
  <c r="I57" i="33"/>
  <c r="H57" i="33"/>
  <c r="E117" i="33"/>
  <c r="AE34" i="33"/>
  <c r="E115" i="33"/>
  <c r="E116" i="33"/>
  <c r="AE21" i="33"/>
  <c r="F117" i="33"/>
  <c r="AF34" i="33"/>
  <c r="F115" i="33"/>
  <c r="G110" i="33"/>
  <c r="AG18" i="33"/>
  <c r="G114" i="33"/>
  <c r="AI13" i="33"/>
  <c r="I58" i="33"/>
  <c r="AH13" i="33"/>
  <c r="H58" i="33"/>
  <c r="I68" i="33"/>
  <c r="G115" i="33"/>
  <c r="G117" i="33"/>
  <c r="AG34" i="33"/>
  <c r="AF21" i="33"/>
  <c r="F116" i="33"/>
  <c r="I76" i="33"/>
  <c r="I127" i="33"/>
  <c r="G116" i="33"/>
  <c r="AG21" i="33"/>
  <c r="F59" i="34" l="1"/>
  <c r="P61" i="34"/>
  <c r="N60" i="34"/>
  <c r="Q61" i="34"/>
  <c r="R60" i="34"/>
  <c r="P60" i="34"/>
  <c r="P62" i="34" s="1"/>
  <c r="J99" i="33"/>
  <c r="G8" i="33"/>
  <c r="AJ35" i="33"/>
  <c r="AK35" i="33" s="1"/>
  <c r="G7" i="33"/>
  <c r="G9" i="33" s="1"/>
  <c r="F9" i="33"/>
  <c r="I98" i="33"/>
  <c r="H98" i="33"/>
  <c r="H100" i="33" s="1"/>
  <c r="H74" i="33"/>
  <c r="AH30" i="33" s="1"/>
  <c r="H75" i="33"/>
  <c r="H76" i="33"/>
  <c r="H72" i="33"/>
  <c r="H127" i="33"/>
  <c r="I89" i="33"/>
  <c r="AL35" i="33"/>
  <c r="AM35" i="33" s="1"/>
  <c r="AN35" i="33" s="1"/>
  <c r="O60" i="34"/>
  <c r="O61" i="34"/>
  <c r="P55" i="34"/>
  <c r="M61" i="34"/>
  <c r="R55" i="34"/>
  <c r="R61" i="34"/>
  <c r="R62" i="34" s="1"/>
  <c r="I76" i="34"/>
  <c r="O28" i="34"/>
  <c r="O76" i="34" s="1"/>
  <c r="G55" i="34"/>
  <c r="G64" i="34" s="1"/>
  <c r="P42" i="34"/>
  <c r="N76" i="34"/>
  <c r="Q60" i="34"/>
  <c r="Q62" i="34" s="1"/>
  <c r="R28" i="34"/>
  <c r="L28" i="34"/>
  <c r="L76" i="34" s="1"/>
  <c r="J42" i="34"/>
  <c r="K27" i="34"/>
  <c r="J41" i="34"/>
  <c r="M47" i="34"/>
  <c r="N61" i="34"/>
  <c r="N62" i="34" s="1"/>
  <c r="O27" i="34"/>
  <c r="K48" i="34"/>
  <c r="L41" i="34"/>
  <c r="M46" i="34"/>
  <c r="M60" i="34" s="1"/>
  <c r="Q55" i="34"/>
  <c r="Q76" i="34"/>
  <c r="M48" i="34"/>
  <c r="M76" i="34" s="1"/>
  <c r="P28" i="34"/>
  <c r="P76" i="34" s="1"/>
  <c r="J43" i="34"/>
  <c r="K46" i="34"/>
  <c r="K61" i="34" s="1"/>
  <c r="N55" i="34"/>
  <c r="K42" i="34"/>
  <c r="O89" i="34" l="1"/>
  <c r="P64" i="34"/>
  <c r="K60" i="34"/>
  <c r="M55" i="34"/>
  <c r="K76" i="34"/>
  <c r="J76" i="34"/>
  <c r="R76" i="34"/>
  <c r="R89" i="34" s="1"/>
  <c r="P89" i="34"/>
  <c r="M89" i="34"/>
  <c r="K89" i="34"/>
  <c r="O55" i="34"/>
  <c r="L60" i="34"/>
  <c r="J60" i="34"/>
  <c r="L61" i="34"/>
  <c r="I92" i="33"/>
  <c r="H120" i="33"/>
  <c r="H85" i="33"/>
  <c r="I96" i="33"/>
  <c r="I100" i="33" s="1"/>
  <c r="H104" i="33"/>
  <c r="H82" i="33"/>
  <c r="H106" i="33"/>
  <c r="AH31" i="33" s="1"/>
  <c r="Q89" i="34"/>
  <c r="J61" i="34"/>
  <c r="N64" i="34"/>
  <c r="L89" i="34"/>
  <c r="I60" i="34"/>
  <c r="I61" i="34"/>
  <c r="O62" i="34"/>
  <c r="H76" i="34"/>
  <c r="H89" i="34" s="1"/>
  <c r="J89" i="34"/>
  <c r="P67" i="34"/>
  <c r="P69" i="34" s="1"/>
  <c r="P65" i="34"/>
  <c r="H53" i="34"/>
  <c r="H55" i="34" s="1"/>
  <c r="H64" i="34" s="1"/>
  <c r="R64" i="34"/>
  <c r="M62" i="34"/>
  <c r="G67" i="34"/>
  <c r="G69" i="34" s="1"/>
  <c r="G65" i="34"/>
  <c r="K62" i="34"/>
  <c r="Q64" i="34"/>
  <c r="N89" i="34"/>
  <c r="L62" i="34" l="1"/>
  <c r="M64" i="34"/>
  <c r="J62" i="34"/>
  <c r="I89" i="34"/>
  <c r="O64" i="34"/>
  <c r="O67" i="34" s="1"/>
  <c r="O69" i="34" s="1"/>
  <c r="I53" i="34"/>
  <c r="I55" i="34" s="1"/>
  <c r="H86" i="33"/>
  <c r="I79" i="33" s="1"/>
  <c r="H105" i="33"/>
  <c r="J102" i="33"/>
  <c r="J96" i="33"/>
  <c r="J100" i="33" s="1"/>
  <c r="I82" i="33"/>
  <c r="I104" i="33"/>
  <c r="H84" i="33"/>
  <c r="H122" i="33"/>
  <c r="I106" i="33"/>
  <c r="AI31" i="33" s="1"/>
  <c r="J89" i="33"/>
  <c r="AI19" i="33"/>
  <c r="M67" i="34"/>
  <c r="M69" i="34" s="1"/>
  <c r="M65" i="34"/>
  <c r="I62" i="34"/>
  <c r="R65" i="34"/>
  <c r="R67" i="34"/>
  <c r="R69" i="34" s="1"/>
  <c r="N67" i="34"/>
  <c r="N69" i="34" s="1"/>
  <c r="N65" i="34"/>
  <c r="P95" i="34"/>
  <c r="P70" i="34"/>
  <c r="Q65" i="34"/>
  <c r="Q67" i="34"/>
  <c r="Q69" i="34" s="1"/>
  <c r="G81" i="34"/>
  <c r="G70" i="34"/>
  <c r="G75" i="34"/>
  <c r="G95" i="34"/>
  <c r="G96" i="34" s="1"/>
  <c r="H67" i="34"/>
  <c r="H69" i="34" s="1"/>
  <c r="H65" i="34"/>
  <c r="J53" i="34" l="1"/>
  <c r="J55" i="34" s="1"/>
  <c r="J64" i="34" s="1"/>
  <c r="J67" i="34" s="1"/>
  <c r="J69" i="34" s="1"/>
  <c r="O65" i="34"/>
  <c r="AH14" i="33"/>
  <c r="AH16" i="33" s="1"/>
  <c r="H123" i="33"/>
  <c r="K102" i="33"/>
  <c r="K57" i="33" s="1"/>
  <c r="J57" i="33"/>
  <c r="J92" i="33"/>
  <c r="I105" i="33"/>
  <c r="J82" i="33"/>
  <c r="K96" i="33"/>
  <c r="K100" i="33" s="1"/>
  <c r="J104" i="33"/>
  <c r="J105" i="33" s="1"/>
  <c r="H109" i="33"/>
  <c r="I69" i="33"/>
  <c r="H95" i="34"/>
  <c r="H96" i="34" s="1"/>
  <c r="H70" i="34"/>
  <c r="H81" i="34"/>
  <c r="R81" i="34"/>
  <c r="R70" i="34"/>
  <c r="R95" i="34"/>
  <c r="O81" i="34"/>
  <c r="O70" i="34"/>
  <c r="P90" i="34" s="1"/>
  <c r="O95" i="34"/>
  <c r="N81" i="34"/>
  <c r="N70" i="34"/>
  <c r="N95" i="34"/>
  <c r="Q70" i="34"/>
  <c r="Q95" i="34"/>
  <c r="Q81" i="34"/>
  <c r="G77" i="34"/>
  <c r="G82" i="34"/>
  <c r="G85" i="34" s="1"/>
  <c r="G88" i="34"/>
  <c r="G78" i="34"/>
  <c r="H75" i="34"/>
  <c r="G90" i="34"/>
  <c r="G97" i="34"/>
  <c r="M81" i="34"/>
  <c r="M70" i="34"/>
  <c r="M95" i="34"/>
  <c r="I64" i="34"/>
  <c r="K53" i="34"/>
  <c r="P97" i="34"/>
  <c r="F117" i="34" s="1"/>
  <c r="F109" i="34"/>
  <c r="P96" i="34"/>
  <c r="J65" i="34" l="1"/>
  <c r="G83" i="34"/>
  <c r="G84" i="34" s="1"/>
  <c r="H110" i="33"/>
  <c r="AH18" i="33" s="1"/>
  <c r="AH32" i="33" s="1"/>
  <c r="H114" i="33"/>
  <c r="I70" i="33"/>
  <c r="I72" i="33"/>
  <c r="I74" i="33"/>
  <c r="AI30" i="33" s="1"/>
  <c r="I75" i="33"/>
  <c r="K82" i="33"/>
  <c r="L102" i="33"/>
  <c r="L96" i="33"/>
  <c r="L100" i="33" s="1"/>
  <c r="K104" i="33"/>
  <c r="K105" i="33" s="1"/>
  <c r="K89" i="33"/>
  <c r="J106" i="33"/>
  <c r="AJ31" i="33" s="1"/>
  <c r="AJ19" i="33"/>
  <c r="J58" i="33"/>
  <c r="AJ13" i="33"/>
  <c r="K58" i="33"/>
  <c r="AK13" i="33"/>
  <c r="J70" i="34"/>
  <c r="J95" i="34"/>
  <c r="J81" i="34"/>
  <c r="O96" i="34"/>
  <c r="H88" i="34"/>
  <c r="H78" i="34"/>
  <c r="H82" i="34"/>
  <c r="H85" i="34" s="1"/>
  <c r="H77" i="34"/>
  <c r="N97" i="34"/>
  <c r="N90" i="34"/>
  <c r="I65" i="34"/>
  <c r="I67" i="34"/>
  <c r="I69" i="34" s="1"/>
  <c r="N96" i="34"/>
  <c r="O97" i="34"/>
  <c r="O90" i="34"/>
  <c r="K55" i="34"/>
  <c r="K64" i="34" s="1"/>
  <c r="L53" i="34"/>
  <c r="L55" i="34" s="1"/>
  <c r="L64" i="34" s="1"/>
  <c r="M96" i="34"/>
  <c r="H97" i="34"/>
  <c r="H90" i="34"/>
  <c r="Q97" i="34"/>
  <c r="Q90" i="34"/>
  <c r="R96" i="34"/>
  <c r="G109" i="34"/>
  <c r="R90" i="34"/>
  <c r="R97" i="34"/>
  <c r="G117" i="34" s="1"/>
  <c r="M97" i="34"/>
  <c r="Q96" i="34"/>
  <c r="N91" i="34" l="1"/>
  <c r="K68" i="33"/>
  <c r="L57" i="33"/>
  <c r="M102" i="33"/>
  <c r="J68" i="33"/>
  <c r="M96" i="33"/>
  <c r="M100" i="33" s="1"/>
  <c r="L104" i="33"/>
  <c r="L105" i="33" s="1"/>
  <c r="L82" i="33"/>
  <c r="H115" i="33"/>
  <c r="H117" i="33"/>
  <c r="AH34" i="33" s="1"/>
  <c r="I120" i="33"/>
  <c r="I85" i="33"/>
  <c r="Q91" i="34"/>
  <c r="R91" i="34"/>
  <c r="L65" i="34"/>
  <c r="L67" i="34"/>
  <c r="L69" i="34" s="1"/>
  <c r="H83" i="34"/>
  <c r="H84" i="34" s="1"/>
  <c r="J96" i="34"/>
  <c r="P91" i="34"/>
  <c r="I75" i="34"/>
  <c r="J102" i="34" s="1"/>
  <c r="I70" i="34"/>
  <c r="I95" i="34"/>
  <c r="I81" i="34"/>
  <c r="J97" i="34"/>
  <c r="K65" i="34"/>
  <c r="K67" i="34"/>
  <c r="K69" i="34" s="1"/>
  <c r="M91" i="34"/>
  <c r="O91" i="34"/>
  <c r="I84" i="33" l="1"/>
  <c r="I86" i="33" s="1"/>
  <c r="I122" i="33"/>
  <c r="AH21" i="33"/>
  <c r="AH24" i="33" s="1"/>
  <c r="H116" i="33"/>
  <c r="M82" i="33"/>
  <c r="M104" i="33"/>
  <c r="M105" i="33" s="1"/>
  <c r="N96" i="33"/>
  <c r="N100" i="33" s="1"/>
  <c r="J76" i="33"/>
  <c r="J127" i="33"/>
  <c r="M57" i="33"/>
  <c r="N102" i="33"/>
  <c r="L58" i="33"/>
  <c r="AL13" i="33"/>
  <c r="AE40" i="33" s="1"/>
  <c r="K76" i="33"/>
  <c r="K127" i="33"/>
  <c r="I96" i="34"/>
  <c r="I102" i="34"/>
  <c r="I90" i="34"/>
  <c r="E109" i="34"/>
  <c r="I97" i="34"/>
  <c r="E117" i="34" s="1"/>
  <c r="I88" i="34"/>
  <c r="I78" i="34"/>
  <c r="I77" i="34"/>
  <c r="I82" i="34"/>
  <c r="I85" i="34" s="1"/>
  <c r="J75" i="34"/>
  <c r="K75" i="34" s="1"/>
  <c r="L70" i="34"/>
  <c r="L95" i="34"/>
  <c r="L81" i="34"/>
  <c r="K70" i="34"/>
  <c r="K95" i="34"/>
  <c r="K81" i="34"/>
  <c r="J90" i="34"/>
  <c r="N57" i="33" l="1"/>
  <c r="O102" i="33"/>
  <c r="M58" i="33"/>
  <c r="AM13" i="33"/>
  <c r="AF40" i="33"/>
  <c r="AF44" i="33"/>
  <c r="AF42" i="33"/>
  <c r="N82" i="33"/>
  <c r="N104" i="33"/>
  <c r="N105" i="33" s="1"/>
  <c r="O96" i="33"/>
  <c r="O100" i="33" s="1"/>
  <c r="I123" i="33"/>
  <c r="I125" i="33"/>
  <c r="AI14" i="33"/>
  <c r="AI16" i="33" s="1"/>
  <c r="L68" i="33"/>
  <c r="J79" i="33"/>
  <c r="I109" i="33"/>
  <c r="I99" i="34"/>
  <c r="I101" i="34"/>
  <c r="E111" i="34"/>
  <c r="E107" i="34"/>
  <c r="E108" i="34"/>
  <c r="K96" i="34"/>
  <c r="K102" i="34"/>
  <c r="K88" i="34"/>
  <c r="K78" i="34"/>
  <c r="K82" i="34"/>
  <c r="K77" i="34"/>
  <c r="K83" i="34"/>
  <c r="K84" i="34" s="1"/>
  <c r="K85" i="34"/>
  <c r="L75" i="34"/>
  <c r="K90" i="34"/>
  <c r="K97" i="34"/>
  <c r="I83" i="34"/>
  <c r="I84" i="34" s="1"/>
  <c r="E110" i="34" s="1"/>
  <c r="L102" i="34"/>
  <c r="L96" i="34"/>
  <c r="L97" i="34"/>
  <c r="L90" i="34"/>
  <c r="M90" i="34"/>
  <c r="L91" i="34" s="1"/>
  <c r="J78" i="34"/>
  <c r="J77" i="34"/>
  <c r="J82" i="34"/>
  <c r="J88" i="34"/>
  <c r="L76" i="33" l="1"/>
  <c r="L127" i="33"/>
  <c r="O104" i="33"/>
  <c r="O105" i="33" s="1"/>
  <c r="O82" i="33"/>
  <c r="P96" i="33"/>
  <c r="P100" i="33" s="1"/>
  <c r="M68" i="33"/>
  <c r="I110" i="33"/>
  <c r="AI18" i="33" s="1"/>
  <c r="AI32" i="33" s="1"/>
  <c r="I114" i="33"/>
  <c r="O57" i="33"/>
  <c r="O58" i="33" s="1"/>
  <c r="P102" i="33"/>
  <c r="J69" i="33"/>
  <c r="AN13" i="33"/>
  <c r="N58" i="33"/>
  <c r="J85" i="34"/>
  <c r="J83" i="34"/>
  <c r="J84" i="34" s="1"/>
  <c r="K91" i="34"/>
  <c r="K92" i="34" s="1"/>
  <c r="K100" i="34" s="1"/>
  <c r="I91" i="34"/>
  <c r="I92" i="34" s="1"/>
  <c r="J91" i="34"/>
  <c r="J92" i="34" s="1"/>
  <c r="L88" i="34"/>
  <c r="L82" i="34"/>
  <c r="L92" i="34" s="1"/>
  <c r="L78" i="34"/>
  <c r="L77" i="34"/>
  <c r="M75" i="34"/>
  <c r="M102" i="34"/>
  <c r="K99" i="34"/>
  <c r="K101" i="34"/>
  <c r="G91" i="34"/>
  <c r="G92" i="34" s="1"/>
  <c r="H91" i="34"/>
  <c r="H92" i="34" s="1"/>
  <c r="J70" i="33" l="1"/>
  <c r="J75" i="33"/>
  <c r="J72" i="33"/>
  <c r="J74" i="33"/>
  <c r="AJ30" i="33" s="1"/>
  <c r="O109" i="33"/>
  <c r="O68" i="33"/>
  <c r="I115" i="33"/>
  <c r="I117" i="33"/>
  <c r="AI34" i="33" s="1"/>
  <c r="M76" i="33"/>
  <c r="M127" i="33"/>
  <c r="N68" i="33"/>
  <c r="P57" i="33"/>
  <c r="P58" i="33" s="1"/>
  <c r="Q102" i="33"/>
  <c r="P82" i="33"/>
  <c r="Q96" i="33"/>
  <c r="Q100" i="33" s="1"/>
  <c r="P104" i="33"/>
  <c r="P105" i="33" s="1"/>
  <c r="E116" i="34"/>
  <c r="I100" i="34"/>
  <c r="M78" i="34"/>
  <c r="M88" i="34"/>
  <c r="M77" i="34"/>
  <c r="M82" i="34"/>
  <c r="N75" i="34"/>
  <c r="N102" i="34"/>
  <c r="L85" i="34"/>
  <c r="L83" i="34"/>
  <c r="L84" i="34" s="1"/>
  <c r="J100" i="34"/>
  <c r="J99" i="34"/>
  <c r="J101" i="34"/>
  <c r="N127" i="33" l="1"/>
  <c r="N76" i="33"/>
  <c r="AI21" i="33"/>
  <c r="AI24" i="33" s="1"/>
  <c r="I116" i="33"/>
  <c r="J85" i="33"/>
  <c r="J120" i="33"/>
  <c r="O110" i="33"/>
  <c r="P68" i="33"/>
  <c r="P109" i="33"/>
  <c r="O76" i="33"/>
  <c r="O127" i="33"/>
  <c r="R96" i="33"/>
  <c r="R100" i="33" s="1"/>
  <c r="Q104" i="33"/>
  <c r="Q105" i="33" s="1"/>
  <c r="Q82" i="33"/>
  <c r="Q57" i="33"/>
  <c r="Q58" i="33" s="1"/>
  <c r="R102" i="33"/>
  <c r="L100" i="34"/>
  <c r="L99" i="34"/>
  <c r="L101" i="34"/>
  <c r="N78" i="34"/>
  <c r="N77" i="34"/>
  <c r="N82" i="34"/>
  <c r="N88" i="34"/>
  <c r="O75" i="34"/>
  <c r="O102" i="34"/>
  <c r="M83" i="34"/>
  <c r="M84" i="34" s="1"/>
  <c r="M85" i="34"/>
  <c r="M92" i="34"/>
  <c r="P76" i="33" l="1"/>
  <c r="P127" i="33"/>
  <c r="P110" i="33"/>
  <c r="J84" i="33"/>
  <c r="J86" i="33" s="1"/>
  <c r="J122" i="33"/>
  <c r="S102" i="33"/>
  <c r="R57" i="33"/>
  <c r="R58" i="33" s="1"/>
  <c r="Q109" i="33"/>
  <c r="Q68" i="33"/>
  <c r="S96" i="33"/>
  <c r="S100" i="33" s="1"/>
  <c r="R82" i="33"/>
  <c r="R104" i="33"/>
  <c r="R105" i="33" s="1"/>
  <c r="M99" i="34"/>
  <c r="M100" i="34"/>
  <c r="M101" i="34"/>
  <c r="O78" i="34"/>
  <c r="O77" i="34"/>
  <c r="O82" i="34"/>
  <c r="O88" i="34"/>
  <c r="P75" i="34"/>
  <c r="P102" i="34"/>
  <c r="N83" i="34"/>
  <c r="N84" i="34" s="1"/>
  <c r="N85" i="34"/>
  <c r="N92" i="34"/>
  <c r="R68" i="33" l="1"/>
  <c r="R109" i="33"/>
  <c r="S104" i="33"/>
  <c r="S105" i="33" s="1"/>
  <c r="S82" i="33"/>
  <c r="T96" i="33"/>
  <c r="T100" i="33" s="1"/>
  <c r="Q127" i="33"/>
  <c r="Q76" i="33"/>
  <c r="K79" i="33"/>
  <c r="K90" i="33"/>
  <c r="J109" i="33"/>
  <c r="Q110" i="33"/>
  <c r="T102" i="33"/>
  <c r="S57" i="33"/>
  <c r="S58" i="33" s="1"/>
  <c r="J123" i="33"/>
  <c r="J125" i="33"/>
  <c r="AJ14" i="33"/>
  <c r="AJ16" i="33" s="1"/>
  <c r="N100" i="34"/>
  <c r="N99" i="34"/>
  <c r="N101" i="34"/>
  <c r="P78" i="34"/>
  <c r="P82" i="34"/>
  <c r="P77" i="34"/>
  <c r="P88" i="34"/>
  <c r="Q75" i="34"/>
  <c r="Q102" i="34"/>
  <c r="O83" i="34"/>
  <c r="O84" i="34" s="1"/>
  <c r="O85" i="34"/>
  <c r="O92" i="34"/>
  <c r="J110" i="33" l="1"/>
  <c r="AJ18" i="33" s="1"/>
  <c r="AJ32" i="33" s="1"/>
  <c r="J114" i="33"/>
  <c r="U102" i="33"/>
  <c r="T57" i="33"/>
  <c r="T58" i="33" s="1"/>
  <c r="K81" i="33"/>
  <c r="K92" i="33"/>
  <c r="T82" i="33"/>
  <c r="U96" i="33"/>
  <c r="U100" i="33" s="1"/>
  <c r="T104" i="33"/>
  <c r="T105" i="33" s="1"/>
  <c r="R110" i="33"/>
  <c r="S109" i="33"/>
  <c r="S68" i="33"/>
  <c r="R127" i="33"/>
  <c r="R76" i="33"/>
  <c r="P85" i="34"/>
  <c r="P83" i="34"/>
  <c r="P84" i="34" s="1"/>
  <c r="F110" i="34" s="1"/>
  <c r="P92" i="34"/>
  <c r="F116" i="34" s="1"/>
  <c r="O101" i="34"/>
  <c r="O99" i="34"/>
  <c r="O100" i="34"/>
  <c r="Q78" i="34"/>
  <c r="Q82" i="34"/>
  <c r="Q88" i="34"/>
  <c r="Q77" i="34"/>
  <c r="R75" i="34"/>
  <c r="R102" i="34"/>
  <c r="S76" i="33" l="1"/>
  <c r="S127" i="33"/>
  <c r="K106" i="33"/>
  <c r="AK31" i="33" s="1"/>
  <c r="L89" i="33"/>
  <c r="AK19" i="33"/>
  <c r="K69" i="33"/>
  <c r="S110" i="33"/>
  <c r="V96" i="33"/>
  <c r="V100" i="33" s="1"/>
  <c r="U104" i="33"/>
  <c r="U105" i="33" s="1"/>
  <c r="U82" i="33"/>
  <c r="T109" i="33"/>
  <c r="T68" i="33"/>
  <c r="U57" i="33"/>
  <c r="U58" i="33" s="1"/>
  <c r="V102" i="33"/>
  <c r="J115" i="33"/>
  <c r="J117" i="33"/>
  <c r="AJ34" i="33" s="1"/>
  <c r="R82" i="34"/>
  <c r="R88" i="34"/>
  <c r="R78" i="34"/>
  <c r="R77" i="34"/>
  <c r="Q85" i="34"/>
  <c r="Q83" i="34"/>
  <c r="Q84" i="34" s="1"/>
  <c r="Q92" i="34"/>
  <c r="P99" i="34"/>
  <c r="P101" i="34"/>
  <c r="F108" i="34"/>
  <c r="P100" i="34"/>
  <c r="F111" i="34"/>
  <c r="F107" i="34"/>
  <c r="W96" i="33" l="1"/>
  <c r="W100" i="33" s="1"/>
  <c r="V104" i="33"/>
  <c r="V105" i="33" s="1"/>
  <c r="V82" i="33"/>
  <c r="T110" i="33"/>
  <c r="K70" i="33"/>
  <c r="K74" i="33"/>
  <c r="AK30" i="33" s="1"/>
  <c r="K72" i="33"/>
  <c r="K75" i="33"/>
  <c r="AJ21" i="33"/>
  <c r="AJ24" i="33" s="1"/>
  <c r="J116" i="33"/>
  <c r="W102" i="33"/>
  <c r="V57" i="33"/>
  <c r="V58" i="33" s="1"/>
  <c r="U109" i="33"/>
  <c r="U68" i="33"/>
  <c r="T127" i="33"/>
  <c r="T76" i="33"/>
  <c r="Q100" i="34"/>
  <c r="Q99" i="34"/>
  <c r="Q101" i="34"/>
  <c r="R83" i="34"/>
  <c r="R84" i="34" s="1"/>
  <c r="G110" i="34" s="1"/>
  <c r="R85" i="34"/>
  <c r="R92" i="34"/>
  <c r="G116" i="34" s="1"/>
  <c r="V68" i="33" l="1"/>
  <c r="V109" i="33"/>
  <c r="X102" i="33"/>
  <c r="X57" i="33" s="1"/>
  <c r="X58" i="33" s="1"/>
  <c r="W57" i="33"/>
  <c r="W58" i="33" s="1"/>
  <c r="X96" i="33"/>
  <c r="X100" i="33" s="1"/>
  <c r="W104" i="33"/>
  <c r="W105" i="33" s="1"/>
  <c r="W82" i="33"/>
  <c r="K85" i="33"/>
  <c r="K120" i="33"/>
  <c r="U127" i="33"/>
  <c r="U76" i="33"/>
  <c r="U110" i="33"/>
  <c r="G111" i="34"/>
  <c r="R100" i="34"/>
  <c r="R99" i="34"/>
  <c r="G107" i="34"/>
  <c r="R101" i="34"/>
  <c r="G108" i="34"/>
  <c r="X109" i="33" l="1"/>
  <c r="X68" i="33"/>
  <c r="K84" i="33"/>
  <c r="K86" i="33" s="1"/>
  <c r="K122" i="33"/>
  <c r="X104" i="33"/>
  <c r="X105" i="33" s="1"/>
  <c r="X82" i="33"/>
  <c r="W109" i="33"/>
  <c r="W68" i="33"/>
  <c r="V110" i="33"/>
  <c r="V76" i="33"/>
  <c r="V127" i="33"/>
  <c r="W127" i="33" l="1"/>
  <c r="W76" i="33"/>
  <c r="X76" i="33"/>
  <c r="X127" i="33"/>
  <c r="W110" i="33"/>
  <c r="K123" i="33"/>
  <c r="K125" i="33"/>
  <c r="AK14" i="33"/>
  <c r="AK16" i="33" s="1"/>
  <c r="L79" i="33"/>
  <c r="K109" i="33"/>
  <c r="X110" i="33"/>
  <c r="K114" i="33" l="1"/>
  <c r="K110" i="33"/>
  <c r="AK18" i="33" s="1"/>
  <c r="AK32" i="33" s="1"/>
  <c r="L69" i="33"/>
  <c r="AE45" i="33" l="1"/>
  <c r="AF45" i="33" s="1"/>
  <c r="L72" i="33"/>
  <c r="L74" i="33"/>
  <c r="AL30" i="33" s="1"/>
  <c r="K115" i="33"/>
  <c r="K117" i="33"/>
  <c r="AK34" i="33" s="1"/>
  <c r="AK21" i="33" l="1"/>
  <c r="AK24" i="33" s="1"/>
  <c r="K116" i="33"/>
  <c r="L91" i="33"/>
  <c r="L120" i="33" s="1"/>
  <c r="L85" i="33"/>
  <c r="L122" i="33" l="1"/>
  <c r="L84" i="33"/>
  <c r="AE50" i="33" s="1"/>
  <c r="AF50" i="33" s="1"/>
  <c r="L83" i="33"/>
  <c r="L92" i="33"/>
  <c r="L75" i="33"/>
  <c r="AL19" i="33" l="1"/>
  <c r="L106" i="33"/>
  <c r="AL31" i="33" s="1"/>
  <c r="M89" i="33"/>
  <c r="L70" i="33"/>
  <c r="AE49" i="33"/>
  <c r="AF49" i="33" s="1"/>
  <c r="L86" i="33"/>
  <c r="AL14" i="33"/>
  <c r="L123" i="33"/>
  <c r="L125" i="33"/>
  <c r="AL23" i="33" l="1"/>
  <c r="AL16" i="33"/>
  <c r="AL28" i="33"/>
  <c r="M79" i="33"/>
  <c r="L109" i="33"/>
  <c r="M69" i="33"/>
  <c r="L114" i="33" l="1"/>
  <c r="L110" i="33"/>
  <c r="AL18" i="33" s="1"/>
  <c r="AL32" i="33" s="1"/>
  <c r="M72" i="33"/>
  <c r="M74" i="33"/>
  <c r="AM30" i="33" s="1"/>
  <c r="AL27" i="33"/>
  <c r="M85" i="33" l="1"/>
  <c r="M91" i="33"/>
  <c r="M120" i="33"/>
  <c r="L115" i="33"/>
  <c r="L117" i="33"/>
  <c r="AL34" i="33" s="1"/>
  <c r="M122" i="33" l="1"/>
  <c r="M84" i="33"/>
  <c r="AL21" i="33"/>
  <c r="AL24" i="33" s="1"/>
  <c r="L116" i="33"/>
  <c r="M83" i="33"/>
  <c r="M86" i="33" s="1"/>
  <c r="M92" i="33"/>
  <c r="M75" i="33"/>
  <c r="N89" i="33" l="1"/>
  <c r="AM19" i="33"/>
  <c r="M106" i="33"/>
  <c r="AM31" i="33" s="1"/>
  <c r="M70" i="33"/>
  <c r="N79" i="33"/>
  <c r="M109" i="33"/>
  <c r="M123" i="33"/>
  <c r="M125" i="33"/>
  <c r="AM14" i="33"/>
  <c r="AM16" i="33" l="1"/>
  <c r="AM23" i="33"/>
  <c r="AM28" i="33" s="1"/>
  <c r="M114" i="33"/>
  <c r="M110" i="33"/>
  <c r="AM18" i="33" s="1"/>
  <c r="AM32" i="33"/>
  <c r="N69" i="33"/>
  <c r="N74" i="33" l="1"/>
  <c r="AN30" i="33" s="1"/>
  <c r="N72" i="33"/>
  <c r="M115" i="33"/>
  <c r="M117" i="33"/>
  <c r="AM34" i="33" s="1"/>
  <c r="AM21" i="33" l="1"/>
  <c r="AM24" i="33" s="1"/>
  <c r="M116" i="33"/>
  <c r="N85" i="33"/>
  <c r="N91" i="33"/>
  <c r="N120" i="33"/>
  <c r="N122" i="33" l="1"/>
  <c r="N84" i="33"/>
  <c r="N83" i="33"/>
  <c r="N86" i="33" s="1"/>
  <c r="N92" i="33"/>
  <c r="N75" i="33"/>
  <c r="O89" i="33" l="1"/>
  <c r="AN19" i="33"/>
  <c r="N106" i="33"/>
  <c r="AN31" i="33" s="1"/>
  <c r="N70" i="33"/>
  <c r="O79" i="33"/>
  <c r="N109" i="33"/>
  <c r="N123" i="33"/>
  <c r="N125" i="33"/>
  <c r="AN14" i="33"/>
  <c r="AN23" i="33" l="1"/>
  <c r="AN16" i="33"/>
  <c r="AN28" i="33"/>
  <c r="N110" i="33"/>
  <c r="AN18" i="33" s="1"/>
  <c r="N114" i="33"/>
  <c r="AN32" i="33"/>
  <c r="O69" i="33"/>
  <c r="O74" i="33" l="1"/>
  <c r="O72" i="33"/>
  <c r="N115" i="33"/>
  <c r="N117" i="33"/>
  <c r="AN34" i="33" s="1"/>
  <c r="AN21" i="33" l="1"/>
  <c r="AN24" i="33" s="1"/>
  <c r="N116" i="33"/>
  <c r="O91" i="33"/>
  <c r="O85" i="33"/>
  <c r="O83" i="33" l="1"/>
  <c r="O92" i="33"/>
  <c r="O75" i="33"/>
  <c r="O120" i="33"/>
  <c r="O122" i="33" l="1"/>
  <c r="O84" i="33"/>
  <c r="O106" i="33"/>
  <c r="P89" i="33"/>
  <c r="O114" i="33"/>
  <c r="O70" i="33"/>
  <c r="O86" i="33"/>
  <c r="P79" i="33" s="1"/>
  <c r="P69" i="33" l="1"/>
  <c r="O117" i="33"/>
  <c r="O115" i="33"/>
  <c r="O123" i="33"/>
  <c r="O125" i="33"/>
  <c r="O116" i="33"/>
  <c r="P74" i="33" l="1"/>
  <c r="P72" i="33"/>
  <c r="P85" i="33" l="1"/>
  <c r="P91" i="33"/>
  <c r="P83" i="33" l="1"/>
  <c r="P92" i="33"/>
  <c r="P75" i="33"/>
  <c r="P120" i="33"/>
  <c r="P84" i="33" l="1"/>
  <c r="P122" i="33"/>
  <c r="P106" i="33"/>
  <c r="Q89" i="33"/>
  <c r="P114" i="33"/>
  <c r="P70" i="33"/>
  <c r="P86" i="33"/>
  <c r="Q79" i="33" s="1"/>
  <c r="Q69" i="33" l="1"/>
  <c r="P115" i="33"/>
  <c r="P117" i="33"/>
  <c r="P125" i="33"/>
  <c r="P123" i="33"/>
  <c r="P116" i="33"/>
  <c r="Q72" i="33" l="1"/>
  <c r="Q74" i="33"/>
  <c r="Q85" i="33" l="1"/>
  <c r="Q91" i="33"/>
  <c r="Q120" i="33"/>
  <c r="Q122" i="33" l="1"/>
  <c r="Q84" i="33"/>
  <c r="Q83" i="33"/>
  <c r="Q86" i="33" s="1"/>
  <c r="R79" i="33" s="1"/>
  <c r="Q92" i="33"/>
  <c r="Q75" i="33"/>
  <c r="Q106" i="33" l="1"/>
  <c r="R89" i="33"/>
  <c r="Q114" i="33"/>
  <c r="Q70" i="33"/>
  <c r="Q123" i="33"/>
  <c r="Q125" i="33"/>
  <c r="Q117" i="33" l="1"/>
  <c r="Q115" i="33"/>
  <c r="Q116" i="33" s="1"/>
  <c r="R69" i="33"/>
  <c r="R72" i="33" l="1"/>
  <c r="R74" i="33"/>
  <c r="R85" i="33" l="1"/>
  <c r="R91" i="33"/>
  <c r="R83" i="33" l="1"/>
  <c r="R92" i="33"/>
  <c r="R75" i="33"/>
  <c r="R120" i="33"/>
  <c r="R84" i="33" l="1"/>
  <c r="R122" i="33"/>
  <c r="S89" i="33"/>
  <c r="R106" i="33"/>
  <c r="R114" i="33"/>
  <c r="R70" i="33"/>
  <c r="R86" i="33"/>
  <c r="S79" i="33" s="1"/>
  <c r="R117" i="33" l="1"/>
  <c r="R115" i="33"/>
  <c r="S69" i="33"/>
  <c r="R125" i="33"/>
  <c r="R123" i="33"/>
  <c r="R116" i="33"/>
  <c r="S72" i="33" l="1"/>
  <c r="S74" i="33"/>
  <c r="S85" i="33" l="1"/>
  <c r="S91" i="33"/>
  <c r="S120" i="33" s="1"/>
  <c r="S122" i="33" l="1"/>
  <c r="S84" i="33"/>
  <c r="S83" i="33"/>
  <c r="S86" i="33" s="1"/>
  <c r="T79" i="33" s="1"/>
  <c r="S92" i="33"/>
  <c r="S75" i="33"/>
  <c r="T89" i="33" l="1"/>
  <c r="S106" i="33"/>
  <c r="S114" i="33"/>
  <c r="S70" i="33"/>
  <c r="S125" i="33"/>
  <c r="S123" i="33"/>
  <c r="S117" i="33" l="1"/>
  <c r="S115" i="33"/>
  <c r="S116" i="33" s="1"/>
  <c r="T69" i="33"/>
  <c r="T74" i="33" l="1"/>
  <c r="T72" i="33"/>
  <c r="T85" i="33" l="1"/>
  <c r="T91" i="33"/>
  <c r="T120" i="33"/>
  <c r="T122" i="33" l="1"/>
  <c r="T84" i="33"/>
  <c r="T83" i="33"/>
  <c r="T86" i="33" s="1"/>
  <c r="U79" i="33" s="1"/>
  <c r="T92" i="33"/>
  <c r="T75" i="33"/>
  <c r="U89" i="33" l="1"/>
  <c r="T106" i="33"/>
  <c r="T114" i="33"/>
  <c r="T70" i="33"/>
  <c r="T123" i="33"/>
  <c r="T125" i="33"/>
  <c r="T117" i="33" l="1"/>
  <c r="T115" i="33"/>
  <c r="T116" i="33" s="1"/>
  <c r="U69" i="33"/>
  <c r="U74" i="33" l="1"/>
  <c r="U72" i="33"/>
  <c r="U91" i="33" l="1"/>
  <c r="U120" i="33"/>
  <c r="U85" i="33"/>
  <c r="U122" i="33" l="1"/>
  <c r="U84" i="33"/>
  <c r="U83" i="33"/>
  <c r="U86" i="33" s="1"/>
  <c r="V79" i="33" s="1"/>
  <c r="U92" i="33"/>
  <c r="U75" i="33"/>
  <c r="V89" i="33" l="1"/>
  <c r="U106" i="33"/>
  <c r="U114" i="33"/>
  <c r="U70" i="33"/>
  <c r="U123" i="33"/>
  <c r="U125" i="33"/>
  <c r="U115" i="33" l="1"/>
  <c r="U116" i="33" s="1"/>
  <c r="U117" i="33"/>
  <c r="V69" i="33"/>
  <c r="V74" i="33" l="1"/>
  <c r="V72" i="33"/>
  <c r="V85" i="33" l="1"/>
  <c r="V91" i="33"/>
  <c r="V120" i="33"/>
  <c r="V122" i="33" l="1"/>
  <c r="V84" i="33"/>
  <c r="V83" i="33"/>
  <c r="V92" i="33"/>
  <c r="V75" i="33"/>
  <c r="V106" i="33" l="1"/>
  <c r="W89" i="33"/>
  <c r="V114" i="33"/>
  <c r="V70" i="33"/>
  <c r="V86" i="33"/>
  <c r="W79" i="33" s="1"/>
  <c r="V123" i="33"/>
  <c r="V125" i="33"/>
  <c r="V117" i="33" l="1"/>
  <c r="V115" i="33"/>
  <c r="V116" i="33" s="1"/>
  <c r="W69" i="33"/>
  <c r="W74" i="33" l="1"/>
  <c r="W72" i="33"/>
  <c r="W91" i="33" l="1"/>
  <c r="W85" i="33"/>
  <c r="W83" i="33" l="1"/>
  <c r="W92" i="33"/>
  <c r="W75" i="33"/>
  <c r="W120" i="33"/>
  <c r="W84" i="33" l="1"/>
  <c r="W122" i="33"/>
  <c r="W106" i="33"/>
  <c r="X89" i="33"/>
  <c r="W114" i="33"/>
  <c r="W70" i="33"/>
  <c r="W86" i="33"/>
  <c r="X79" i="33" s="1"/>
  <c r="W115" i="33" l="1"/>
  <c r="W117" i="33"/>
  <c r="X69" i="33"/>
  <c r="W125" i="33"/>
  <c r="W116" i="33"/>
  <c r="W123" i="33"/>
  <c r="X72" i="33" l="1"/>
  <c r="X74" i="33"/>
  <c r="X85" i="33" l="1"/>
  <c r="X91" i="33"/>
  <c r="X120" i="33"/>
  <c r="X84" i="33" l="1"/>
  <c r="X122" i="33"/>
  <c r="X83" i="33"/>
  <c r="X86" i="33" s="1"/>
  <c r="X92" i="33"/>
  <c r="X75" i="33"/>
  <c r="X106" i="33" l="1"/>
  <c r="X114" i="33"/>
  <c r="X70" i="33"/>
  <c r="X123" i="33"/>
  <c r="X125" i="33"/>
  <c r="X117" i="33" l="1"/>
  <c r="X115" i="33"/>
  <c r="X116" i="33" s="1"/>
</calcChain>
</file>

<file path=xl/sharedStrings.xml><?xml version="1.0" encoding="utf-8"?>
<sst xmlns="http://schemas.openxmlformats.org/spreadsheetml/2006/main" count="305" uniqueCount="206">
  <si>
    <t>Admin Costs</t>
  </si>
  <si>
    <t>Gross Cost per sq. ft.</t>
  </si>
  <si>
    <t>Issue Costs</t>
  </si>
  <si>
    <t xml:space="preserve">Working Capital </t>
  </si>
  <si>
    <t>Board of Directors Expense</t>
  </si>
  <si>
    <t>Benetti Holdings Dilution</t>
  </si>
  <si>
    <t xml:space="preserve">Admin and Compliance </t>
  </si>
  <si>
    <t xml:space="preserve">Board of Directors </t>
  </si>
  <si>
    <t>Income</t>
  </si>
  <si>
    <t>Issuing Agents Fees</t>
  </si>
  <si>
    <t>Cost per Unit</t>
  </si>
  <si>
    <t>Number of Diluted Units</t>
  </si>
  <si>
    <t>Distribution per Diluted Unit</t>
  </si>
  <si>
    <t>Partner Contributions</t>
  </si>
  <si>
    <t>Total Expenses</t>
  </si>
  <si>
    <t>Asset Valuation</t>
  </si>
  <si>
    <t>Advisory Fees</t>
  </si>
  <si>
    <t>Cash Flow Continuity</t>
  </si>
  <si>
    <t>Opening Cash</t>
  </si>
  <si>
    <t>New Equity Financing</t>
  </si>
  <si>
    <t>Ending Cash</t>
  </si>
  <si>
    <t>Capital Asset Additions</t>
  </si>
  <si>
    <t>Opening Debt</t>
  </si>
  <si>
    <t>Additions</t>
  </si>
  <si>
    <t>Payments</t>
  </si>
  <si>
    <t>Ending Debt</t>
  </si>
  <si>
    <t>Opening Assets</t>
  </si>
  <si>
    <t>Total Capital Assets</t>
  </si>
  <si>
    <t>Build Time</t>
  </si>
  <si>
    <t>Debt Repayment</t>
  </si>
  <si>
    <t>Asset Continuity</t>
  </si>
  <si>
    <t>Distribution Analysis</t>
  </si>
  <si>
    <t>Net Proceeds</t>
  </si>
  <si>
    <t>Net Equity Funding</t>
  </si>
  <si>
    <t>Debt Proceeds</t>
  </si>
  <si>
    <t>Equity Proceeds</t>
  </si>
  <si>
    <t>Distributions</t>
  </si>
  <si>
    <t>Total Capital Assets Generating Rent</t>
  </si>
  <si>
    <t>Distribution Yield (on original $100 investment)</t>
  </si>
  <si>
    <t xml:space="preserve">Interest Coverage Ratio </t>
  </si>
  <si>
    <t>Debt Service Ratio</t>
  </si>
  <si>
    <t>Debenture Continuity</t>
  </si>
  <si>
    <t>Year 8</t>
  </si>
  <si>
    <t>Earnings</t>
  </si>
  <si>
    <t>Financing costs</t>
  </si>
  <si>
    <t>Secondary Financing (net of 3% cost)</t>
  </si>
  <si>
    <t>Taxes</t>
  </si>
  <si>
    <t xml:space="preserve">Gross Income </t>
  </si>
  <si>
    <t xml:space="preserve">Development Yield </t>
  </si>
  <si>
    <t>-</t>
  </si>
  <si>
    <t xml:space="preserve">Issue Costs as a Percentage of Gross Funded Value </t>
  </si>
  <si>
    <t>Issuing Agents Fee - First Secured Mortgage Debentures</t>
  </si>
  <si>
    <t xml:space="preserve">Interest Paid to the First Secured Mortgage Debentures </t>
  </si>
  <si>
    <t>Initial Financing (net of 3% cost)</t>
  </si>
  <si>
    <t>Total (max) Debt Financing</t>
  </si>
  <si>
    <t>Expenses &amp; Fees</t>
  </si>
  <si>
    <t>n/a</t>
  </si>
  <si>
    <t>Proceeds as a % of EBITDA</t>
  </si>
  <si>
    <t>New Debt Financing (gross)</t>
  </si>
  <si>
    <t>Asset Valuation  (per diluted Unit)</t>
  </si>
  <si>
    <t xml:space="preserve">Distribution to Limited Partners </t>
  </si>
  <si>
    <t>Earnings Before Taxes, Depreciation and Interest on the Debt</t>
  </si>
  <si>
    <t>Advisory Fee</t>
  </si>
  <si>
    <t>Number of Common Shares</t>
  </si>
  <si>
    <t>Woodfine Capital Projects Inc.</t>
  </si>
  <si>
    <t>Earnings Valuation</t>
  </si>
  <si>
    <t>CAD-USD</t>
  </si>
  <si>
    <t xml:space="preserve">** In Canadian Dollars </t>
  </si>
  <si>
    <t>EBITDA</t>
  </si>
  <si>
    <t>Market Valuation</t>
  </si>
  <si>
    <t>Y0</t>
  </si>
  <si>
    <t>Y1</t>
  </si>
  <si>
    <t>Y2</t>
  </si>
  <si>
    <t>Y3</t>
  </si>
  <si>
    <t>Y4</t>
  </si>
  <si>
    <t>Y5</t>
  </si>
  <si>
    <t>Y6</t>
  </si>
  <si>
    <t xml:space="preserve">Financing Activity — WCP Common Shares </t>
  </si>
  <si>
    <t>WCP Pro Forma Income Statement</t>
  </si>
  <si>
    <t>Net Asset Value — Public Non-Listed</t>
  </si>
  <si>
    <t>Offering Costs Reimbursement</t>
  </si>
  <si>
    <t>10% Beneficial Ownership in the Woodfine LPs</t>
  </si>
  <si>
    <t>Referral Fees Paid on the Sale of Shares</t>
  </si>
  <si>
    <t>WPI Consulting Agreement</t>
  </si>
  <si>
    <t>Per Share</t>
  </si>
  <si>
    <t>Effective Tax Rate</t>
  </si>
  <si>
    <t>Revenue and Assets from the Woodfine LPs</t>
  </si>
  <si>
    <t xml:space="preserve">General and Administration — New York City  </t>
  </si>
  <si>
    <t>KKR</t>
  </si>
  <si>
    <t>BX</t>
  </si>
  <si>
    <t>CG</t>
  </si>
  <si>
    <t>Fiera Capital</t>
  </si>
  <si>
    <t>BAM</t>
  </si>
  <si>
    <t>APO</t>
  </si>
  <si>
    <t>KKR &amp; Co Inc.</t>
  </si>
  <si>
    <t>The Carlyle Group LP</t>
  </si>
  <si>
    <t>The Blackstone Group LP</t>
  </si>
  <si>
    <t>Brookfield Asset Management Inc.</t>
  </si>
  <si>
    <t>Apollo Global Management LLC</t>
  </si>
  <si>
    <t>FSZ</t>
  </si>
  <si>
    <t>Book Value per Share</t>
  </si>
  <si>
    <t>Dividends (price per share per quarter)</t>
  </si>
  <si>
    <t>Dividends (price per share annually)</t>
  </si>
  <si>
    <t>WCP — Y1</t>
  </si>
  <si>
    <t>General and Administration — Berlin</t>
  </si>
  <si>
    <t>Y7</t>
  </si>
  <si>
    <t>Y8</t>
  </si>
  <si>
    <t>Y9</t>
  </si>
  <si>
    <t>Y10</t>
  </si>
  <si>
    <t>CAD-EUR</t>
  </si>
  <si>
    <t>WCP — Y10</t>
  </si>
  <si>
    <t xml:space="preserve">Woodfine Capital Projects Inc. </t>
  </si>
  <si>
    <t>Mathew Woodfine</t>
  </si>
  <si>
    <t xml:space="preserve">Net Asset Valuations </t>
  </si>
  <si>
    <t xml:space="preserve">Distribution Yield </t>
  </si>
  <si>
    <t xml:space="preserve">Market Valuation vs. Book Value  </t>
  </si>
  <si>
    <t>Price per Share — CAD</t>
  </si>
  <si>
    <t xml:space="preserve">Book Value </t>
  </si>
  <si>
    <t>Market Valuation per Share</t>
  </si>
  <si>
    <t>Earnings per Share</t>
  </si>
  <si>
    <t>Shares Outstanding</t>
  </si>
  <si>
    <t>Dividend Yield (annually)</t>
  </si>
  <si>
    <t>P/E Ratio</t>
  </si>
  <si>
    <t>Market Valuation vs. Book Value</t>
  </si>
  <si>
    <t>Cumulative Free Cash Flow — Woodfine Credit Inc.</t>
  </si>
  <si>
    <t>PEG Ratio</t>
  </si>
  <si>
    <t>Equity Growth  — YoY</t>
  </si>
  <si>
    <t>Asset Growth — YoY</t>
  </si>
  <si>
    <t>Earnings Growth — YoY</t>
  </si>
  <si>
    <t xml:space="preserve">Fair Valuation per Share </t>
  </si>
  <si>
    <t>Book Valuation</t>
  </si>
  <si>
    <t>Fair Valuation</t>
  </si>
  <si>
    <t xml:space="preserve">Market Valuation vs. Fair Valuation   </t>
  </si>
  <si>
    <t>Cash Flow and Valuation</t>
  </si>
  <si>
    <t>Issuing Agents Fee</t>
  </si>
  <si>
    <t>Operating Expenses</t>
  </si>
  <si>
    <t>Total Operating Expenses</t>
  </si>
  <si>
    <t>Earnings Growth — Forward Moving Average</t>
  </si>
  <si>
    <t xml:space="preserve">Return on Net Tangible Equity </t>
  </si>
  <si>
    <t xml:space="preserve">Dividend Valuation </t>
  </si>
  <si>
    <t>Free Cash Flow — Available for Distribution</t>
  </si>
  <si>
    <t>Dividend Yield</t>
  </si>
  <si>
    <t>Dividend Valuation per Share</t>
  </si>
  <si>
    <t>Market Valuation vs. Dividend Valuation</t>
  </si>
  <si>
    <t>In the first 3 years of construction, income continuity of 3,050,000 (year-1),  3,300,000  (year-2) and  3,500,000  (year-3) was assumed to reflect the increase in land price due to entitlements of zoning, development and building permits and partial advance lease of buildings.</t>
  </si>
  <si>
    <t>Note-1:</t>
  </si>
  <si>
    <t>Distribution year over year growth</t>
  </si>
  <si>
    <t>Total Expense Ratio vs NAV  ( excluding financing costs )</t>
  </si>
  <si>
    <t>Cap Rate - Public Non Listed</t>
  </si>
  <si>
    <t>Debt to development cost</t>
  </si>
  <si>
    <t>FMV of building under construction</t>
  </si>
  <si>
    <t>Buildings under construction</t>
  </si>
  <si>
    <t>Funding from operations</t>
  </si>
  <si>
    <t xml:space="preserve">Percentage Interest Payable - net of interest income </t>
  </si>
  <si>
    <t>Cost of Debenture Debt net of interest on funds on deposit</t>
  </si>
  <si>
    <t>Earnings before interest, taxes and depreciation (EBITDA)</t>
  </si>
  <si>
    <t>(Note-1)</t>
  </si>
  <si>
    <t>Income Continuity</t>
  </si>
  <si>
    <t>Net proceeds from operations</t>
  </si>
  <si>
    <t>Repurchase Of Debentures</t>
  </si>
  <si>
    <t xml:space="preserve">Distributable Income </t>
  </si>
  <si>
    <t>Gross borrowing</t>
  </si>
  <si>
    <t>Interest Payments</t>
  </si>
  <si>
    <t>Operating and Administrative Expense</t>
  </si>
  <si>
    <t xml:space="preserve">Revenue </t>
  </si>
  <si>
    <t>%</t>
  </si>
  <si>
    <t>$</t>
  </si>
  <si>
    <t xml:space="preserve">Total Square Foot - $250 Million Gross Funded Value </t>
  </si>
  <si>
    <t>Total Expense Ratio (NAV)</t>
  </si>
  <si>
    <t>Working Capital Reserve during development</t>
  </si>
  <si>
    <t>Minimum cash balance</t>
  </si>
  <si>
    <t>Debt to Asset Value</t>
  </si>
  <si>
    <t>Debt vs. Development Cost</t>
  </si>
  <si>
    <t>Debenture Buy Back (% of EBITDA)</t>
  </si>
  <si>
    <t>Interest earned on Cash on Hand</t>
  </si>
  <si>
    <t>Distribution Yield to Buyers at Market Value</t>
  </si>
  <si>
    <t>Compounded Annual Return  (Excluding Distributions)</t>
  </si>
  <si>
    <t>Discount / Premium vs. Net Asset Value (NAV)</t>
  </si>
  <si>
    <t>Discount to FMV for buildings under cost</t>
  </si>
  <si>
    <t xml:space="preserve">Market Value </t>
  </si>
  <si>
    <t>Net Asset Value (NAV)</t>
  </si>
  <si>
    <t>Total Debt</t>
  </si>
  <si>
    <t xml:space="preserve">Advisory Fee as percentage of Gross Funded Value </t>
  </si>
  <si>
    <t>Asset Value</t>
  </si>
  <si>
    <t xml:space="preserve">Distribution Yield on Initial Capital </t>
  </si>
  <si>
    <t>Total Equity Financing  - 1 year</t>
  </si>
  <si>
    <t>Phase 3 - second financing</t>
  </si>
  <si>
    <t>Phase 2 - first financing</t>
  </si>
  <si>
    <t>Phase 1 - initial funding for capital assets</t>
  </si>
  <si>
    <t>Capital investment</t>
  </si>
  <si>
    <t>Portfolio additions in sf.</t>
  </si>
  <si>
    <t>Woodfine Professional Centres Limited Partnership</t>
  </si>
  <si>
    <t>WCP — Y8</t>
  </si>
  <si>
    <t>Woodfine Professional Centres 6 Limited Partnership LP (Italy) — EUR$250 million GFV</t>
  </si>
  <si>
    <t>Woodfine Professional Centres 5 Limited Partnership (Greece) — EUR$250 million GFV</t>
  </si>
  <si>
    <t>Woodfine Vertical Warehouse Limited Partnership (US) — US$250 million GFV</t>
  </si>
  <si>
    <t>Woodfine Parking Structures Limited Partnership (US) — US$250 million GFV</t>
  </si>
  <si>
    <t>Woodfine Professional Centres 2 Limited Partnership (US) — US$500 million GFV</t>
  </si>
  <si>
    <t>Woodfine Professional Centres Limited Partnership (Canada) — C$250 million GFV</t>
  </si>
  <si>
    <t>V3</t>
  </si>
  <si>
    <t>Woodfine Professional Centres 3 Limited Partnership (Spain) — EUR$250 million GFV</t>
  </si>
  <si>
    <t>Woodfine Professional Centres 4 Limited Partnership (Mexico) — US$250 million GFV</t>
  </si>
  <si>
    <t>January 6, 2026</t>
  </si>
  <si>
    <t>Comparables at January 2, 2026</t>
  </si>
  <si>
    <t>1.60</t>
  </si>
  <si>
    <t>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</si>
</sst>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$&quot;* #,##0_);_(&quot;$&quot;* \(#,##0\);_(&quot;$&quot;* &quot;-&quot;??_);_(@_)"/>
    <numFmt numFmtId="166" formatCode="0.0%"/>
    <numFmt numFmtId="167" formatCode="_(* #,##0_);_(* \(#,##0\);_(* &quot;-&quot;??_);_(@_)"/>
    <numFmt numFmtId="168" formatCode="#,##0\ &quot;Yrs&quot;"/>
    <numFmt numFmtId="169" formatCode="_-&quot;$&quot;* #,##0_-;\-&quot;$&quot;* #,##0_-;_-&quot;$&quot;* &quot;-&quot;??_-;_-@_-"/>
    <numFmt numFmtId="170" formatCode="0.000000"/>
    <numFmt numFmtId="171" formatCode="&quot;$&quot;#,##0.00"/>
    <numFmt numFmtId="172" formatCode="&quot;$&quot;#,##0"/>
    <numFmt numFmtId="173" formatCode="_(* #,##0.0000_);_(* \(#,##0.0000\);_(* &quot;-&quot;??_);_(@_)"/>
    <numFmt numFmtId="174" formatCode="_(&quot;$&quot;* #,##0.00000_);_(&quot;$&quot;* \(#,##0.00000\);_(&quot;$&quot;* &quot;-&quot;?????_);_(@_)"/>
    <numFmt numFmtId="175" formatCode="_(&quot;$&quot;* #,##0.0_);_(&quot;$&quot;* \(#,##0.0\);_(&quot;$&quot;* &quot;-&quot;?_);_(@_)"/>
  </numFmts>
  <fonts count="3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Georgia"/>
      <family val="1"/>
    </font>
    <font>
      <sz val="14"/>
      <color theme="1"/>
      <name val="Georgia"/>
      <family val="1"/>
    </font>
    <font>
      <sz val="16"/>
      <color theme="1"/>
      <name val="Georgia"/>
      <family val="1"/>
    </font>
    <font>
      <sz val="16"/>
      <name val="Georgia"/>
      <family val="1"/>
    </font>
    <font>
      <b/>
      <sz val="16"/>
      <color theme="1"/>
      <name val="Georgia"/>
      <family val="1"/>
    </font>
    <font>
      <sz val="12"/>
      <name val="Georgia"/>
      <family val="1"/>
    </font>
    <font>
      <i/>
      <sz val="12"/>
      <name val="Georgia"/>
      <family val="1"/>
    </font>
    <font>
      <i/>
      <sz val="12"/>
      <color theme="1"/>
      <name val="Georgia"/>
      <family val="1"/>
    </font>
    <font>
      <i/>
      <sz val="16"/>
      <name val="Georgia"/>
      <family val="1"/>
    </font>
    <font>
      <b/>
      <i/>
      <u/>
      <sz val="16"/>
      <color theme="1"/>
      <name val="Georgia"/>
      <family val="1"/>
    </font>
    <font>
      <b/>
      <i/>
      <sz val="12"/>
      <color theme="1"/>
      <name val="Georgia"/>
      <family val="1"/>
    </font>
    <font>
      <b/>
      <i/>
      <sz val="16"/>
      <color theme="1"/>
      <name val="Georgia"/>
      <family val="1"/>
    </font>
    <font>
      <b/>
      <i/>
      <sz val="12"/>
      <name val="Georgia"/>
      <family val="1"/>
    </font>
    <font>
      <sz val="15"/>
      <color theme="1"/>
      <name val="Georgia"/>
      <family val="1"/>
    </font>
    <font>
      <sz val="20"/>
      <color theme="1"/>
      <name val="Times New Roman"/>
      <family val="1"/>
    </font>
    <font>
      <sz val="15"/>
      <color theme="1"/>
      <name val="Times New Roman"/>
      <family val="1"/>
    </font>
    <font>
      <i/>
      <sz val="14"/>
      <color theme="1"/>
      <name val="Georgia"/>
      <family val="1"/>
    </font>
    <font>
      <sz val="16"/>
      <color rgb="FF000000"/>
      <name val="Georgia"/>
      <family val="1"/>
    </font>
    <font>
      <b/>
      <sz val="16"/>
      <name val="Georgia"/>
      <family val="1"/>
    </font>
    <font>
      <u val="singleAccounting"/>
      <sz val="16"/>
      <color theme="1"/>
      <name val="Georgia"/>
      <family val="1"/>
    </font>
    <font>
      <b/>
      <i/>
      <sz val="14"/>
      <color theme="1"/>
      <name val="Georgia"/>
      <family val="1"/>
    </font>
    <font>
      <b/>
      <i/>
      <sz val="24"/>
      <color theme="1"/>
      <name val="Georgia"/>
      <family val="1"/>
    </font>
    <font>
      <b/>
      <i/>
      <u/>
      <sz val="18"/>
      <color theme="1"/>
      <name val="Georgia"/>
      <family val="1"/>
    </font>
    <font>
      <b/>
      <sz val="24"/>
      <color theme="1"/>
      <name val="Georgia"/>
      <family val="1"/>
    </font>
    <font>
      <sz val="24"/>
      <color theme="1"/>
      <name val="Georgia"/>
      <family val="1"/>
    </font>
    <font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30"/>
      <name val="Calibri"/>
      <family val="2"/>
      <scheme val="minor"/>
    </font>
    <font>
      <sz val="30"/>
      <color indexed="64"/>
      <name val="Calibri"/>
      <family val="2"/>
      <scheme val="minor"/>
    </font>
    <font>
      <b/>
      <sz val="30"/>
      <name val="Calibri"/>
      <family val="2"/>
      <scheme val="minor"/>
    </font>
    <font>
      <b/>
      <u/>
      <sz val="30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79998168889431442"/>
        <bgColor indexed="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rgb="FFDCE6F1"/>
        <bgColor theme="4" tint="0.79998168889431442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533">
    <xf numFmtId="0" fontId="0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1" fillId="0" borderId="0"/>
    <xf numFmtId="9" fontId="31" fillId="0" borderId="0" applyFont="0" applyFill="0" applyBorder="0" applyProtection="0"/>
    <xf numFmtId="43" fontId="31" fillId="0" borderId="0" applyFont="0" applyFill="0" applyBorder="0" applyProtection="0"/>
  </cellStyleXfs>
  <cellXfs count="409">
    <xf numFmtId="0" fontId="0" fillId="0" borderId="0" xfId="0"/>
    <xf numFmtId="0" fontId="2" fillId="0" borderId="0" xfId="1"/>
    <xf numFmtId="0" fontId="6" fillId="0" borderId="0" xfId="0" applyFont="1"/>
    <xf numFmtId="0" fontId="7" fillId="0" borderId="0" xfId="0" applyFont="1"/>
    <xf numFmtId="167" fontId="6" fillId="0" borderId="0" xfId="1256" applyNumberFormat="1" applyFont="1" applyFill="1" applyBorder="1"/>
    <xf numFmtId="167" fontId="6" fillId="0" borderId="0" xfId="1256" applyNumberFormat="1" applyFont="1" applyFill="1"/>
    <xf numFmtId="165" fontId="6" fillId="0" borderId="0" xfId="513" applyNumberFormat="1" applyFont="1" applyFill="1"/>
    <xf numFmtId="0" fontId="6" fillId="0" borderId="18" xfId="0" applyFont="1" applyBorder="1"/>
    <xf numFmtId="0" fontId="6" fillId="0" borderId="5" xfId="0" applyFont="1" applyBorder="1"/>
    <xf numFmtId="165" fontId="6" fillId="0" borderId="5" xfId="513" applyNumberFormat="1" applyFont="1" applyFill="1" applyBorder="1"/>
    <xf numFmtId="165" fontId="8" fillId="0" borderId="5" xfId="513" applyNumberFormat="1" applyFont="1" applyFill="1" applyBorder="1"/>
    <xf numFmtId="165" fontId="6" fillId="0" borderId="19" xfId="513" applyNumberFormat="1" applyFont="1" applyFill="1" applyBorder="1"/>
    <xf numFmtId="44" fontId="8" fillId="0" borderId="20" xfId="513" applyFont="1" applyFill="1" applyBorder="1"/>
    <xf numFmtId="44" fontId="8" fillId="0" borderId="0" xfId="513" applyFont="1" applyFill="1" applyBorder="1"/>
    <xf numFmtId="0" fontId="8" fillId="0" borderId="0" xfId="0" applyFont="1"/>
    <xf numFmtId="0" fontId="6" fillId="0" borderId="21" xfId="0" applyFont="1" applyBorder="1"/>
    <xf numFmtId="10" fontId="8" fillId="0" borderId="20" xfId="0" applyNumberFormat="1" applyFont="1" applyBorder="1" applyAlignment="1">
      <alignment horizontal="right"/>
    </xf>
    <xf numFmtId="10" fontId="8" fillId="0" borderId="0" xfId="0" applyNumberFormat="1" applyFont="1" applyAlignment="1">
      <alignment horizontal="right"/>
    </xf>
    <xf numFmtId="167" fontId="8" fillId="0" borderId="0" xfId="514" applyNumberFormat="1" applyFont="1" applyFill="1" applyBorder="1"/>
    <xf numFmtId="0" fontId="9" fillId="0" borderId="0" xfId="0" applyFont="1"/>
    <xf numFmtId="40" fontId="8" fillId="0" borderId="20" xfId="0" applyNumberFormat="1" applyFont="1" applyBorder="1"/>
    <xf numFmtId="37" fontId="8" fillId="0" borderId="0" xfId="514" applyNumberFormat="1" applyFont="1" applyFill="1" applyBorder="1" applyAlignment="1">
      <alignment horizontal="right"/>
    </xf>
    <xf numFmtId="38" fontId="8" fillId="0" borderId="20" xfId="0" applyNumberFormat="1" applyFont="1" applyBorder="1"/>
    <xf numFmtId="37" fontId="8" fillId="0" borderId="0" xfId="514" applyNumberFormat="1" applyFont="1" applyFill="1" applyBorder="1"/>
    <xf numFmtId="0" fontId="9" fillId="0" borderId="0" xfId="0" applyFont="1" applyAlignment="1">
      <alignment horizontal="left"/>
    </xf>
    <xf numFmtId="10" fontId="8" fillId="0" borderId="18" xfId="0" applyNumberFormat="1" applyFont="1" applyBorder="1" applyAlignment="1">
      <alignment horizontal="center"/>
    </xf>
    <xf numFmtId="10" fontId="8" fillId="0" borderId="5" xfId="0" applyNumberFormat="1" applyFont="1" applyBorder="1" applyAlignment="1">
      <alignment horizontal="center"/>
    </xf>
    <xf numFmtId="0" fontId="8" fillId="0" borderId="5" xfId="0" applyFont="1" applyBorder="1"/>
    <xf numFmtId="0" fontId="10" fillId="0" borderId="5" xfId="0" applyFont="1" applyBorder="1"/>
    <xf numFmtId="0" fontId="6" fillId="0" borderId="19" xfId="0" applyFont="1" applyBorder="1"/>
    <xf numFmtId="10" fontId="8" fillId="0" borderId="20" xfId="515" applyNumberFormat="1" applyFont="1" applyFill="1" applyBorder="1"/>
    <xf numFmtId="10" fontId="8" fillId="0" borderId="0" xfId="515" applyNumberFormat="1" applyFont="1" applyFill="1" applyBorder="1"/>
    <xf numFmtId="0" fontId="8" fillId="0" borderId="0" xfId="0" applyFont="1" applyAlignment="1">
      <alignment horizontal="left"/>
    </xf>
    <xf numFmtId="10" fontId="8" fillId="0" borderId="20" xfId="0" applyNumberFormat="1" applyFont="1" applyBorder="1"/>
    <xf numFmtId="10" fontId="8" fillId="0" borderId="0" xfId="0" applyNumberFormat="1" applyFont="1"/>
    <xf numFmtId="44" fontId="8" fillId="0" borderId="20" xfId="0" applyNumberFormat="1" applyFont="1" applyBorder="1" applyAlignment="1">
      <alignment horizontal="center"/>
    </xf>
    <xf numFmtId="42" fontId="8" fillId="0" borderId="20" xfId="0" applyNumberFormat="1" applyFont="1" applyBorder="1" applyAlignment="1">
      <alignment horizontal="center"/>
    </xf>
    <xf numFmtId="10" fontId="8" fillId="0" borderId="20" xfId="0" applyNumberFormat="1" applyFont="1" applyBorder="1" applyAlignment="1">
      <alignment horizontal="center"/>
    </xf>
    <xf numFmtId="0" fontId="10" fillId="0" borderId="0" xfId="0" applyFont="1"/>
    <xf numFmtId="4" fontId="8" fillId="0" borderId="20" xfId="0" applyNumberFormat="1" applyFont="1" applyBorder="1"/>
    <xf numFmtId="37" fontId="8" fillId="0" borderId="20" xfId="0" applyNumberFormat="1" applyFont="1" applyBorder="1" applyAlignment="1">
      <alignment horizontal="right"/>
    </xf>
    <xf numFmtId="37" fontId="8" fillId="0" borderId="0" xfId="0" applyNumberFormat="1" applyFont="1" applyAlignment="1">
      <alignment horizontal="right"/>
    </xf>
    <xf numFmtId="43" fontId="8" fillId="0" borderId="0" xfId="1256" applyFont="1" applyFill="1" applyBorder="1" applyAlignment="1">
      <alignment horizontal="right"/>
    </xf>
    <xf numFmtId="165" fontId="8" fillId="0" borderId="0" xfId="513" applyNumberFormat="1" applyFont="1" applyFill="1" applyBorder="1"/>
    <xf numFmtId="165" fontId="8" fillId="0" borderId="20" xfId="513" applyNumberFormat="1" applyFont="1" applyFill="1" applyBorder="1" applyAlignment="1">
      <alignment horizontal="center"/>
    </xf>
    <xf numFmtId="165" fontId="8" fillId="0" borderId="0" xfId="513" applyNumberFormat="1" applyFont="1" applyFill="1" applyBorder="1" applyAlignment="1">
      <alignment horizontal="center"/>
    </xf>
    <xf numFmtId="165" fontId="8" fillId="0" borderId="20" xfId="0" applyNumberFormat="1" applyFont="1" applyBorder="1" applyAlignment="1">
      <alignment horizontal="center"/>
    </xf>
    <xf numFmtId="165" fontId="8" fillId="0" borderId="22" xfId="513" applyNumberFormat="1" applyFont="1" applyFill="1" applyBorder="1" applyAlignment="1">
      <alignment horizontal="center"/>
    </xf>
    <xf numFmtId="165" fontId="8" fillId="0" borderId="2" xfId="513" applyNumberFormat="1" applyFont="1" applyFill="1" applyBorder="1" applyAlignment="1">
      <alignment horizontal="center"/>
    </xf>
    <xf numFmtId="165" fontId="8" fillId="0" borderId="2" xfId="513" applyNumberFormat="1" applyFont="1" applyFill="1" applyBorder="1"/>
    <xf numFmtId="167" fontId="8" fillId="0" borderId="20" xfId="0" applyNumberFormat="1" applyFont="1" applyBorder="1" applyAlignment="1">
      <alignment horizontal="center"/>
    </xf>
    <xf numFmtId="0" fontId="6" fillId="0" borderId="2" xfId="0" applyFont="1" applyBorder="1"/>
    <xf numFmtId="0" fontId="8" fillId="0" borderId="2" xfId="0" applyFont="1" applyBorder="1"/>
    <xf numFmtId="0" fontId="6" fillId="0" borderId="23" xfId="0" applyFont="1" applyBorder="1"/>
    <xf numFmtId="38" fontId="8" fillId="0" borderId="24" xfId="0" applyNumberFormat="1" applyFont="1" applyBorder="1"/>
    <xf numFmtId="43" fontId="8" fillId="0" borderId="0" xfId="514" applyFont="1" applyFill="1" applyBorder="1" applyAlignment="1">
      <alignment horizontal="center"/>
    </xf>
    <xf numFmtId="166" fontId="8" fillId="0" borderId="20" xfId="0" applyNumberFormat="1" applyFont="1" applyBorder="1" applyAlignment="1">
      <alignment horizontal="center"/>
    </xf>
    <xf numFmtId="0" fontId="11" fillId="0" borderId="0" xfId="0" applyFont="1"/>
    <xf numFmtId="2" fontId="9" fillId="0" borderId="20" xfId="0" applyNumberFormat="1" applyFont="1" applyBorder="1" applyAlignment="1">
      <alignment horizontal="center"/>
    </xf>
    <xf numFmtId="38" fontId="9" fillId="0" borderId="20" xfId="0" applyNumberFormat="1" applyFont="1" applyBorder="1"/>
    <xf numFmtId="38" fontId="9" fillId="0" borderId="25" xfId="0" applyNumberFormat="1" applyFont="1" applyBorder="1"/>
    <xf numFmtId="38" fontId="9" fillId="0" borderId="6" xfId="0" applyNumberFormat="1" applyFont="1" applyBorder="1"/>
    <xf numFmtId="10" fontId="9" fillId="0" borderId="20" xfId="0" applyNumberFormat="1" applyFont="1" applyBorder="1"/>
    <xf numFmtId="0" fontId="11" fillId="0" borderId="21" xfId="0" applyFont="1" applyBorder="1"/>
    <xf numFmtId="0" fontId="12" fillId="0" borderId="0" xfId="0" applyFont="1"/>
    <xf numFmtId="0" fontId="13" fillId="0" borderId="0" xfId="0" applyFont="1"/>
    <xf numFmtId="10" fontId="14" fillId="0" borderId="20" xfId="0" applyNumberFormat="1" applyFont="1" applyBorder="1"/>
    <xf numFmtId="0" fontId="12" fillId="0" borderId="21" xfId="0" applyFont="1" applyBorder="1"/>
    <xf numFmtId="38" fontId="9" fillId="0" borderId="22" xfId="0" applyNumberFormat="1" applyFont="1" applyBorder="1"/>
    <xf numFmtId="38" fontId="9" fillId="0" borderId="2" xfId="0" applyNumberFormat="1" applyFont="1" applyBorder="1"/>
    <xf numFmtId="38" fontId="9" fillId="0" borderId="26" xfId="0" applyNumberFormat="1" applyFont="1" applyBorder="1"/>
    <xf numFmtId="38" fontId="9" fillId="0" borderId="11" xfId="0" applyNumberFormat="1" applyFont="1" applyBorder="1"/>
    <xf numFmtId="38" fontId="8" fillId="0" borderId="22" xfId="0" applyNumberFormat="1" applyFont="1" applyBorder="1"/>
    <xf numFmtId="38" fontId="8" fillId="0" borderId="2" xfId="0" applyNumberFormat="1" applyFont="1" applyBorder="1"/>
    <xf numFmtId="167" fontId="8" fillId="0" borderId="20" xfId="514" applyNumberFormat="1" applyFont="1" applyFill="1" applyBorder="1"/>
    <xf numFmtId="9" fontId="8" fillId="0" borderId="0" xfId="515" applyFont="1" applyFill="1" applyBorder="1"/>
    <xf numFmtId="167" fontId="8" fillId="0" borderId="26" xfId="514" applyNumberFormat="1" applyFont="1" applyFill="1" applyBorder="1"/>
    <xf numFmtId="167" fontId="8" fillId="0" borderId="11" xfId="514" applyNumberFormat="1" applyFont="1" applyFill="1" applyBorder="1"/>
    <xf numFmtId="41" fontId="8" fillId="2" borderId="0" xfId="513" applyNumberFormat="1" applyFont="1" applyFill="1" applyBorder="1" applyAlignment="1">
      <alignment horizontal="right"/>
    </xf>
    <xf numFmtId="165" fontId="8" fillId="0" borderId="20" xfId="513" applyNumberFormat="1" applyFont="1" applyFill="1" applyBorder="1"/>
    <xf numFmtId="0" fontId="16" fillId="0" borderId="0" xfId="0" applyFont="1"/>
    <xf numFmtId="0" fontId="10" fillId="0" borderId="20" xfId="0" applyFont="1" applyBorder="1" applyAlignment="1">
      <alignment horizontal="center"/>
    </xf>
    <xf numFmtId="0" fontId="17" fillId="0" borderId="0" xfId="0" applyFont="1"/>
    <xf numFmtId="0" fontId="6" fillId="0" borderId="27" xfId="0" applyFont="1" applyBorder="1"/>
    <xf numFmtId="0" fontId="6" fillId="0" borderId="28" xfId="0" applyFont="1" applyBorder="1"/>
    <xf numFmtId="3" fontId="9" fillId="0" borderId="28" xfId="0" applyNumberFormat="1" applyFont="1" applyBorder="1"/>
    <xf numFmtId="0" fontId="9" fillId="0" borderId="28" xfId="0" applyFont="1" applyBorder="1" applyAlignment="1">
      <alignment horizontal="right"/>
    </xf>
    <xf numFmtId="0" fontId="6" fillId="0" borderId="29" xfId="0" applyFont="1" applyBorder="1"/>
    <xf numFmtId="43" fontId="6" fillId="0" borderId="0" xfId="514" applyFont="1" applyFill="1"/>
    <xf numFmtId="9" fontId="6" fillId="0" borderId="0" xfId="515" applyFont="1" applyFill="1" applyBorder="1"/>
    <xf numFmtId="3" fontId="11" fillId="0" borderId="0" xfId="0" applyNumberFormat="1" applyFont="1"/>
    <xf numFmtId="0" fontId="11" fillId="0" borderId="0" xfId="0" applyFont="1" applyAlignment="1">
      <alignment horizontal="right"/>
    </xf>
    <xf numFmtId="167" fontId="8" fillId="0" borderId="0" xfId="1256" applyNumberFormat="1" applyFont="1" applyFill="1" applyAlignment="1">
      <alignment horizontal="right"/>
    </xf>
    <xf numFmtId="167" fontId="8" fillId="0" borderId="0" xfId="1256" applyNumberFormat="1" applyFont="1" applyFill="1" applyBorder="1"/>
    <xf numFmtId="167" fontId="9" fillId="0" borderId="0" xfId="1256" applyNumberFormat="1" applyFont="1" applyFill="1" applyBorder="1"/>
    <xf numFmtId="0" fontId="9" fillId="0" borderId="0" xfId="0" applyFont="1" applyAlignment="1">
      <alignment horizontal="right"/>
    </xf>
    <xf numFmtId="167" fontId="6" fillId="0" borderId="0" xfId="0" applyNumberFormat="1" applyFont="1"/>
    <xf numFmtId="173" fontId="6" fillId="0" borderId="0" xfId="1256" applyNumberFormat="1" applyFont="1" applyFill="1" applyBorder="1"/>
    <xf numFmtId="167" fontId="8" fillId="0" borderId="2" xfId="1256" applyNumberFormat="1" applyFont="1" applyFill="1" applyBorder="1" applyAlignment="1">
      <alignment horizontal="right"/>
    </xf>
    <xf numFmtId="0" fontId="9" fillId="0" borderId="2" xfId="0" applyFont="1" applyBorder="1" applyAlignment="1">
      <alignment horizontal="right"/>
    </xf>
    <xf numFmtId="43" fontId="19" fillId="0" borderId="0" xfId="1256" applyFont="1" applyFill="1" applyBorder="1"/>
    <xf numFmtId="0" fontId="8" fillId="0" borderId="0" xfId="0" applyFont="1" applyAlignment="1">
      <alignment horizontal="right"/>
    </xf>
    <xf numFmtId="0" fontId="17" fillId="0" borderId="3" xfId="0" applyFont="1" applyBorder="1"/>
    <xf numFmtId="43" fontId="8" fillId="0" borderId="0" xfId="0" applyNumberFormat="1" applyFont="1"/>
    <xf numFmtId="174" fontId="8" fillId="0" borderId="0" xfId="0" applyNumberFormat="1" applyFont="1"/>
    <xf numFmtId="167" fontId="8" fillId="0" borderId="0" xfId="1256" applyNumberFormat="1" applyFont="1" applyFill="1"/>
    <xf numFmtId="43" fontId="9" fillId="0" borderId="0" xfId="0" applyNumberFormat="1" applyFont="1"/>
    <xf numFmtId="167" fontId="8" fillId="0" borderId="0" xfId="0" applyNumberFormat="1" applyFont="1"/>
    <xf numFmtId="167" fontId="9" fillId="3" borderId="0" xfId="514" applyNumberFormat="1" applyFont="1" applyFill="1"/>
    <xf numFmtId="38" fontId="8" fillId="0" borderId="0" xfId="0" applyNumberFormat="1" applyFont="1" applyAlignment="1">
      <alignment horizontal="right"/>
    </xf>
    <xf numFmtId="43" fontId="8" fillId="0" borderId="0" xfId="0" applyNumberFormat="1" applyFont="1" applyAlignment="1">
      <alignment horizontal="left"/>
    </xf>
    <xf numFmtId="44" fontId="9" fillId="0" borderId="0" xfId="0" applyNumberFormat="1" applyFont="1"/>
    <xf numFmtId="165" fontId="8" fillId="0" borderId="0" xfId="0" applyNumberFormat="1" applyFont="1" applyAlignment="1">
      <alignment horizontal="right"/>
    </xf>
    <xf numFmtId="43" fontId="8" fillId="0" borderId="0" xfId="1256" applyFont="1" applyFill="1" applyBorder="1" applyAlignment="1">
      <alignment horizontal="left"/>
    </xf>
    <xf numFmtId="43" fontId="8" fillId="0" borderId="0" xfId="1256" applyFont="1" applyFill="1" applyBorder="1"/>
    <xf numFmtId="167" fontId="9" fillId="0" borderId="0" xfId="0" applyNumberFormat="1" applyFont="1"/>
    <xf numFmtId="167" fontId="8" fillId="0" borderId="3" xfId="514" applyNumberFormat="1" applyFont="1" applyFill="1" applyBorder="1" applyAlignment="1">
      <alignment horizontal="right"/>
    </xf>
    <xf numFmtId="3" fontId="8" fillId="0" borderId="0" xfId="0" applyNumberFormat="1" applyFont="1"/>
    <xf numFmtId="9" fontId="8" fillId="0" borderId="0" xfId="515" applyFont="1" applyFill="1"/>
    <xf numFmtId="165" fontId="8" fillId="0" borderId="2" xfId="0" applyNumberFormat="1" applyFont="1" applyBorder="1" applyAlignment="1">
      <alignment horizontal="right"/>
    </xf>
    <xf numFmtId="167" fontId="8" fillId="0" borderId="0" xfId="514" applyNumberFormat="1" applyFont="1" applyFill="1" applyBorder="1" applyAlignment="1">
      <alignment horizontal="right"/>
    </xf>
    <xf numFmtId="39" fontId="8" fillId="0" borderId="0" xfId="514" applyNumberFormat="1" applyFont="1" applyFill="1" applyBorder="1" applyAlignment="1">
      <alignment horizontal="right"/>
    </xf>
    <xf numFmtId="10" fontId="8" fillId="0" borderId="0" xfId="515" applyNumberFormat="1" applyFont="1" applyFill="1" applyBorder="1" applyAlignment="1">
      <alignment horizontal="right"/>
    </xf>
    <xf numFmtId="169" fontId="9" fillId="0" borderId="0" xfId="0" applyNumberFormat="1" applyFont="1"/>
    <xf numFmtId="167" fontId="8" fillId="0" borderId="0" xfId="514" applyNumberFormat="1" applyFont="1" applyFill="1" applyAlignment="1">
      <alignment horizontal="right"/>
    </xf>
    <xf numFmtId="0" fontId="20" fillId="0" borderId="0" xfId="0" applyFont="1"/>
    <xf numFmtId="0" fontId="21" fillId="0" borderId="0" xfId="0" applyFont="1"/>
    <xf numFmtId="3" fontId="8" fillId="0" borderId="0" xfId="0" applyNumberFormat="1" applyFont="1" applyAlignment="1">
      <alignment horizontal="right"/>
    </xf>
    <xf numFmtId="0" fontId="22" fillId="0" borderId="0" xfId="0" applyFont="1"/>
    <xf numFmtId="0" fontId="8" fillId="0" borderId="3" xfId="0" applyFont="1" applyBorder="1" applyAlignment="1">
      <alignment horizontal="right"/>
    </xf>
    <xf numFmtId="37" fontId="8" fillId="0" borderId="10" xfId="0" applyNumberFormat="1" applyFont="1" applyBorder="1" applyAlignment="1">
      <alignment horizontal="right"/>
    </xf>
    <xf numFmtId="37" fontId="8" fillId="0" borderId="3" xfId="0" applyNumberFormat="1" applyFont="1" applyBorder="1" applyAlignment="1">
      <alignment horizontal="right"/>
    </xf>
    <xf numFmtId="38" fontId="8" fillId="0" borderId="3" xfId="0" applyNumberFormat="1" applyFont="1" applyBorder="1" applyAlignment="1">
      <alignment horizontal="right"/>
    </xf>
    <xf numFmtId="3" fontId="8" fillId="0" borderId="3" xfId="0" applyNumberFormat="1" applyFont="1" applyBorder="1" applyAlignment="1">
      <alignment horizontal="right"/>
    </xf>
    <xf numFmtId="10" fontId="8" fillId="0" borderId="3" xfId="515" applyNumberFormat="1" applyFont="1" applyFill="1" applyBorder="1" applyAlignment="1">
      <alignment horizontal="right"/>
    </xf>
    <xf numFmtId="0" fontId="8" fillId="0" borderId="3" xfId="0" applyFont="1" applyBorder="1"/>
    <xf numFmtId="0" fontId="8" fillId="0" borderId="9" xfId="0" applyFont="1" applyBorder="1"/>
    <xf numFmtId="0" fontId="6" fillId="0" borderId="0" xfId="0" quotePrefix="1" applyFont="1"/>
    <xf numFmtId="170" fontId="8" fillId="0" borderId="0" xfId="0" applyNumberFormat="1" applyFont="1"/>
    <xf numFmtId="10" fontId="8" fillId="0" borderId="8" xfId="0" applyNumberFormat="1" applyFont="1" applyBorder="1"/>
    <xf numFmtId="0" fontId="8" fillId="0" borderId="1" xfId="0" applyFont="1" applyBorder="1"/>
    <xf numFmtId="43" fontId="8" fillId="0" borderId="0" xfId="1256" applyFont="1" applyFill="1"/>
    <xf numFmtId="10" fontId="8" fillId="2" borderId="0" xfId="0" applyNumberFormat="1" applyFont="1" applyFill="1" applyAlignment="1">
      <alignment horizontal="right"/>
    </xf>
    <xf numFmtId="0" fontId="8" fillId="0" borderId="8" xfId="0" applyFont="1" applyBorder="1"/>
    <xf numFmtId="0" fontId="23" fillId="0" borderId="0" xfId="0" applyFont="1"/>
    <xf numFmtId="165" fontId="8" fillId="2" borderId="0" xfId="513" applyNumberFormat="1" applyFont="1" applyFill="1" applyAlignment="1">
      <alignment horizontal="right"/>
    </xf>
    <xf numFmtId="39" fontId="8" fillId="0" borderId="8" xfId="514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43" fontId="8" fillId="0" borderId="0" xfId="515" applyNumberFormat="1" applyFont="1" applyFill="1" applyBorder="1" applyAlignment="1">
      <alignment horizontal="center"/>
    </xf>
    <xf numFmtId="10" fontId="8" fillId="2" borderId="0" xfId="515" applyNumberFormat="1" applyFont="1" applyFill="1" applyAlignment="1">
      <alignment horizontal="right"/>
    </xf>
    <xf numFmtId="9" fontId="8" fillId="0" borderId="8" xfId="0" applyNumberFormat="1" applyFont="1" applyBorder="1"/>
    <xf numFmtId="9" fontId="8" fillId="0" borderId="0" xfId="0" applyNumberFormat="1" applyFont="1"/>
    <xf numFmtId="44" fontId="8" fillId="0" borderId="8" xfId="0" applyNumberFormat="1" applyFont="1" applyBorder="1"/>
    <xf numFmtId="44" fontId="8" fillId="0" borderId="0" xfId="0" applyNumberFormat="1" applyFont="1"/>
    <xf numFmtId="175" fontId="8" fillId="0" borderId="0" xfId="0" applyNumberFormat="1" applyFont="1" applyAlignment="1">
      <alignment horizontal="right"/>
    </xf>
    <xf numFmtId="10" fontId="8" fillId="2" borderId="0" xfId="0" applyNumberFormat="1" applyFont="1" applyFill="1"/>
    <xf numFmtId="0" fontId="8" fillId="2" borderId="0" xfId="0" applyFont="1" applyFill="1"/>
    <xf numFmtId="43" fontId="8" fillId="0" borderId="8" xfId="515" applyNumberFormat="1" applyFont="1" applyFill="1" applyBorder="1" applyAlignment="1">
      <alignment horizontal="center"/>
    </xf>
    <xf numFmtId="171" fontId="8" fillId="0" borderId="8" xfId="514" applyNumberFormat="1" applyFont="1" applyFill="1" applyBorder="1" applyAlignment="1"/>
    <xf numFmtId="171" fontId="8" fillId="0" borderId="0" xfId="514" applyNumberFormat="1" applyFont="1" applyFill="1" applyBorder="1" applyAlignment="1"/>
    <xf numFmtId="44" fontId="10" fillId="0" borderId="0" xfId="513" applyFont="1" applyFill="1" applyBorder="1" applyAlignment="1">
      <alignment horizontal="right"/>
    </xf>
    <xf numFmtId="0" fontId="24" fillId="0" borderId="0" xfId="0" applyFont="1" applyAlignment="1">
      <alignment horizontal="left"/>
    </xf>
    <xf numFmtId="10" fontId="8" fillId="0" borderId="8" xfId="1257" applyNumberFormat="1" applyFont="1" applyFill="1" applyBorder="1" applyAlignment="1"/>
    <xf numFmtId="10" fontId="8" fillId="0" borderId="0" xfId="1257" applyNumberFormat="1" applyFont="1" applyFill="1" applyBorder="1" applyAlignment="1"/>
    <xf numFmtId="1" fontId="10" fillId="0" borderId="0" xfId="513" applyNumberFormat="1" applyFont="1" applyFill="1" applyBorder="1" applyAlignment="1">
      <alignment horizontal="right"/>
    </xf>
    <xf numFmtId="167" fontId="8" fillId="0" borderId="0" xfId="514" applyNumberFormat="1" applyFont="1" applyFill="1"/>
    <xf numFmtId="42" fontId="8" fillId="2" borderId="0" xfId="0" applyNumberFormat="1" applyFont="1" applyFill="1" applyAlignment="1">
      <alignment horizontal="right"/>
    </xf>
    <xf numFmtId="42" fontId="8" fillId="2" borderId="0" xfId="513" applyNumberFormat="1" applyFont="1" applyFill="1" applyAlignment="1">
      <alignment horizontal="right"/>
    </xf>
    <xf numFmtId="43" fontId="23" fillId="0" borderId="8" xfId="514" applyFont="1" applyFill="1" applyBorder="1" applyAlignment="1"/>
    <xf numFmtId="43" fontId="23" fillId="0" borderId="0" xfId="514" applyFont="1" applyFill="1" applyBorder="1" applyAlignment="1"/>
    <xf numFmtId="10" fontId="23" fillId="0" borderId="0" xfId="515" applyNumberFormat="1" applyFont="1" applyFill="1" applyBorder="1" applyAlignment="1">
      <alignment horizontal="right"/>
    </xf>
    <xf numFmtId="4" fontId="8" fillId="0" borderId="0" xfId="0" applyNumberFormat="1" applyFont="1" applyAlignment="1">
      <alignment horizontal="right"/>
    </xf>
    <xf numFmtId="168" fontId="8" fillId="2" borderId="0" xfId="0" applyNumberFormat="1" applyFont="1" applyFill="1" applyAlignment="1">
      <alignment horizontal="right"/>
    </xf>
    <xf numFmtId="0" fontId="10" fillId="0" borderId="17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17" fillId="0" borderId="0" xfId="0" applyFont="1" applyAlignment="1">
      <alignment horizontal="left" vertical="center"/>
    </xf>
    <xf numFmtId="164" fontId="17" fillId="0" borderId="0" xfId="0" applyNumberFormat="1" applyFont="1" applyAlignment="1">
      <alignment horizontal="left" vertical="center"/>
    </xf>
    <xf numFmtId="165" fontId="25" fillId="0" borderId="2" xfId="513" applyNumberFormat="1" applyFont="1" applyFill="1" applyBorder="1" applyAlignment="1">
      <alignment horizontal="right"/>
    </xf>
    <xf numFmtId="3" fontId="8" fillId="0" borderId="2" xfId="0" applyNumberFormat="1" applyFont="1" applyBorder="1" applyAlignment="1">
      <alignment horizontal="right"/>
    </xf>
    <xf numFmtId="167" fontId="8" fillId="0" borderId="0" xfId="514" applyNumberFormat="1" applyFont="1" applyFill="1" applyAlignment="1">
      <alignment horizontal="left" vertical="center"/>
    </xf>
    <xf numFmtId="43" fontId="8" fillId="2" borderId="0" xfId="514" applyFont="1" applyFill="1" applyAlignment="1">
      <alignment horizontal="right"/>
    </xf>
    <xf numFmtId="168" fontId="9" fillId="2" borderId="0" xfId="0" applyNumberFormat="1" applyFont="1" applyFill="1" applyAlignment="1">
      <alignment horizontal="right"/>
    </xf>
    <xf numFmtId="43" fontId="17" fillId="0" borderId="0" xfId="514" applyFont="1" applyFill="1" applyAlignment="1">
      <alignment horizontal="left" vertical="center"/>
    </xf>
    <xf numFmtId="165" fontId="8" fillId="0" borderId="0" xfId="513" applyNumberFormat="1" applyFont="1" applyFill="1" applyAlignment="1">
      <alignment horizontal="left" vertical="center"/>
    </xf>
    <xf numFmtId="44" fontId="8" fillId="2" borderId="0" xfId="0" applyNumberFormat="1" applyFont="1" applyFill="1" applyAlignment="1">
      <alignment horizontal="right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49" fontId="30" fillId="0" borderId="0" xfId="0" quotePrefix="1" applyNumberFormat="1" applyFont="1" applyAlignment="1">
      <alignment horizontal="left" vertical="center"/>
    </xf>
    <xf numFmtId="0" fontId="8" fillId="0" borderId="7" xfId="0" applyFont="1" applyFill="1" applyBorder="1"/>
    <xf numFmtId="0" fontId="8" fillId="0" borderId="2" xfId="0" applyFont="1" applyFill="1" applyBorder="1"/>
    <xf numFmtId="0" fontId="8" fillId="0" borderId="2" xfId="0" applyFont="1" applyFill="1" applyBorder="1" applyAlignment="1">
      <alignment horizontal="right"/>
    </xf>
    <xf numFmtId="0" fontId="8" fillId="0" borderId="17" xfId="0" applyFont="1" applyFill="1" applyBorder="1" applyAlignment="1">
      <alignment horizontal="right"/>
    </xf>
    <xf numFmtId="0" fontId="8" fillId="0" borderId="1" xfId="0" applyFont="1" applyFill="1" applyBorder="1"/>
    <xf numFmtId="0" fontId="8" fillId="0" borderId="0" xfId="0" applyFont="1" applyFill="1"/>
    <xf numFmtId="0" fontId="8" fillId="0" borderId="8" xfId="0" applyFont="1" applyFill="1" applyBorder="1"/>
    <xf numFmtId="44" fontId="8" fillId="0" borderId="0" xfId="0" applyNumberFormat="1" applyFont="1" applyFill="1"/>
    <xf numFmtId="9" fontId="8" fillId="0" borderId="8" xfId="0" applyNumberFormat="1" applyFont="1" applyFill="1" applyBorder="1"/>
    <xf numFmtId="0" fontId="6" fillId="0" borderId="1" xfId="0" applyFont="1" applyFill="1" applyBorder="1"/>
    <xf numFmtId="0" fontId="6" fillId="0" borderId="0" xfId="0" applyFont="1" applyFill="1"/>
    <xf numFmtId="0" fontId="6" fillId="0" borderId="8" xfId="0" applyFont="1" applyFill="1" applyBorder="1"/>
    <xf numFmtId="2" fontId="8" fillId="0" borderId="0" xfId="0" applyNumberFormat="1" applyFont="1" applyFill="1"/>
    <xf numFmtId="10" fontId="8" fillId="0" borderId="8" xfId="0" applyNumberFormat="1" applyFont="1" applyFill="1" applyBorder="1"/>
    <xf numFmtId="43" fontId="8" fillId="0" borderId="0" xfId="0" applyNumberFormat="1" applyFont="1" applyFill="1"/>
    <xf numFmtId="0" fontId="8" fillId="0" borderId="9" xfId="0" applyFont="1" applyFill="1" applyBorder="1"/>
    <xf numFmtId="0" fontId="8" fillId="0" borderId="3" xfId="0" applyFont="1" applyFill="1" applyBorder="1"/>
    <xf numFmtId="43" fontId="8" fillId="0" borderId="3" xfId="0" applyNumberFormat="1" applyFont="1" applyFill="1" applyBorder="1"/>
    <xf numFmtId="10" fontId="8" fillId="0" borderId="10" xfId="0" applyNumberFormat="1" applyFont="1" applyFill="1" applyBorder="1"/>
    <xf numFmtId="0" fontId="6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8" fillId="0" borderId="0" xfId="0" applyFont="1" applyBorder="1"/>
    <xf numFmtId="0" fontId="16" fillId="0" borderId="0" xfId="0" applyFont="1" applyBorder="1"/>
    <xf numFmtId="165" fontId="6" fillId="0" borderId="0" xfId="513" applyNumberFormat="1" applyFont="1" applyFill="1" applyBorder="1"/>
    <xf numFmtId="0" fontId="10" fillId="0" borderId="0" xfId="0" applyFont="1" applyBorder="1" applyAlignment="1">
      <alignment horizontal="center"/>
    </xf>
    <xf numFmtId="0" fontId="18" fillId="0" borderId="21" xfId="0" applyFont="1" applyBorder="1"/>
    <xf numFmtId="0" fontId="17" fillId="0" borderId="0" xfId="0" applyFont="1" applyBorder="1"/>
    <xf numFmtId="0" fontId="15" fillId="0" borderId="0" xfId="0" applyFont="1" applyBorder="1" applyAlignment="1">
      <alignment horizontal="left"/>
    </xf>
    <xf numFmtId="38" fontId="8" fillId="0" borderId="0" xfId="0" applyNumberFormat="1" applyFont="1" applyBorder="1"/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0" xfId="0" applyFont="1" applyBorder="1"/>
    <xf numFmtId="38" fontId="9" fillId="0" borderId="0" xfId="0" applyNumberFormat="1" applyFont="1" applyBorder="1"/>
    <xf numFmtId="38" fontId="9" fillId="0" borderId="0" xfId="0" applyNumberFormat="1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38" fontId="14" fillId="0" borderId="0" xfId="0" applyNumberFormat="1" applyFont="1" applyBorder="1" applyAlignment="1">
      <alignment horizontal="center"/>
    </xf>
    <xf numFmtId="38" fontId="14" fillId="0" borderId="0" xfId="0" applyNumberFormat="1" applyFont="1" applyBorder="1"/>
    <xf numFmtId="10" fontId="14" fillId="0" borderId="0" xfId="0" applyNumberFormat="1" applyFont="1" applyBorder="1"/>
    <xf numFmtId="10" fontId="9" fillId="0" borderId="0" xfId="0" applyNumberFormat="1" applyFont="1" applyBorder="1"/>
    <xf numFmtId="38" fontId="8" fillId="0" borderId="0" xfId="0" applyNumberFormat="1" applyFont="1" applyBorder="1" applyAlignment="1">
      <alignment horizontal="center"/>
    </xf>
    <xf numFmtId="38" fontId="8" fillId="0" borderId="0" xfId="0" applyNumberFormat="1" applyFont="1" applyBorder="1" applyAlignment="1">
      <alignment horizontal="left"/>
    </xf>
    <xf numFmtId="2" fontId="9" fillId="0" borderId="0" xfId="0" applyNumberFormat="1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166" fontId="8" fillId="0" borderId="0" xfId="0" applyNumberFormat="1" applyFont="1" applyBorder="1" applyAlignment="1">
      <alignment horizontal="center"/>
    </xf>
    <xf numFmtId="10" fontId="8" fillId="0" borderId="0" xfId="0" applyNumberFormat="1" applyFont="1" applyBorder="1" applyAlignment="1">
      <alignment horizontal="center"/>
    </xf>
    <xf numFmtId="165" fontId="8" fillId="0" borderId="0" xfId="0" applyNumberFormat="1" applyFont="1" applyBorder="1" applyAlignment="1">
      <alignment horizontal="center"/>
    </xf>
    <xf numFmtId="167" fontId="8" fillId="0" borderId="0" xfId="0" applyNumberFormat="1" applyFont="1" applyBorder="1" applyAlignment="1">
      <alignment horizontal="center"/>
    </xf>
    <xf numFmtId="43" fontId="8" fillId="0" borderId="20" xfId="1256" applyFont="1" applyFill="1" applyBorder="1" applyAlignment="1">
      <alignment horizontal="right"/>
    </xf>
    <xf numFmtId="37" fontId="8" fillId="0" borderId="0" xfId="0" applyNumberFormat="1" applyFont="1" applyBorder="1" applyAlignment="1">
      <alignment horizontal="right"/>
    </xf>
    <xf numFmtId="4" fontId="8" fillId="0" borderId="0" xfId="0" applyNumberFormat="1" applyFont="1" applyBorder="1"/>
    <xf numFmtId="0" fontId="10" fillId="0" borderId="0" xfId="0" applyFont="1" applyBorder="1"/>
    <xf numFmtId="42" fontId="8" fillId="0" borderId="0" xfId="0" applyNumberFormat="1" applyFont="1" applyBorder="1" applyAlignment="1">
      <alignment horizontal="center"/>
    </xf>
    <xf numFmtId="44" fontId="8" fillId="0" borderId="0" xfId="0" applyNumberFormat="1" applyFont="1" applyBorder="1" applyAlignment="1">
      <alignment horizontal="center"/>
    </xf>
    <xf numFmtId="10" fontId="8" fillId="0" borderId="0" xfId="0" applyNumberFormat="1" applyFont="1" applyBorder="1"/>
    <xf numFmtId="40" fontId="8" fillId="0" borderId="0" xfId="0" applyNumberFormat="1" applyFont="1" applyBorder="1"/>
    <xf numFmtId="10" fontId="8" fillId="0" borderId="0" xfId="0" applyNumberFormat="1" applyFont="1" applyBorder="1" applyAlignment="1">
      <alignment horizontal="right"/>
    </xf>
    <xf numFmtId="0" fontId="32" fillId="0" borderId="0" xfId="1530" applyFont="1"/>
    <xf numFmtId="0" fontId="32" fillId="0" borderId="0" xfId="1530" applyFont="1" applyAlignment="1">
      <alignment horizontal="left"/>
    </xf>
    <xf numFmtId="171" fontId="32" fillId="4" borderId="14" xfId="1530" applyNumberFormat="1" applyFont="1" applyFill="1" applyBorder="1" applyAlignment="1">
      <alignment horizontal="right"/>
    </xf>
    <xf numFmtId="171" fontId="32" fillId="4" borderId="8" xfId="1530" applyNumberFormat="1" applyFont="1" applyFill="1" applyBorder="1" applyAlignment="1">
      <alignment horizontal="right"/>
    </xf>
    <xf numFmtId="171" fontId="32" fillId="4" borderId="15" xfId="1530" applyNumberFormat="1" applyFont="1" applyFill="1" applyBorder="1" applyAlignment="1">
      <alignment horizontal="right"/>
    </xf>
    <xf numFmtId="10" fontId="32" fillId="0" borderId="0" xfId="1531" applyNumberFormat="1" applyFont="1"/>
    <xf numFmtId="0" fontId="32" fillId="4" borderId="15" xfId="1530" applyFont="1" applyFill="1" applyBorder="1" applyAlignment="1">
      <alignment horizontal="right"/>
    </xf>
    <xf numFmtId="10" fontId="32" fillId="4" borderId="15" xfId="1530" applyNumberFormat="1" applyFont="1" applyFill="1" applyBorder="1" applyAlignment="1">
      <alignment horizontal="right"/>
    </xf>
    <xf numFmtId="2" fontId="32" fillId="0" borderId="0" xfId="1530" applyNumberFormat="1" applyFont="1"/>
    <xf numFmtId="2" fontId="32" fillId="0" borderId="0" xfId="1530" applyNumberFormat="1" applyFont="1" applyAlignment="1">
      <alignment wrapText="1"/>
    </xf>
    <xf numFmtId="3" fontId="32" fillId="0" borderId="0" xfId="1532" applyNumberFormat="1" applyFont="1"/>
    <xf numFmtId="3" fontId="32" fillId="4" borderId="8" xfId="1532" applyNumberFormat="1" applyFont="1" applyFill="1" applyBorder="1"/>
    <xf numFmtId="3" fontId="32" fillId="4" borderId="15" xfId="1532" applyNumberFormat="1" applyFont="1" applyFill="1" applyBorder="1"/>
    <xf numFmtId="3" fontId="32" fillId="4" borderId="1" xfId="1532" applyNumberFormat="1" applyFont="1" applyFill="1" applyBorder="1"/>
    <xf numFmtId="2" fontId="32" fillId="4" borderId="15" xfId="1530" applyNumberFormat="1" applyFont="1" applyFill="1" applyBorder="1"/>
    <xf numFmtId="171" fontId="32" fillId="0" borderId="0" xfId="1530" applyNumberFormat="1" applyFont="1"/>
    <xf numFmtId="4" fontId="32" fillId="5" borderId="15" xfId="1530" applyNumberFormat="1" applyFont="1" applyFill="1" applyBorder="1"/>
    <xf numFmtId="4" fontId="32" fillId="4" borderId="15" xfId="1530" applyNumberFormat="1" applyFont="1" applyFill="1" applyBorder="1"/>
    <xf numFmtId="167" fontId="32" fillId="0" borderId="0" xfId="1532" applyNumberFormat="1" applyFont="1"/>
    <xf numFmtId="172" fontId="32" fillId="4" borderId="16" xfId="1532" applyNumberFormat="1" applyFont="1" applyFill="1" applyBorder="1"/>
    <xf numFmtId="0" fontId="33" fillId="0" borderId="3" xfId="1530" applyFont="1" applyBorder="1" applyAlignment="1">
      <alignment horizontal="center"/>
    </xf>
    <xf numFmtId="0" fontId="33" fillId="4" borderId="14" xfId="1530" applyFont="1" applyFill="1" applyBorder="1" applyAlignment="1">
      <alignment horizontal="center"/>
    </xf>
    <xf numFmtId="0" fontId="33" fillId="0" borderId="0" xfId="1530" applyFont="1" applyAlignment="1">
      <alignment horizontal="center" vertical="center" wrapText="1"/>
    </xf>
    <xf numFmtId="0" fontId="33" fillId="4" borderId="16" xfId="1530" applyFont="1" applyFill="1" applyBorder="1" applyAlignment="1">
      <alignment horizontal="center" vertical="center" wrapText="1"/>
    </xf>
    <xf numFmtId="0" fontId="33" fillId="0" borderId="0" xfId="1530" applyFont="1"/>
    <xf numFmtId="10" fontId="32" fillId="0" borderId="0" xfId="1530" applyNumberFormat="1" applyFont="1"/>
    <xf numFmtId="10" fontId="32" fillId="6" borderId="8" xfId="1530" applyNumberFormat="1" applyFont="1" applyFill="1" applyBorder="1"/>
    <xf numFmtId="10" fontId="32" fillId="6" borderId="1" xfId="1530" applyNumberFormat="1" applyFont="1" applyFill="1" applyBorder="1"/>
    <xf numFmtId="4" fontId="32" fillId="0" borderId="0" xfId="1530" applyNumberFormat="1" applyFont="1"/>
    <xf numFmtId="0" fontId="32" fillId="6" borderId="8" xfId="1530" applyFont="1" applyFill="1" applyBorder="1"/>
    <xf numFmtId="0" fontId="32" fillId="6" borderId="1" xfId="1530" applyFont="1" applyFill="1" applyBorder="1"/>
    <xf numFmtId="0" fontId="31" fillId="0" borderId="0" xfId="1530"/>
    <xf numFmtId="40" fontId="33" fillId="7" borderId="0" xfId="1530" applyNumberFormat="1" applyFont="1" applyFill="1"/>
    <xf numFmtId="40" fontId="33" fillId="7" borderId="8" xfId="1530" applyNumberFormat="1" applyFont="1" applyFill="1" applyBorder="1"/>
    <xf numFmtId="40" fontId="33" fillId="7" borderId="1" xfId="1530" applyNumberFormat="1" applyFont="1" applyFill="1" applyBorder="1"/>
    <xf numFmtId="0" fontId="33" fillId="7" borderId="0" xfId="1530" applyFont="1" applyFill="1"/>
    <xf numFmtId="6" fontId="32" fillId="0" borderId="0" xfId="1530" applyNumberFormat="1" applyFont="1" applyAlignment="1">
      <alignment horizontal="right"/>
    </xf>
    <xf numFmtId="6" fontId="32" fillId="6" borderId="17" xfId="1530" applyNumberFormat="1" applyFont="1" applyFill="1" applyBorder="1" applyAlignment="1">
      <alignment horizontal="right"/>
    </xf>
    <xf numFmtId="6" fontId="32" fillId="6" borderId="7" xfId="1530" applyNumberFormat="1" applyFont="1" applyFill="1" applyBorder="1" applyAlignment="1">
      <alignment horizontal="right"/>
    </xf>
    <xf numFmtId="0" fontId="32" fillId="0" borderId="0" xfId="1530" applyFont="1" applyAlignment="1">
      <alignment horizontal="right"/>
    </xf>
    <xf numFmtId="3" fontId="32" fillId="0" borderId="3" xfId="1530" applyNumberFormat="1" applyFont="1" applyBorder="1" applyAlignment="1">
      <alignment horizontal="right"/>
    </xf>
    <xf numFmtId="3" fontId="32" fillId="6" borderId="10" xfId="1530" applyNumberFormat="1" applyFont="1" applyFill="1" applyBorder="1" applyAlignment="1">
      <alignment horizontal="right"/>
    </xf>
    <xf numFmtId="38" fontId="32" fillId="6" borderId="9" xfId="1530" applyNumberFormat="1" applyFont="1" applyFill="1" applyBorder="1" applyAlignment="1">
      <alignment horizontal="right"/>
    </xf>
    <xf numFmtId="10" fontId="32" fillId="4" borderId="0" xfId="1530" applyNumberFormat="1" applyFont="1" applyFill="1" applyAlignment="1">
      <alignment horizontal="right"/>
    </xf>
    <xf numFmtId="0" fontId="32" fillId="6" borderId="0" xfId="1530" applyFont="1" applyFill="1"/>
    <xf numFmtId="0" fontId="32" fillId="0" borderId="8" xfId="1530" applyFont="1" applyBorder="1" applyAlignment="1">
      <alignment horizontal="right"/>
    </xf>
    <xf numFmtId="8" fontId="33" fillId="7" borderId="0" xfId="1530" applyNumberFormat="1" applyFont="1" applyFill="1"/>
    <xf numFmtId="8" fontId="33" fillId="7" borderId="8" xfId="1530" applyNumberFormat="1" applyFont="1" applyFill="1" applyBorder="1"/>
    <xf numFmtId="8" fontId="33" fillId="7" borderId="1" xfId="1530" applyNumberFormat="1" applyFont="1" applyFill="1" applyBorder="1"/>
    <xf numFmtId="0" fontId="32" fillId="7" borderId="0" xfId="1530" applyFont="1" applyFill="1" applyAlignment="1">
      <alignment horizontal="right"/>
    </xf>
    <xf numFmtId="0" fontId="32" fillId="7" borderId="0" xfId="1530" applyFont="1" applyFill="1"/>
    <xf numFmtId="10" fontId="32" fillId="6" borderId="0" xfId="1530" applyNumberFormat="1" applyFont="1" applyFill="1"/>
    <xf numFmtId="4" fontId="32" fillId="0" borderId="8" xfId="1530" applyNumberFormat="1" applyFont="1" applyBorder="1" applyAlignment="1">
      <alignment horizontal="right"/>
    </xf>
    <xf numFmtId="10" fontId="32" fillId="0" borderId="3" xfId="1530" applyNumberFormat="1" applyFont="1" applyBorder="1"/>
    <xf numFmtId="10" fontId="32" fillId="6" borderId="10" xfId="1530" applyNumberFormat="1" applyFont="1" applyFill="1" applyBorder="1"/>
    <xf numFmtId="10" fontId="32" fillId="6" borderId="9" xfId="1530" applyNumberFormat="1" applyFont="1" applyFill="1" applyBorder="1"/>
    <xf numFmtId="171" fontId="33" fillId="7" borderId="0" xfId="1530" applyNumberFormat="1" applyFont="1" applyFill="1" applyAlignment="1">
      <alignment horizontal="right"/>
    </xf>
    <xf numFmtId="171" fontId="33" fillId="7" borderId="8" xfId="1530" applyNumberFormat="1" applyFont="1" applyFill="1" applyBorder="1" applyAlignment="1">
      <alignment horizontal="right"/>
    </xf>
    <xf numFmtId="8" fontId="33" fillId="7" borderId="0" xfId="1530" applyNumberFormat="1" applyFont="1" applyFill="1" applyAlignment="1">
      <alignment horizontal="right"/>
    </xf>
    <xf numFmtId="0" fontId="32" fillId="7" borderId="8" xfId="1530" applyFont="1" applyFill="1" applyBorder="1" applyAlignment="1">
      <alignment horizontal="right"/>
    </xf>
    <xf numFmtId="0" fontId="33" fillId="7" borderId="0" xfId="1530" applyFont="1" applyFill="1" applyAlignment="1">
      <alignment horizontal="left"/>
    </xf>
    <xf numFmtId="43" fontId="32" fillId="0" borderId="0" xfId="1532" applyFont="1"/>
    <xf numFmtId="43" fontId="32" fillId="6" borderId="8" xfId="1532" applyFont="1" applyFill="1" applyBorder="1"/>
    <xf numFmtId="43" fontId="32" fillId="6" borderId="0" xfId="1532" applyFont="1" applyFill="1"/>
    <xf numFmtId="6" fontId="32" fillId="0" borderId="0" xfId="1530" applyNumberFormat="1" applyFont="1"/>
    <xf numFmtId="6" fontId="32" fillId="6" borderId="17" xfId="1530" applyNumberFormat="1" applyFont="1" applyFill="1" applyBorder="1"/>
    <xf numFmtId="6" fontId="32" fillId="6" borderId="0" xfId="1530" applyNumberFormat="1" applyFont="1" applyFill="1"/>
    <xf numFmtId="3" fontId="32" fillId="0" borderId="3" xfId="1530" applyNumberFormat="1" applyFont="1" applyBorder="1"/>
    <xf numFmtId="37" fontId="32" fillId="6" borderId="10" xfId="1530" applyNumberFormat="1" applyFont="1" applyFill="1" applyBorder="1"/>
    <xf numFmtId="37" fontId="32" fillId="6" borderId="9" xfId="1530" applyNumberFormat="1" applyFont="1" applyFill="1" applyBorder="1"/>
    <xf numFmtId="3" fontId="32" fillId="0" borderId="0" xfId="1530" applyNumberFormat="1" applyFont="1"/>
    <xf numFmtId="37" fontId="32" fillId="6" borderId="8" xfId="1530" applyNumberFormat="1" applyFont="1" applyFill="1" applyBorder="1"/>
    <xf numFmtId="37" fontId="32" fillId="6" borderId="1" xfId="1530" applyNumberFormat="1" applyFont="1" applyFill="1" applyBorder="1"/>
    <xf numFmtId="4" fontId="32" fillId="4" borderId="8" xfId="1530" applyNumberFormat="1" applyFont="1" applyFill="1" applyBorder="1" applyAlignment="1">
      <alignment horizontal="right"/>
    </xf>
    <xf numFmtId="171" fontId="32" fillId="0" borderId="0" xfId="1530" applyNumberFormat="1" applyFont="1" applyAlignment="1">
      <alignment horizontal="right"/>
    </xf>
    <xf numFmtId="0" fontId="32" fillId="0" borderId="8" xfId="1530" applyFont="1" applyBorder="1"/>
    <xf numFmtId="171" fontId="33" fillId="7" borderId="0" xfId="1530" applyNumberFormat="1" applyFont="1" applyFill="1"/>
    <xf numFmtId="171" fontId="33" fillId="7" borderId="8" xfId="1530" applyNumberFormat="1" applyFont="1" applyFill="1" applyBorder="1"/>
    <xf numFmtId="0" fontId="33" fillId="7" borderId="8" xfId="1530" applyFont="1" applyFill="1" applyBorder="1"/>
    <xf numFmtId="172" fontId="32" fillId="0" borderId="0" xfId="1530" applyNumberFormat="1" applyFont="1"/>
    <xf numFmtId="172" fontId="32" fillId="6" borderId="8" xfId="1530" applyNumberFormat="1" applyFont="1" applyFill="1" applyBorder="1"/>
    <xf numFmtId="172" fontId="32" fillId="6" borderId="1" xfId="1530" applyNumberFormat="1" applyFont="1" applyFill="1" applyBorder="1"/>
    <xf numFmtId="0" fontId="34" fillId="0" borderId="0" xfId="1530" applyFont="1"/>
    <xf numFmtId="3" fontId="32" fillId="6" borderId="10" xfId="1530" applyNumberFormat="1" applyFont="1" applyFill="1" applyBorder="1"/>
    <xf numFmtId="3" fontId="32" fillId="6" borderId="9" xfId="1530" applyNumberFormat="1" applyFont="1" applyFill="1" applyBorder="1"/>
    <xf numFmtId="3" fontId="32" fillId="6" borderId="8" xfId="1530" applyNumberFormat="1" applyFont="1" applyFill="1" applyBorder="1"/>
    <xf numFmtId="3" fontId="32" fillId="6" borderId="1" xfId="1530" applyNumberFormat="1" applyFont="1" applyFill="1" applyBorder="1"/>
    <xf numFmtId="0" fontId="33" fillId="8" borderId="0" xfId="1530" applyFont="1" applyFill="1" applyAlignment="1">
      <alignment horizontal="center"/>
    </xf>
    <xf numFmtId="0" fontId="33" fillId="8" borderId="8" xfId="1530" applyFont="1" applyFill="1" applyBorder="1" applyAlignment="1">
      <alignment horizontal="center"/>
    </xf>
    <xf numFmtId="0" fontId="33" fillId="8" borderId="1" xfId="1530" applyFont="1" applyFill="1" applyBorder="1" applyAlignment="1">
      <alignment horizontal="center"/>
    </xf>
    <xf numFmtId="0" fontId="32" fillId="0" borderId="0" xfId="1530" applyFont="1" applyAlignment="1">
      <alignment horizontal="center"/>
    </xf>
    <xf numFmtId="0" fontId="32" fillId="6" borderId="8" xfId="1530" applyFont="1" applyFill="1" applyBorder="1" applyAlignment="1">
      <alignment horizontal="center"/>
    </xf>
    <xf numFmtId="0" fontId="32" fillId="6" borderId="1" xfId="1530" applyFont="1" applyFill="1" applyBorder="1" applyAlignment="1">
      <alignment horizontal="center"/>
    </xf>
    <xf numFmtId="0" fontId="35" fillId="0" borderId="0" xfId="1530" applyFont="1"/>
    <xf numFmtId="4" fontId="32" fillId="6" borderId="8" xfId="1530" applyNumberFormat="1" applyFont="1" applyFill="1" applyBorder="1"/>
    <xf numFmtId="4" fontId="32" fillId="6" borderId="0" xfId="1530" applyNumberFormat="1" applyFont="1" applyFill="1"/>
    <xf numFmtId="38" fontId="32" fillId="0" borderId="8" xfId="1530" applyNumberFormat="1" applyFont="1" applyBorder="1"/>
    <xf numFmtId="39" fontId="32" fillId="6" borderId="8" xfId="1530" applyNumberFormat="1" applyFont="1" applyFill="1" applyBorder="1"/>
    <xf numFmtId="39" fontId="32" fillId="6" borderId="0" xfId="1530" applyNumberFormat="1" applyFont="1" applyFill="1"/>
    <xf numFmtId="37" fontId="32" fillId="6" borderId="0" xfId="1530" applyNumberFormat="1" applyFont="1" applyFill="1"/>
    <xf numFmtId="0" fontId="36" fillId="0" borderId="0" xfId="1530" applyFont="1"/>
    <xf numFmtId="9" fontId="32" fillId="4" borderId="8" xfId="1530" applyNumberFormat="1" applyFont="1" applyFill="1" applyBorder="1"/>
    <xf numFmtId="37" fontId="32" fillId="0" borderId="0" xfId="1530" applyNumberFormat="1" applyFont="1"/>
    <xf numFmtId="38" fontId="32" fillId="0" borderId="0" xfId="1530" applyNumberFormat="1" applyFont="1"/>
    <xf numFmtId="9" fontId="32" fillId="0" borderId="0" xfId="1531" applyFont="1"/>
    <xf numFmtId="9" fontId="32" fillId="6" borderId="8" xfId="1531" applyFont="1" applyFill="1" applyBorder="1"/>
    <xf numFmtId="9" fontId="32" fillId="6" borderId="1" xfId="1531" applyFont="1" applyFill="1" applyBorder="1"/>
    <xf numFmtId="167" fontId="32" fillId="0" borderId="0" xfId="1532" applyNumberFormat="1" applyFont="1" applyFill="1" applyBorder="1"/>
    <xf numFmtId="38" fontId="32" fillId="6" borderId="8" xfId="1530" applyNumberFormat="1" applyFont="1" applyFill="1" applyBorder="1"/>
    <xf numFmtId="38" fontId="32" fillId="6" borderId="1" xfId="1530" applyNumberFormat="1" applyFont="1" applyFill="1" applyBorder="1"/>
    <xf numFmtId="167" fontId="32" fillId="0" borderId="3" xfId="1532" applyNumberFormat="1" applyFont="1" applyFill="1" applyBorder="1"/>
    <xf numFmtId="38" fontId="32" fillId="6" borderId="10" xfId="1530" applyNumberFormat="1" applyFont="1" applyFill="1" applyBorder="1"/>
    <xf numFmtId="38" fontId="32" fillId="6" borderId="9" xfId="1530" applyNumberFormat="1" applyFont="1" applyFill="1" applyBorder="1"/>
    <xf numFmtId="167" fontId="32" fillId="0" borderId="0" xfId="1532" applyNumberFormat="1" applyFont="1" applyFill="1"/>
    <xf numFmtId="6" fontId="32" fillId="4" borderId="0" xfId="1530" applyNumberFormat="1" applyFont="1" applyFill="1"/>
    <xf numFmtId="38" fontId="32" fillId="6" borderId="0" xfId="1530" applyNumberFormat="1" applyFont="1" applyFill="1"/>
    <xf numFmtId="3" fontId="32" fillId="6" borderId="0" xfId="1530" applyNumberFormat="1" applyFont="1" applyFill="1"/>
    <xf numFmtId="6" fontId="32" fillId="0" borderId="8" xfId="1530" applyNumberFormat="1" applyFont="1" applyBorder="1"/>
    <xf numFmtId="3" fontId="32" fillId="0" borderId="11" xfId="1530" applyNumberFormat="1" applyFont="1" applyBorder="1"/>
    <xf numFmtId="3" fontId="32" fillId="6" borderId="12" xfId="1530" applyNumberFormat="1" applyFont="1" applyFill="1" applyBorder="1"/>
    <xf numFmtId="3" fontId="32" fillId="6" borderId="11" xfId="1530" applyNumberFormat="1" applyFont="1" applyFill="1" applyBorder="1"/>
    <xf numFmtId="3" fontId="32" fillId="0" borderId="8" xfId="1530" applyNumberFormat="1" applyFont="1" applyBorder="1"/>
    <xf numFmtId="3" fontId="32" fillId="9" borderId="0" xfId="1530" applyNumberFormat="1" applyFont="1" applyFill="1"/>
    <xf numFmtId="0" fontId="32" fillId="9" borderId="8" xfId="1530" applyFont="1" applyFill="1" applyBorder="1"/>
    <xf numFmtId="0" fontId="32" fillId="9" borderId="0" xfId="1530" applyFont="1" applyFill="1"/>
    <xf numFmtId="9" fontId="32" fillId="0" borderId="0" xfId="1530" applyNumberFormat="1" applyFont="1"/>
    <xf numFmtId="3" fontId="35" fillId="0" borderId="0" xfId="1530" applyNumberFormat="1" applyFont="1"/>
    <xf numFmtId="0" fontId="33" fillId="8" borderId="5" xfId="1530" applyFont="1" applyFill="1" applyBorder="1" applyAlignment="1">
      <alignment horizontal="center"/>
    </xf>
    <xf numFmtId="0" fontId="33" fillId="8" borderId="13" xfId="1530" applyFont="1" applyFill="1" applyBorder="1" applyAlignment="1">
      <alignment horizontal="center"/>
    </xf>
    <xf numFmtId="0" fontId="33" fillId="8" borderId="4" xfId="1530" applyFont="1" applyFill="1" applyBorder="1" applyAlignment="1">
      <alignment horizontal="center"/>
    </xf>
    <xf numFmtId="0" fontId="32" fillId="8" borderId="0" xfId="1530" applyFont="1" applyFill="1" applyAlignment="1">
      <alignment horizontal="center"/>
    </xf>
    <xf numFmtId="9" fontId="32" fillId="8" borderId="8" xfId="1530" applyNumberFormat="1" applyFont="1" applyFill="1" applyBorder="1" applyAlignment="1">
      <alignment horizontal="center"/>
    </xf>
    <xf numFmtId="9" fontId="32" fillId="8" borderId="1" xfId="1530" applyNumberFormat="1" applyFont="1" applyFill="1" applyBorder="1" applyAlignment="1">
      <alignment horizontal="center"/>
    </xf>
    <xf numFmtId="0" fontId="37" fillId="0" borderId="0" xfId="1530" applyFont="1"/>
    <xf numFmtId="0" fontId="32" fillId="0" borderId="0" xfId="1530" applyFont="1" applyAlignment="1">
      <alignment vertical="center"/>
    </xf>
    <xf numFmtId="43" fontId="32" fillId="0" borderId="0" xfId="1530" applyNumberFormat="1" applyFont="1"/>
    <xf numFmtId="172" fontId="32" fillId="4" borderId="0" xfId="1530" applyNumberFormat="1" applyFont="1" applyFill="1"/>
    <xf numFmtId="4" fontId="32" fillId="4" borderId="0" xfId="1530" applyNumberFormat="1" applyFont="1" applyFill="1"/>
    <xf numFmtId="171" fontId="32" fillId="4" borderId="0" xfId="1530" applyNumberFormat="1" applyFont="1" applyFill="1"/>
    <xf numFmtId="3" fontId="32" fillId="4" borderId="0" xfId="1530" applyNumberFormat="1" applyFont="1" applyFill="1"/>
    <xf numFmtId="0" fontId="32" fillId="8" borderId="0" xfId="1530" applyFont="1" applyFill="1"/>
    <xf numFmtId="0" fontId="38" fillId="8" borderId="0" xfId="1530" applyFont="1" applyFill="1"/>
    <xf numFmtId="0" fontId="33" fillId="8" borderId="0" xfId="1530" applyFont="1" applyFill="1"/>
    <xf numFmtId="49" fontId="32" fillId="0" borderId="0" xfId="1530" applyNumberFormat="1" applyFont="1"/>
    <xf numFmtId="0" fontId="33" fillId="0" borderId="0" xfId="1530" applyFont="1" applyAlignment="1">
      <alignment horizontal="left"/>
    </xf>
    <xf numFmtId="2" fontId="32" fillId="0" borderId="0" xfId="1530" applyNumberFormat="1" applyFont="1" applyFill="1"/>
    <xf numFmtId="172" fontId="32" fillId="0" borderId="0" xfId="1532" applyNumberFormat="1" applyFont="1" applyFill="1"/>
    <xf numFmtId="3" fontId="32" fillId="0" borderId="0" xfId="1532" applyNumberFormat="1" applyFont="1" applyFill="1"/>
    <xf numFmtId="2" fontId="32" fillId="0" borderId="0" xfId="1530" applyNumberFormat="1" applyFont="1" applyFill="1" applyAlignment="1">
      <alignment wrapText="1"/>
    </xf>
    <xf numFmtId="10" fontId="32" fillId="0" borderId="0" xfId="1531" applyNumberFormat="1" applyFont="1" applyFill="1"/>
    <xf numFmtId="49" fontId="32" fillId="0" borderId="0" xfId="1530" applyNumberFormat="1" applyFont="1" applyFill="1" applyAlignment="1">
      <alignment horizontal="right"/>
    </xf>
    <xf numFmtId="0" fontId="33" fillId="0" borderId="0" xfId="1530" applyFont="1" applyFill="1"/>
    <xf numFmtId="0" fontId="32" fillId="10" borderId="0" xfId="1530" applyFont="1" applyFill="1"/>
    <xf numFmtId="3" fontId="32" fillId="0" borderId="0" xfId="1530" applyNumberFormat="1" applyFont="1" applyFill="1"/>
    <xf numFmtId="3" fontId="32" fillId="0" borderId="0" xfId="1530" applyNumberFormat="1" applyFont="1" applyFill="1" applyBorder="1"/>
    <xf numFmtId="0" fontId="2" fillId="0" borderId="0" xfId="1" applyAlignment="1"/>
  </cellXfs>
  <cellStyles count="1533">
    <cellStyle name="Comma" xfId="1256" builtinId="3"/>
    <cellStyle name="Comma 2" xfId="514" xr:uid="{00000000-0005-0000-0000-000001000000}"/>
    <cellStyle name="Comma 3" xfId="1532" xr:uid="{B271D4BF-E08D-9144-BB00-9D4977C899A5}"/>
    <cellStyle name="Currency 2" xfId="513" xr:uid="{00000000-0005-0000-0000-000003000000}"/>
    <cellStyle name="Followed Hyperlink" xfId="4" builtinId="9" hidden="1"/>
    <cellStyle name="Followed Hyperlink" xfId="6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8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30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2" builtinId="9" hidden="1"/>
    <cellStyle name="Followed Hyperlink" xfId="43" builtinId="9" hidden="1"/>
    <cellStyle name="Followed Hyperlink" xfId="45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3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9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1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3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9" builtinId="9" hidden="1"/>
    <cellStyle name="Followed Hyperlink" xfId="1291" builtinId="9" hidden="1"/>
    <cellStyle name="Followed Hyperlink" xfId="1293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Followed Hyperlink" xfId="1411" builtinId="9" hidden="1"/>
    <cellStyle name="Followed Hyperlink" xfId="1413" builtinId="9" hidden="1"/>
    <cellStyle name="Followed Hyperlink" xfId="1415" builtinId="9" hidden="1"/>
    <cellStyle name="Followed Hyperlink" xfId="1417" builtinId="9" hidden="1"/>
    <cellStyle name="Followed Hyperlink" xfId="1419" builtinId="9" hidden="1"/>
    <cellStyle name="Followed Hyperlink" xfId="1421" builtinId="9" hidden="1"/>
    <cellStyle name="Followed Hyperlink" xfId="1423" builtinId="9" hidden="1"/>
    <cellStyle name="Followed Hyperlink" xfId="1425" builtinId="9" hidden="1"/>
    <cellStyle name="Followed Hyperlink" xfId="1427" builtinId="9" hidden="1"/>
    <cellStyle name="Followed Hyperlink" xfId="1429" builtinId="9" hidden="1"/>
    <cellStyle name="Followed Hyperlink" xfId="1431" builtinId="9" hidden="1"/>
    <cellStyle name="Followed Hyperlink" xfId="1433" builtinId="9" hidden="1"/>
    <cellStyle name="Followed Hyperlink" xfId="1435" builtinId="9" hidden="1"/>
    <cellStyle name="Followed Hyperlink" xfId="1437" builtinId="9" hidden="1"/>
    <cellStyle name="Followed Hyperlink" xfId="1439" builtinId="9" hidden="1"/>
    <cellStyle name="Followed Hyperlink" xfId="1441" builtinId="9" hidden="1"/>
    <cellStyle name="Followed Hyperlink" xfId="1443" builtinId="9" hidden="1"/>
    <cellStyle name="Followed Hyperlink" xfId="1445" builtinId="9" hidden="1"/>
    <cellStyle name="Followed Hyperlink" xfId="1447" builtinId="9" hidden="1"/>
    <cellStyle name="Followed Hyperlink" xfId="1449" builtinId="9" hidden="1"/>
    <cellStyle name="Followed Hyperlink" xfId="1451" builtinId="9" hidden="1"/>
    <cellStyle name="Followed Hyperlink" xfId="1453" builtinId="9" hidden="1"/>
    <cellStyle name="Followed Hyperlink" xfId="1455" builtinId="9" hidden="1"/>
    <cellStyle name="Followed Hyperlink" xfId="1457" builtinId="9" hidden="1"/>
    <cellStyle name="Followed Hyperlink" xfId="1459" builtinId="9" hidden="1"/>
    <cellStyle name="Followed Hyperlink" xfId="1461" builtinId="9" hidden="1"/>
    <cellStyle name="Followed Hyperlink" xfId="1463" builtinId="9" hidden="1"/>
    <cellStyle name="Followed Hyperlink" xfId="1465" builtinId="9" hidden="1"/>
    <cellStyle name="Followed Hyperlink" xfId="1467" builtinId="9" hidden="1"/>
    <cellStyle name="Followed Hyperlink" xfId="1469" builtinId="9" hidden="1"/>
    <cellStyle name="Followed Hyperlink" xfId="1471" builtinId="9" hidden="1"/>
    <cellStyle name="Followed Hyperlink" xfId="1473" builtinId="9" hidden="1"/>
    <cellStyle name="Followed Hyperlink" xfId="1475" builtinId="9" hidden="1"/>
    <cellStyle name="Followed Hyperlink" xfId="1477" builtinId="9" hidden="1"/>
    <cellStyle name="Followed Hyperlink" xfId="1479" builtinId="9" hidden="1"/>
    <cellStyle name="Followed Hyperlink" xfId="1481" builtinId="9" hidden="1"/>
    <cellStyle name="Followed Hyperlink" xfId="1483" builtinId="9" hidden="1"/>
    <cellStyle name="Followed Hyperlink" xfId="1485" builtinId="9" hidden="1"/>
    <cellStyle name="Followed Hyperlink" xfId="1487" builtinId="9" hidden="1"/>
    <cellStyle name="Followed Hyperlink" xfId="1489" builtinId="9" hidden="1"/>
    <cellStyle name="Followed Hyperlink" xfId="1491" builtinId="9" hidden="1"/>
    <cellStyle name="Followed Hyperlink" xfId="1493" builtinId="9" hidden="1"/>
    <cellStyle name="Followed Hyperlink" xfId="1495" builtinId="9" hidden="1"/>
    <cellStyle name="Followed Hyperlink" xfId="1497" builtinId="9" hidden="1"/>
    <cellStyle name="Followed Hyperlink" xfId="1499" builtinId="9" hidden="1"/>
    <cellStyle name="Followed Hyperlink" xfId="1501" builtinId="9" hidden="1"/>
    <cellStyle name="Followed Hyperlink" xfId="1503" builtinId="9" hidden="1"/>
    <cellStyle name="Followed Hyperlink" xfId="1505" builtinId="9" hidden="1"/>
    <cellStyle name="Followed Hyperlink" xfId="1507" builtinId="9" hidden="1"/>
    <cellStyle name="Followed Hyperlink" xfId="1509" builtinId="9" hidden="1"/>
    <cellStyle name="Followed Hyperlink" xfId="1511" builtinId="9" hidden="1"/>
    <cellStyle name="Followed Hyperlink" xfId="1513" builtinId="9" hidden="1"/>
    <cellStyle name="Followed Hyperlink" xfId="1515" builtinId="9" hidden="1"/>
    <cellStyle name="Followed Hyperlink" xfId="1517" builtinId="9" hidden="1"/>
    <cellStyle name="Followed Hyperlink" xfId="1519" builtinId="9" hidden="1"/>
    <cellStyle name="Followed Hyperlink" xfId="1521" builtinId="9" hidden="1"/>
    <cellStyle name="Followed Hyperlink" xfId="1523" builtinId="9" hidden="1"/>
    <cellStyle name="Followed Hyperlink" xfId="1525" builtinId="9" hidden="1"/>
    <cellStyle name="Followed Hyperlink" xfId="1527" builtinId="9" hidden="1"/>
    <cellStyle name="Followed Hyperlink" xfId="1529" builtinId="9" hidden="1"/>
    <cellStyle name="Hyperlink" xfId="3" builtinId="8" hidden="1"/>
    <cellStyle name="Hyperlink" xfId="5" builtinId="8" hidden="1"/>
    <cellStyle name="Hyperlink" xfId="9" builtinId="8" hidden="1"/>
    <cellStyle name="Hyperlink" xfId="11" builtinId="8" hidden="1"/>
    <cellStyle name="Hyperlink" xfId="13" builtinId="8" hidden="1"/>
    <cellStyle name="Hyperlink" xfId="17" builtinId="8" hidden="1"/>
    <cellStyle name="Hyperlink" xfId="15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9" builtinId="8" hidden="1"/>
    <cellStyle name="Hyperlink" xfId="28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1" builtinId="8" hidden="1"/>
    <cellStyle name="Hyperlink" xfId="40" builtinId="8" hidden="1"/>
    <cellStyle name="Hyperlink" xfId="44" builtinId="8" hidden="1"/>
    <cellStyle name="Hyperlink" xfId="7" builtinId="8" hidden="1"/>
    <cellStyle name="Hyperlink" xfId="47" builtinId="8" hidden="1"/>
    <cellStyle name="Hyperlink" xfId="49" builtinId="8" hidden="1"/>
    <cellStyle name="Hyperlink" xfId="52" builtinId="8" hidden="1"/>
    <cellStyle name="Hyperlink" xfId="51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8" builtinId="8" hidden="1"/>
    <cellStyle name="Hyperlink" xfId="67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80" builtinId="8" hidden="1"/>
    <cellStyle name="Hyperlink" xfId="79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2" builtinId="8" hidden="1"/>
    <cellStyle name="Hyperlink" xfId="91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Hyperlink" xfId="1104" builtinId="8" hidden="1"/>
    <cellStyle name="Hyperlink" xfId="1106" builtinId="8" hidden="1"/>
    <cellStyle name="Hyperlink" xfId="1108" builtinId="8" hidden="1"/>
    <cellStyle name="Hyperlink" xfId="1110" builtinId="8" hidden="1"/>
    <cellStyle name="Hyperlink" xfId="1112" builtinId="8" hidden="1"/>
    <cellStyle name="Hyperlink" xfId="1114" builtinId="8" hidden="1"/>
    <cellStyle name="Hyperlink" xfId="1116" builtinId="8" hidden="1"/>
    <cellStyle name="Hyperlink" xfId="1118" builtinId="8" hidden="1"/>
    <cellStyle name="Hyperlink" xfId="1120" builtinId="8" hidden="1"/>
    <cellStyle name="Hyperlink" xfId="1122" builtinId="8" hidden="1"/>
    <cellStyle name="Hyperlink" xfId="1124" builtinId="8" hidden="1"/>
    <cellStyle name="Hyperlink" xfId="1126" builtinId="8" hidden="1"/>
    <cellStyle name="Hyperlink" xfId="1128" builtinId="8" hidden="1"/>
    <cellStyle name="Hyperlink" xfId="1130" builtinId="8" hidden="1"/>
    <cellStyle name="Hyperlink" xfId="1132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288" builtinId="8" hidden="1"/>
    <cellStyle name="Hyperlink" xfId="1290" builtinId="8" hidden="1"/>
    <cellStyle name="Hyperlink" xfId="1292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2" builtinId="8" hidden="1"/>
    <cellStyle name="Hyperlink" xfId="1354" builtinId="8" hidden="1"/>
    <cellStyle name="Hyperlink" xfId="1356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Hyperlink" xfId="1410" builtinId="8" hidden="1"/>
    <cellStyle name="Hyperlink" xfId="1412" builtinId="8" hidden="1"/>
    <cellStyle name="Hyperlink" xfId="1414" builtinId="8" hidden="1"/>
    <cellStyle name="Hyperlink" xfId="1416" builtinId="8" hidden="1"/>
    <cellStyle name="Hyperlink" xfId="1418" builtinId="8" hidden="1"/>
    <cellStyle name="Hyperlink" xfId="1420" builtinId="8" hidden="1"/>
    <cellStyle name="Hyperlink" xfId="1422" builtinId="8" hidden="1"/>
    <cellStyle name="Hyperlink" xfId="1424" builtinId="8" hidden="1"/>
    <cellStyle name="Hyperlink" xfId="1426" builtinId="8" hidden="1"/>
    <cellStyle name="Hyperlink" xfId="1428" builtinId="8" hidden="1"/>
    <cellStyle name="Hyperlink" xfId="1430" builtinId="8" hidden="1"/>
    <cellStyle name="Hyperlink" xfId="1432" builtinId="8" hidden="1"/>
    <cellStyle name="Hyperlink" xfId="1434" builtinId="8" hidden="1"/>
    <cellStyle name="Hyperlink" xfId="1436" builtinId="8" hidden="1"/>
    <cellStyle name="Hyperlink" xfId="1438" builtinId="8" hidden="1"/>
    <cellStyle name="Hyperlink" xfId="1440" builtinId="8" hidden="1"/>
    <cellStyle name="Hyperlink" xfId="1442" builtinId="8" hidden="1"/>
    <cellStyle name="Hyperlink" xfId="1444" builtinId="8" hidden="1"/>
    <cellStyle name="Hyperlink" xfId="1446" builtinId="8" hidden="1"/>
    <cellStyle name="Hyperlink" xfId="1448" builtinId="8" hidden="1"/>
    <cellStyle name="Hyperlink" xfId="1450" builtinId="8" hidden="1"/>
    <cellStyle name="Hyperlink" xfId="1452" builtinId="8" hidden="1"/>
    <cellStyle name="Hyperlink" xfId="1454" builtinId="8" hidden="1"/>
    <cellStyle name="Hyperlink" xfId="1456" builtinId="8" hidden="1"/>
    <cellStyle name="Hyperlink" xfId="1458" builtinId="8" hidden="1"/>
    <cellStyle name="Hyperlink" xfId="1460" builtinId="8" hidden="1"/>
    <cellStyle name="Hyperlink" xfId="1462" builtinId="8" hidden="1"/>
    <cellStyle name="Hyperlink" xfId="1464" builtinId="8" hidden="1"/>
    <cellStyle name="Hyperlink" xfId="1466" builtinId="8" hidden="1"/>
    <cellStyle name="Hyperlink" xfId="1468" builtinId="8" hidden="1"/>
    <cellStyle name="Hyperlink" xfId="1470" builtinId="8" hidden="1"/>
    <cellStyle name="Hyperlink" xfId="1472" builtinId="8" hidden="1"/>
    <cellStyle name="Hyperlink" xfId="1474" builtinId="8" hidden="1"/>
    <cellStyle name="Hyperlink" xfId="1476" builtinId="8" hidden="1"/>
    <cellStyle name="Hyperlink" xfId="1478" builtinId="8" hidden="1"/>
    <cellStyle name="Hyperlink" xfId="1480" builtinId="8" hidden="1"/>
    <cellStyle name="Hyperlink" xfId="1482" builtinId="8" hidden="1"/>
    <cellStyle name="Hyperlink" xfId="1484" builtinId="8" hidden="1"/>
    <cellStyle name="Hyperlink" xfId="1486" builtinId="8" hidden="1"/>
    <cellStyle name="Hyperlink" xfId="1488" builtinId="8" hidden="1"/>
    <cellStyle name="Hyperlink" xfId="1490" builtinId="8" hidden="1"/>
    <cellStyle name="Hyperlink" xfId="1492" builtinId="8" hidden="1"/>
    <cellStyle name="Hyperlink" xfId="1494" builtinId="8" hidden="1"/>
    <cellStyle name="Hyperlink" xfId="1496" builtinId="8" hidden="1"/>
    <cellStyle name="Hyperlink" xfId="1498" builtinId="8" hidden="1"/>
    <cellStyle name="Hyperlink" xfId="1500" builtinId="8" hidden="1"/>
    <cellStyle name="Hyperlink" xfId="1502" builtinId="8" hidden="1"/>
    <cellStyle name="Hyperlink" xfId="1504" builtinId="8" hidden="1"/>
    <cellStyle name="Hyperlink" xfId="1506" builtinId="8" hidden="1"/>
    <cellStyle name="Hyperlink" xfId="1508" builtinId="8" hidden="1"/>
    <cellStyle name="Hyperlink" xfId="1510" builtinId="8" hidden="1"/>
    <cellStyle name="Hyperlink" xfId="1512" builtinId="8" hidden="1"/>
    <cellStyle name="Hyperlink" xfId="1514" builtinId="8" hidden="1"/>
    <cellStyle name="Hyperlink" xfId="1516" builtinId="8" hidden="1"/>
    <cellStyle name="Hyperlink" xfId="1518" builtinId="8" hidden="1"/>
    <cellStyle name="Hyperlink" xfId="1520" builtinId="8" hidden="1"/>
    <cellStyle name="Hyperlink" xfId="1522" builtinId="8" hidden="1"/>
    <cellStyle name="Hyperlink" xfId="1524" builtinId="8" hidden="1"/>
    <cellStyle name="Hyperlink" xfId="1526" builtinId="8" hidden="1"/>
    <cellStyle name="Hyperlink" xfId="1528" builtinId="8" hidden="1"/>
    <cellStyle name="Normal" xfId="0" builtinId="0"/>
    <cellStyle name="Normal 2" xfId="1" xr:uid="{00000000-0005-0000-0000-0000F5050000}"/>
    <cellStyle name="Normal 3" xfId="2" xr:uid="{00000000-0005-0000-0000-0000F6050000}"/>
    <cellStyle name="Normal 3 2" xfId="16" xr:uid="{00000000-0005-0000-0000-0000F7050000}"/>
    <cellStyle name="Normal 3 3" xfId="8" xr:uid="{00000000-0005-0000-0000-0000F8050000}"/>
    <cellStyle name="Normal 4" xfId="1530" xr:uid="{0C9B2F20-F60E-6649-A4F1-9080C26F2F00}"/>
    <cellStyle name="Percent" xfId="1257" builtinId="5"/>
    <cellStyle name="Percent 2" xfId="515" xr:uid="{00000000-0005-0000-0000-0000FA050000}"/>
    <cellStyle name="Percent 3" xfId="1531" xr:uid="{556122AA-F119-0E4F-AE44-34C6D9B16AA5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000"/>
              <a:t>Unit Holder</a:t>
            </a:r>
            <a:r>
              <a:rPr lang="en-US" sz="2000" baseline="0"/>
              <a:t> </a:t>
            </a:r>
            <a:r>
              <a:rPr lang="en-US" sz="2000"/>
              <a:t>Internal Rate of Return</a:t>
            </a:r>
          </a:p>
          <a:p>
            <a:pPr>
              <a:defRPr/>
            </a:pPr>
            <a:r>
              <a:rPr lang="en-US" sz="2000"/>
              <a:t>(based on </a:t>
            </a:r>
            <a:r>
              <a:rPr lang="en-US" sz="2000" baseline="0"/>
              <a:t>unit market value and c</a:t>
            </a:r>
            <a:r>
              <a:rPr lang="en-US" sz="2000"/>
              <a:t>umulative annual distributions </a:t>
            </a:r>
            <a:r>
              <a:rPr lang="en-US"/>
              <a:t>)</a:t>
            </a:r>
          </a:p>
        </c:rich>
      </c:tx>
      <c:layout>
        <c:manualLayout>
          <c:xMode val="edge"/>
          <c:yMode val="edge"/>
          <c:x val="0.19706102390564501"/>
          <c:y val="1.91515440452755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497679047236602E-2"/>
          <c:y val="0.171922982283465"/>
          <c:w val="0.84922477138096597"/>
          <c:h val="0.69078078863188996"/>
        </c:manualLayout>
      </c:layout>
      <c:barChart>
        <c:barDir val="col"/>
        <c:grouping val="clustered"/>
        <c:varyColors val="0"/>
        <c:ser>
          <c:idx val="1"/>
          <c:order val="0"/>
          <c:tx>
            <c:v> IRR</c:v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val>
            <c:numRef>
              <c:f>'Woodfine original - 50M'!#REF!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D-AC42-82E3-6D7B608EE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19634488"/>
        <c:axId val="-2020233240"/>
      </c:barChart>
      <c:catAx>
        <c:axId val="-2019634488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low"/>
        <c:txPr>
          <a:bodyPr rot="0" vert="horz"/>
          <a:lstStyle/>
          <a:p>
            <a:pPr>
              <a:defRPr sz="2000">
                <a:latin typeface="Arial"/>
              </a:defRPr>
            </a:pPr>
            <a:endParaRPr lang="en-US"/>
          </a:p>
        </c:txPr>
        <c:crossAx val="-2020233240"/>
        <c:crosses val="autoZero"/>
        <c:auto val="1"/>
        <c:lblAlgn val="ctr"/>
        <c:lblOffset val="100"/>
        <c:noMultiLvlLbl val="0"/>
      </c:catAx>
      <c:valAx>
        <c:axId val="-2020233240"/>
        <c:scaling>
          <c:orientation val="minMax"/>
          <c:max val="0.18"/>
          <c:min val="-0.17"/>
        </c:scaling>
        <c:delete val="0"/>
        <c:axPos val="r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0"/>
        <c:majorTickMark val="cross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 rot="0" vert="horz"/>
          <a:lstStyle/>
          <a:p>
            <a:pPr>
              <a:defRPr sz="2000">
                <a:latin typeface="Arial"/>
              </a:defRPr>
            </a:pPr>
            <a:endParaRPr lang="en-US"/>
          </a:p>
        </c:txPr>
        <c:crossAx val="-2019634488"/>
        <c:crosses val="max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390525</xdr:colOff>
      <xdr:row>28</xdr:row>
      <xdr:rowOff>9525</xdr:rowOff>
    </xdr:to>
    <xdr:pic>
      <xdr:nvPicPr>
        <xdr:cNvPr id="2748531" name="Picture 11">
          <a:extLst>
            <a:ext uri="{FF2B5EF4-FFF2-40B4-BE49-F238E27FC236}">
              <a16:creationId xmlns:a16="http://schemas.microsoft.com/office/drawing/2014/main" id="{00000000-0008-0000-0000-000073F02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963525" cy="454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33866</xdr:colOff>
      <xdr:row>258</xdr:row>
      <xdr:rowOff>135467</xdr:rowOff>
    </xdr:from>
    <xdr:to>
      <xdr:col>24</xdr:col>
      <xdr:colOff>33867</xdr:colOff>
      <xdr:row>286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1125B-31E3-8444-A3B9-B5A0B41E3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4"/>
  <sheetViews>
    <sheetView workbookViewId="0">
      <selection sqref="A1:AK64"/>
    </sheetView>
  </sheetViews>
  <sheetFormatPr baseColWidth="10" defaultColWidth="11" defaultRowHeight="13"/>
  <cols>
    <col min="1" max="16384" width="11" style="1"/>
  </cols>
  <sheetData>
    <row r="1" spans="1:37">
      <c r="A1" s="408"/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8"/>
      <c r="V1" s="408"/>
      <c r="W1" s="408"/>
      <c r="X1" s="408"/>
      <c r="Y1" s="408"/>
      <c r="Z1" s="408"/>
      <c r="AA1" s="408"/>
      <c r="AB1" s="408"/>
      <c r="AC1" s="408"/>
      <c r="AD1" s="408"/>
      <c r="AE1" s="408"/>
      <c r="AF1" s="408"/>
      <c r="AG1" s="408"/>
      <c r="AH1" s="408"/>
      <c r="AI1" s="408"/>
      <c r="AJ1" s="408"/>
      <c r="AK1" s="408"/>
    </row>
    <row r="2" spans="1:37">
      <c r="A2" s="408"/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408"/>
      <c r="Z2" s="408"/>
      <c r="AA2" s="408"/>
      <c r="AB2" s="408"/>
      <c r="AC2" s="408"/>
      <c r="AD2" s="408"/>
      <c r="AE2" s="408"/>
      <c r="AF2" s="408"/>
      <c r="AG2" s="408"/>
      <c r="AH2" s="408"/>
      <c r="AI2" s="408"/>
      <c r="AJ2" s="408"/>
      <c r="AK2" s="408"/>
    </row>
    <row r="3" spans="1:37">
      <c r="A3" s="408"/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</row>
    <row r="4" spans="1:37">
      <c r="A4" s="408"/>
      <c r="B4" s="408"/>
      <c r="C4" s="408"/>
      <c r="D4" s="408"/>
      <c r="E4" s="408"/>
      <c r="F4" s="408"/>
      <c r="G4" s="408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  <c r="AA4" s="408"/>
      <c r="AB4" s="408"/>
      <c r="AC4" s="408"/>
      <c r="AD4" s="408"/>
      <c r="AE4" s="408"/>
      <c r="AF4" s="408"/>
      <c r="AG4" s="408"/>
      <c r="AH4" s="408"/>
      <c r="AI4" s="408"/>
      <c r="AJ4" s="408"/>
      <c r="AK4" s="408"/>
    </row>
    <row r="5" spans="1:37">
      <c r="A5" s="408"/>
      <c r="B5" s="408"/>
      <c r="C5" s="408"/>
      <c r="D5" s="408"/>
      <c r="E5" s="408"/>
      <c r="F5" s="408"/>
      <c r="G5" s="408"/>
      <c r="H5" s="408"/>
      <c r="I5" s="408"/>
      <c r="J5" s="408"/>
      <c r="K5" s="408"/>
      <c r="L5" s="408"/>
      <c r="M5" s="408"/>
      <c r="N5" s="408"/>
      <c r="O5" s="408"/>
      <c r="P5" s="408"/>
      <c r="Q5" s="408"/>
      <c r="R5" s="408"/>
      <c r="S5" s="408"/>
      <c r="T5" s="408"/>
      <c r="U5" s="408"/>
      <c r="V5" s="408"/>
      <c r="W5" s="408"/>
      <c r="X5" s="408"/>
      <c r="Y5" s="408"/>
      <c r="Z5" s="408"/>
      <c r="AA5" s="408"/>
      <c r="AB5" s="408"/>
      <c r="AC5" s="408"/>
      <c r="AD5" s="408"/>
      <c r="AE5" s="408"/>
      <c r="AF5" s="408"/>
      <c r="AG5" s="408"/>
      <c r="AH5" s="408"/>
      <c r="AI5" s="408"/>
      <c r="AJ5" s="408"/>
      <c r="AK5" s="408"/>
    </row>
    <row r="6" spans="1:37">
      <c r="A6" s="408"/>
      <c r="B6" s="408"/>
      <c r="C6" s="408"/>
      <c r="D6" s="408"/>
      <c r="E6" s="408"/>
      <c r="F6" s="408"/>
      <c r="G6" s="408"/>
      <c r="H6" s="408"/>
      <c r="I6" s="408"/>
      <c r="J6" s="408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  <c r="V6" s="408"/>
      <c r="W6" s="408"/>
      <c r="X6" s="408"/>
      <c r="Y6" s="408"/>
      <c r="Z6" s="408"/>
      <c r="AA6" s="408"/>
      <c r="AB6" s="408"/>
      <c r="AC6" s="408"/>
      <c r="AD6" s="408"/>
      <c r="AE6" s="408"/>
      <c r="AF6" s="408"/>
      <c r="AG6" s="408"/>
      <c r="AH6" s="408"/>
      <c r="AI6" s="408"/>
      <c r="AJ6" s="408"/>
      <c r="AK6" s="408"/>
    </row>
    <row r="7" spans="1:37">
      <c r="A7" s="408"/>
      <c r="B7" s="408"/>
      <c r="C7" s="408"/>
      <c r="D7" s="408"/>
      <c r="E7" s="408"/>
      <c r="F7" s="408"/>
      <c r="G7" s="408"/>
      <c r="H7" s="408"/>
      <c r="I7" s="408"/>
      <c r="J7" s="408"/>
      <c r="K7" s="408"/>
      <c r="L7" s="408"/>
      <c r="M7" s="408"/>
      <c r="N7" s="408"/>
      <c r="O7" s="408"/>
      <c r="P7" s="408"/>
      <c r="Q7" s="408"/>
      <c r="R7" s="408"/>
      <c r="S7" s="408"/>
      <c r="T7" s="408"/>
      <c r="U7" s="408"/>
      <c r="V7" s="408"/>
      <c r="W7" s="408"/>
      <c r="X7" s="408"/>
      <c r="Y7" s="408"/>
      <c r="Z7" s="408"/>
      <c r="AA7" s="408"/>
      <c r="AB7" s="408"/>
      <c r="AC7" s="408"/>
      <c r="AD7" s="408"/>
      <c r="AE7" s="408"/>
      <c r="AF7" s="408"/>
      <c r="AG7" s="408"/>
      <c r="AH7" s="408"/>
      <c r="AI7" s="408"/>
      <c r="AJ7" s="408"/>
      <c r="AK7" s="408"/>
    </row>
    <row r="8" spans="1:37">
      <c r="A8" s="408"/>
      <c r="B8" s="408"/>
      <c r="C8" s="408"/>
      <c r="D8" s="408"/>
      <c r="E8" s="408"/>
      <c r="F8" s="408"/>
      <c r="G8" s="408"/>
      <c r="H8" s="408"/>
      <c r="I8" s="408"/>
      <c r="J8" s="408"/>
      <c r="K8" s="408"/>
      <c r="L8" s="408"/>
      <c r="M8" s="408"/>
      <c r="N8" s="408"/>
      <c r="O8" s="408"/>
      <c r="P8" s="408"/>
      <c r="Q8" s="408"/>
      <c r="R8" s="408"/>
      <c r="S8" s="408"/>
      <c r="T8" s="408"/>
      <c r="U8" s="408"/>
      <c r="V8" s="408"/>
      <c r="W8" s="408"/>
      <c r="X8" s="408"/>
      <c r="Y8" s="408"/>
      <c r="Z8" s="408"/>
      <c r="AA8" s="408"/>
      <c r="AB8" s="408"/>
      <c r="AC8" s="408"/>
      <c r="AD8" s="408"/>
      <c r="AE8" s="408"/>
      <c r="AF8" s="408"/>
      <c r="AG8" s="408"/>
      <c r="AH8" s="408"/>
      <c r="AI8" s="408"/>
      <c r="AJ8" s="408"/>
      <c r="AK8" s="408"/>
    </row>
    <row r="9" spans="1:37">
      <c r="A9" s="408"/>
      <c r="B9" s="408"/>
      <c r="C9" s="408"/>
      <c r="D9" s="408"/>
      <c r="E9" s="408"/>
      <c r="F9" s="408"/>
      <c r="G9" s="408"/>
      <c r="H9" s="408"/>
      <c r="I9" s="408"/>
      <c r="J9" s="408"/>
      <c r="K9" s="408"/>
      <c r="L9" s="408"/>
      <c r="M9" s="408"/>
      <c r="N9" s="408"/>
      <c r="O9" s="408"/>
      <c r="P9" s="408"/>
      <c r="Q9" s="408"/>
      <c r="R9" s="408"/>
      <c r="S9" s="408"/>
      <c r="T9" s="408"/>
      <c r="U9" s="408"/>
      <c r="V9" s="408"/>
      <c r="W9" s="408"/>
      <c r="X9" s="408"/>
      <c r="Y9" s="408"/>
      <c r="Z9" s="408"/>
      <c r="AA9" s="408"/>
      <c r="AB9" s="408"/>
      <c r="AC9" s="408"/>
      <c r="AD9" s="408"/>
      <c r="AE9" s="408"/>
      <c r="AF9" s="408"/>
      <c r="AG9" s="408"/>
      <c r="AH9" s="408"/>
      <c r="AI9" s="408"/>
      <c r="AJ9" s="408"/>
      <c r="AK9" s="408"/>
    </row>
    <row r="10" spans="1:37">
      <c r="A10" s="408"/>
      <c r="B10" s="408"/>
      <c r="C10" s="408"/>
      <c r="D10" s="408"/>
      <c r="E10" s="408"/>
      <c r="F10" s="408"/>
      <c r="G10" s="408"/>
      <c r="H10" s="408"/>
      <c r="I10" s="408"/>
      <c r="J10" s="408"/>
      <c r="K10" s="408"/>
      <c r="L10" s="408"/>
      <c r="M10" s="408"/>
      <c r="N10" s="408"/>
      <c r="O10" s="408"/>
      <c r="P10" s="408"/>
      <c r="Q10" s="408"/>
      <c r="R10" s="408"/>
      <c r="S10" s="408"/>
      <c r="T10" s="408"/>
      <c r="U10" s="408"/>
      <c r="V10" s="408"/>
      <c r="W10" s="408"/>
      <c r="X10" s="408"/>
      <c r="Y10" s="408"/>
      <c r="Z10" s="408"/>
      <c r="AA10" s="408"/>
      <c r="AB10" s="408"/>
      <c r="AC10" s="408"/>
      <c r="AD10" s="408"/>
      <c r="AE10" s="408"/>
      <c r="AF10" s="408"/>
      <c r="AG10" s="408"/>
      <c r="AH10" s="408"/>
      <c r="AI10" s="408"/>
      <c r="AJ10" s="408"/>
      <c r="AK10" s="408"/>
    </row>
    <row r="11" spans="1:37">
      <c r="A11" s="408"/>
      <c r="B11" s="408"/>
      <c r="C11" s="408"/>
      <c r="D11" s="408"/>
      <c r="E11" s="408"/>
      <c r="F11" s="408"/>
      <c r="G11" s="408"/>
      <c r="H11" s="408"/>
      <c r="I11" s="408"/>
      <c r="J11" s="408"/>
      <c r="K11" s="408"/>
      <c r="L11" s="408"/>
      <c r="M11" s="408"/>
      <c r="N11" s="408"/>
      <c r="O11" s="408"/>
      <c r="P11" s="408"/>
      <c r="Q11" s="408"/>
      <c r="R11" s="408"/>
      <c r="S11" s="408"/>
      <c r="T11" s="408"/>
      <c r="U11" s="408"/>
      <c r="V11" s="408"/>
      <c r="W11" s="408"/>
      <c r="X11" s="408"/>
      <c r="Y11" s="408"/>
      <c r="Z11" s="408"/>
      <c r="AA11" s="408"/>
      <c r="AB11" s="408"/>
      <c r="AC11" s="408"/>
      <c r="AD11" s="408"/>
      <c r="AE11" s="408"/>
      <c r="AF11" s="408"/>
      <c r="AG11" s="408"/>
      <c r="AH11" s="408"/>
      <c r="AI11" s="408"/>
      <c r="AJ11" s="408"/>
      <c r="AK11" s="408"/>
    </row>
    <row r="12" spans="1:37">
      <c r="A12" s="408"/>
      <c r="B12" s="408"/>
      <c r="C12" s="408"/>
      <c r="D12" s="408"/>
      <c r="E12" s="408"/>
      <c r="F12" s="408"/>
      <c r="G12" s="408"/>
      <c r="H12" s="408"/>
      <c r="I12" s="408"/>
      <c r="J12" s="408"/>
      <c r="K12" s="408"/>
      <c r="L12" s="408"/>
      <c r="M12" s="408"/>
      <c r="N12" s="408"/>
      <c r="O12" s="408"/>
      <c r="P12" s="408"/>
      <c r="Q12" s="408"/>
      <c r="R12" s="408"/>
      <c r="S12" s="408"/>
      <c r="T12" s="408"/>
      <c r="U12" s="408"/>
      <c r="V12" s="408"/>
      <c r="W12" s="408"/>
      <c r="X12" s="408"/>
      <c r="Y12" s="408"/>
      <c r="Z12" s="408"/>
      <c r="AA12" s="408"/>
      <c r="AB12" s="408"/>
      <c r="AC12" s="408"/>
      <c r="AD12" s="408"/>
      <c r="AE12" s="408"/>
      <c r="AF12" s="408"/>
      <c r="AG12" s="408"/>
      <c r="AH12" s="408"/>
      <c r="AI12" s="408"/>
      <c r="AJ12" s="408"/>
      <c r="AK12" s="408"/>
    </row>
    <row r="13" spans="1:37">
      <c r="A13" s="408"/>
      <c r="B13" s="408"/>
      <c r="C13" s="408"/>
      <c r="D13" s="408"/>
      <c r="E13" s="408"/>
      <c r="F13" s="408"/>
      <c r="G13" s="408"/>
      <c r="H13" s="408"/>
      <c r="I13" s="408"/>
      <c r="J13" s="408"/>
      <c r="K13" s="408"/>
      <c r="L13" s="408"/>
      <c r="M13" s="408"/>
      <c r="N13" s="408"/>
      <c r="O13" s="408"/>
      <c r="P13" s="408"/>
      <c r="Q13" s="408"/>
      <c r="R13" s="408"/>
      <c r="S13" s="408"/>
      <c r="T13" s="408"/>
      <c r="U13" s="408"/>
      <c r="V13" s="408"/>
      <c r="W13" s="408"/>
      <c r="X13" s="408"/>
      <c r="Y13" s="408"/>
      <c r="Z13" s="408"/>
      <c r="AA13" s="408"/>
      <c r="AB13" s="408"/>
      <c r="AC13" s="408"/>
      <c r="AD13" s="408"/>
      <c r="AE13" s="408"/>
      <c r="AF13" s="408"/>
      <c r="AG13" s="408"/>
      <c r="AH13" s="408"/>
      <c r="AI13" s="408"/>
      <c r="AJ13" s="408"/>
      <c r="AK13" s="408"/>
    </row>
    <row r="14" spans="1:37">
      <c r="A14" s="408"/>
      <c r="B14" s="408"/>
      <c r="C14" s="408"/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408"/>
      <c r="O14" s="408"/>
      <c r="P14" s="408"/>
      <c r="Q14" s="408"/>
      <c r="R14" s="408"/>
      <c r="S14" s="408"/>
      <c r="T14" s="408"/>
      <c r="U14" s="408"/>
      <c r="V14" s="408"/>
      <c r="W14" s="408"/>
      <c r="X14" s="408"/>
      <c r="Y14" s="408"/>
      <c r="Z14" s="408"/>
      <c r="AA14" s="408"/>
      <c r="AB14" s="408"/>
      <c r="AC14" s="408"/>
      <c r="AD14" s="408"/>
      <c r="AE14" s="408"/>
      <c r="AF14" s="408"/>
      <c r="AG14" s="408"/>
      <c r="AH14" s="408"/>
      <c r="AI14" s="408"/>
      <c r="AJ14" s="408"/>
      <c r="AK14" s="408"/>
    </row>
    <row r="15" spans="1:37">
      <c r="A15" s="408"/>
      <c r="B15" s="408"/>
      <c r="C15" s="408"/>
      <c r="D15" s="408"/>
      <c r="E15" s="408"/>
      <c r="F15" s="408"/>
      <c r="G15" s="408"/>
      <c r="H15" s="408"/>
      <c r="I15" s="408"/>
      <c r="J15" s="408"/>
      <c r="K15" s="408"/>
      <c r="L15" s="408"/>
      <c r="M15" s="408"/>
      <c r="N15" s="408"/>
      <c r="O15" s="408"/>
      <c r="P15" s="408"/>
      <c r="Q15" s="408"/>
      <c r="R15" s="408"/>
      <c r="S15" s="408"/>
      <c r="T15" s="408"/>
      <c r="U15" s="408"/>
      <c r="V15" s="408"/>
      <c r="W15" s="408"/>
      <c r="X15" s="408"/>
      <c r="Y15" s="408"/>
      <c r="Z15" s="408"/>
      <c r="AA15" s="408"/>
      <c r="AB15" s="408"/>
      <c r="AC15" s="408"/>
      <c r="AD15" s="408"/>
      <c r="AE15" s="408"/>
      <c r="AF15" s="408"/>
      <c r="AG15" s="408"/>
      <c r="AH15" s="408"/>
      <c r="AI15" s="408"/>
      <c r="AJ15" s="408"/>
      <c r="AK15" s="408"/>
    </row>
    <row r="16" spans="1:37">
      <c r="A16" s="408"/>
      <c r="B16" s="408"/>
      <c r="C16" s="408"/>
      <c r="D16" s="408"/>
      <c r="E16" s="408"/>
      <c r="F16" s="408"/>
      <c r="G16" s="408"/>
      <c r="H16" s="408"/>
      <c r="I16" s="408"/>
      <c r="J16" s="408"/>
      <c r="K16" s="408"/>
      <c r="L16" s="408"/>
      <c r="M16" s="408"/>
      <c r="N16" s="408"/>
      <c r="O16" s="408"/>
      <c r="P16" s="408"/>
      <c r="Q16" s="408"/>
      <c r="R16" s="408"/>
      <c r="S16" s="408"/>
      <c r="T16" s="408"/>
      <c r="U16" s="408"/>
      <c r="V16" s="408"/>
      <c r="W16" s="408"/>
      <c r="X16" s="408"/>
      <c r="Y16" s="408"/>
      <c r="Z16" s="408"/>
      <c r="AA16" s="408"/>
      <c r="AB16" s="408"/>
      <c r="AC16" s="408"/>
      <c r="AD16" s="408"/>
      <c r="AE16" s="408"/>
      <c r="AF16" s="408"/>
      <c r="AG16" s="408"/>
      <c r="AH16" s="408"/>
      <c r="AI16" s="408"/>
      <c r="AJ16" s="408"/>
      <c r="AK16" s="408"/>
    </row>
    <row r="17" spans="1:37">
      <c r="A17" s="408"/>
      <c r="B17" s="408"/>
      <c r="C17" s="408"/>
      <c r="D17" s="408"/>
      <c r="E17" s="408"/>
      <c r="F17" s="408"/>
      <c r="G17" s="408"/>
      <c r="H17" s="408"/>
      <c r="I17" s="408"/>
      <c r="J17" s="408"/>
      <c r="K17" s="408"/>
      <c r="L17" s="408"/>
      <c r="M17" s="408"/>
      <c r="N17" s="408"/>
      <c r="O17" s="408"/>
      <c r="P17" s="408"/>
      <c r="Q17" s="408"/>
      <c r="R17" s="408"/>
      <c r="S17" s="408"/>
      <c r="T17" s="408"/>
      <c r="U17" s="408"/>
      <c r="V17" s="408"/>
      <c r="W17" s="408"/>
      <c r="X17" s="408"/>
      <c r="Y17" s="408"/>
      <c r="Z17" s="408"/>
      <c r="AA17" s="408"/>
      <c r="AB17" s="408"/>
      <c r="AC17" s="408"/>
      <c r="AD17" s="408"/>
      <c r="AE17" s="408"/>
      <c r="AF17" s="408"/>
      <c r="AG17" s="408"/>
      <c r="AH17" s="408"/>
      <c r="AI17" s="408"/>
      <c r="AJ17" s="408"/>
      <c r="AK17" s="408"/>
    </row>
    <row r="18" spans="1:37">
      <c r="A18" s="408"/>
      <c r="B18" s="408"/>
      <c r="C18" s="408"/>
      <c r="D18" s="408"/>
      <c r="E18" s="408"/>
      <c r="F18" s="408"/>
      <c r="G18" s="408"/>
      <c r="H18" s="408"/>
      <c r="I18" s="408"/>
      <c r="J18" s="408"/>
      <c r="K18" s="408"/>
      <c r="L18" s="408"/>
      <c r="M18" s="408"/>
      <c r="N18" s="408"/>
      <c r="O18" s="408"/>
      <c r="P18" s="408"/>
      <c r="Q18" s="408"/>
      <c r="R18" s="408"/>
      <c r="S18" s="408"/>
      <c r="T18" s="408"/>
      <c r="U18" s="408"/>
      <c r="V18" s="408"/>
      <c r="W18" s="408"/>
      <c r="X18" s="408"/>
      <c r="Y18" s="408"/>
      <c r="Z18" s="408"/>
      <c r="AA18" s="408"/>
      <c r="AB18" s="408"/>
      <c r="AC18" s="408"/>
      <c r="AD18" s="408"/>
      <c r="AE18" s="408"/>
      <c r="AF18" s="408"/>
      <c r="AG18" s="408"/>
      <c r="AH18" s="408"/>
      <c r="AI18" s="408"/>
      <c r="AJ18" s="408"/>
      <c r="AK18" s="408"/>
    </row>
    <row r="19" spans="1:37">
      <c r="A19" s="408"/>
      <c r="B19" s="408"/>
      <c r="C19" s="408"/>
      <c r="D19" s="408"/>
      <c r="E19" s="408"/>
      <c r="F19" s="408"/>
      <c r="G19" s="408"/>
      <c r="H19" s="408"/>
      <c r="I19" s="408"/>
      <c r="J19" s="408"/>
      <c r="K19" s="408"/>
      <c r="L19" s="408"/>
      <c r="M19" s="408"/>
      <c r="N19" s="408"/>
      <c r="O19" s="408"/>
      <c r="P19" s="408"/>
      <c r="Q19" s="408"/>
      <c r="R19" s="408"/>
      <c r="S19" s="408"/>
      <c r="T19" s="408"/>
      <c r="U19" s="408"/>
      <c r="V19" s="408"/>
      <c r="W19" s="408"/>
      <c r="X19" s="408"/>
      <c r="Y19" s="408"/>
      <c r="Z19" s="408"/>
      <c r="AA19" s="408"/>
      <c r="AB19" s="408"/>
      <c r="AC19" s="408"/>
      <c r="AD19" s="408"/>
      <c r="AE19" s="408"/>
      <c r="AF19" s="408"/>
      <c r="AG19" s="408"/>
      <c r="AH19" s="408"/>
      <c r="AI19" s="408"/>
      <c r="AJ19" s="408"/>
      <c r="AK19" s="408"/>
    </row>
    <row r="20" spans="1:37">
      <c r="A20" s="408"/>
      <c r="B20" s="408"/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08"/>
      <c r="O20" s="408"/>
      <c r="P20" s="408"/>
      <c r="Q20" s="408"/>
      <c r="R20" s="408"/>
      <c r="S20" s="408"/>
      <c r="T20" s="408"/>
      <c r="U20" s="408"/>
      <c r="V20" s="408"/>
      <c r="W20" s="408"/>
      <c r="X20" s="408"/>
      <c r="Y20" s="408"/>
      <c r="Z20" s="408"/>
      <c r="AA20" s="408"/>
      <c r="AB20" s="408"/>
      <c r="AC20" s="408"/>
      <c r="AD20" s="408"/>
      <c r="AE20" s="408"/>
      <c r="AF20" s="408"/>
      <c r="AG20" s="408"/>
      <c r="AH20" s="408"/>
      <c r="AI20" s="408"/>
      <c r="AJ20" s="408"/>
      <c r="AK20" s="408"/>
    </row>
    <row r="21" spans="1:37">
      <c r="A21" s="408"/>
      <c r="B21" s="408"/>
      <c r="C21" s="408"/>
      <c r="D21" s="408"/>
      <c r="E21" s="408"/>
      <c r="F21" s="408"/>
      <c r="G21" s="408"/>
      <c r="H21" s="408"/>
      <c r="I21" s="408"/>
      <c r="J21" s="408"/>
      <c r="K21" s="408"/>
      <c r="L21" s="408"/>
      <c r="M21" s="408"/>
      <c r="N21" s="408"/>
      <c r="O21" s="408"/>
      <c r="P21" s="408"/>
      <c r="Q21" s="408"/>
      <c r="R21" s="408"/>
      <c r="S21" s="408"/>
      <c r="T21" s="408"/>
      <c r="U21" s="408"/>
      <c r="V21" s="408"/>
      <c r="W21" s="408"/>
      <c r="X21" s="408"/>
      <c r="Y21" s="408"/>
      <c r="Z21" s="408"/>
      <c r="AA21" s="408"/>
      <c r="AB21" s="408"/>
      <c r="AC21" s="408"/>
      <c r="AD21" s="408"/>
      <c r="AE21" s="408"/>
      <c r="AF21" s="408"/>
      <c r="AG21" s="408"/>
      <c r="AH21" s="408"/>
      <c r="AI21" s="408"/>
      <c r="AJ21" s="408"/>
      <c r="AK21" s="408"/>
    </row>
    <row r="22" spans="1:37">
      <c r="A22" s="408"/>
      <c r="B22" s="408"/>
      <c r="C22" s="408"/>
      <c r="D22" s="408"/>
      <c r="E22" s="408"/>
      <c r="F22" s="408"/>
      <c r="G22" s="408"/>
      <c r="H22" s="408"/>
      <c r="I22" s="408"/>
      <c r="J22" s="408"/>
      <c r="K22" s="408"/>
      <c r="L22" s="408"/>
      <c r="M22" s="408"/>
      <c r="N22" s="408"/>
      <c r="O22" s="408"/>
      <c r="P22" s="408"/>
      <c r="Q22" s="408"/>
      <c r="R22" s="408"/>
      <c r="S22" s="408"/>
      <c r="T22" s="408"/>
      <c r="U22" s="408"/>
      <c r="V22" s="408"/>
      <c r="W22" s="408"/>
      <c r="X22" s="408"/>
      <c r="Y22" s="408"/>
      <c r="Z22" s="408"/>
      <c r="AA22" s="408"/>
      <c r="AB22" s="408"/>
      <c r="AC22" s="408"/>
      <c r="AD22" s="408"/>
      <c r="AE22" s="408"/>
      <c r="AF22" s="408"/>
      <c r="AG22" s="408"/>
      <c r="AH22" s="408"/>
      <c r="AI22" s="408"/>
      <c r="AJ22" s="408"/>
      <c r="AK22" s="408"/>
    </row>
    <row r="23" spans="1:37">
      <c r="A23" s="408"/>
      <c r="B23" s="408"/>
      <c r="C23" s="408"/>
      <c r="D23" s="408"/>
      <c r="E23" s="408"/>
      <c r="F23" s="408"/>
      <c r="G23" s="408"/>
      <c r="H23" s="408"/>
      <c r="I23" s="408"/>
      <c r="J23" s="408"/>
      <c r="K23" s="408"/>
      <c r="L23" s="408"/>
      <c r="M23" s="408"/>
      <c r="N23" s="408"/>
      <c r="O23" s="408"/>
      <c r="P23" s="408"/>
      <c r="Q23" s="408"/>
      <c r="R23" s="408"/>
      <c r="S23" s="408"/>
      <c r="T23" s="408"/>
      <c r="U23" s="408"/>
      <c r="V23" s="408"/>
      <c r="W23" s="408"/>
      <c r="X23" s="408"/>
      <c r="Y23" s="408"/>
      <c r="Z23" s="408"/>
      <c r="AA23" s="408"/>
      <c r="AB23" s="408"/>
      <c r="AC23" s="408"/>
      <c r="AD23" s="408"/>
      <c r="AE23" s="408"/>
      <c r="AF23" s="408"/>
      <c r="AG23" s="408"/>
      <c r="AH23" s="408"/>
      <c r="AI23" s="408"/>
      <c r="AJ23" s="408"/>
      <c r="AK23" s="408"/>
    </row>
    <row r="24" spans="1:37">
      <c r="A24" s="408"/>
      <c r="B24" s="408"/>
      <c r="C24" s="408"/>
      <c r="D24" s="408"/>
      <c r="E24" s="408"/>
      <c r="F24" s="408"/>
      <c r="G24" s="408"/>
      <c r="H24" s="408"/>
      <c r="I24" s="408"/>
      <c r="J24" s="408"/>
      <c r="K24" s="408"/>
      <c r="L24" s="408"/>
      <c r="M24" s="408"/>
      <c r="N24" s="408"/>
      <c r="O24" s="408"/>
      <c r="P24" s="408"/>
      <c r="Q24" s="408"/>
      <c r="R24" s="408"/>
      <c r="S24" s="408"/>
      <c r="T24" s="408"/>
      <c r="U24" s="408"/>
      <c r="V24" s="408"/>
      <c r="W24" s="408"/>
      <c r="X24" s="408"/>
      <c r="Y24" s="408"/>
      <c r="Z24" s="408"/>
      <c r="AA24" s="408"/>
      <c r="AB24" s="408"/>
      <c r="AC24" s="408"/>
      <c r="AD24" s="408"/>
      <c r="AE24" s="408"/>
      <c r="AF24" s="408"/>
      <c r="AG24" s="408"/>
      <c r="AH24" s="408"/>
      <c r="AI24" s="408"/>
      <c r="AJ24" s="408"/>
      <c r="AK24" s="408"/>
    </row>
    <row r="25" spans="1:37">
      <c r="A25" s="408"/>
      <c r="B25" s="408"/>
      <c r="C25" s="408"/>
      <c r="D25" s="408"/>
      <c r="E25" s="408"/>
      <c r="F25" s="408"/>
      <c r="G25" s="408"/>
      <c r="H25" s="408"/>
      <c r="I25" s="408"/>
      <c r="J25" s="408"/>
      <c r="K25" s="408"/>
      <c r="L25" s="408"/>
      <c r="M25" s="408"/>
      <c r="N25" s="408"/>
      <c r="O25" s="408"/>
      <c r="P25" s="408"/>
      <c r="Q25" s="408"/>
      <c r="R25" s="408"/>
      <c r="S25" s="408"/>
      <c r="T25" s="408"/>
      <c r="U25" s="408"/>
      <c r="V25" s="408"/>
      <c r="W25" s="408"/>
      <c r="X25" s="408"/>
      <c r="Y25" s="408"/>
      <c r="Z25" s="408"/>
      <c r="AA25" s="408"/>
      <c r="AB25" s="408"/>
      <c r="AC25" s="408"/>
      <c r="AD25" s="408"/>
      <c r="AE25" s="408"/>
      <c r="AF25" s="408"/>
      <c r="AG25" s="408"/>
      <c r="AH25" s="408"/>
      <c r="AI25" s="408"/>
      <c r="AJ25" s="408"/>
      <c r="AK25" s="408"/>
    </row>
    <row r="26" spans="1:37">
      <c r="A26" s="408"/>
      <c r="B26" s="408"/>
      <c r="C26" s="408"/>
      <c r="D26" s="408"/>
      <c r="E26" s="408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8"/>
      <c r="Z26" s="408"/>
      <c r="AA26" s="408"/>
      <c r="AB26" s="408"/>
      <c r="AC26" s="408"/>
      <c r="AD26" s="408"/>
      <c r="AE26" s="408"/>
      <c r="AF26" s="408"/>
      <c r="AG26" s="408"/>
      <c r="AH26" s="408"/>
      <c r="AI26" s="408"/>
      <c r="AJ26" s="408"/>
      <c r="AK26" s="408"/>
    </row>
    <row r="27" spans="1:37">
      <c r="A27" s="408"/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08"/>
      <c r="Q27" s="408"/>
      <c r="R27" s="408"/>
      <c r="S27" s="408"/>
      <c r="T27" s="408"/>
      <c r="U27" s="408"/>
      <c r="V27" s="408"/>
      <c r="W27" s="408"/>
      <c r="X27" s="408"/>
      <c r="Y27" s="408"/>
      <c r="Z27" s="408"/>
      <c r="AA27" s="408"/>
      <c r="AB27" s="408"/>
      <c r="AC27" s="408"/>
      <c r="AD27" s="408"/>
      <c r="AE27" s="408"/>
      <c r="AF27" s="408"/>
      <c r="AG27" s="408"/>
      <c r="AH27" s="408"/>
      <c r="AI27" s="408"/>
      <c r="AJ27" s="408"/>
      <c r="AK27" s="408"/>
    </row>
    <row r="28" spans="1:37">
      <c r="A28" s="408"/>
      <c r="B28" s="408"/>
      <c r="C28" s="408"/>
      <c r="D28" s="408"/>
      <c r="E28" s="408"/>
      <c r="F28" s="408"/>
      <c r="G28" s="408"/>
      <c r="H28" s="408"/>
      <c r="I28" s="408"/>
      <c r="J28" s="408"/>
      <c r="K28" s="408"/>
      <c r="L28" s="408"/>
      <c r="M28" s="408"/>
      <c r="N28" s="408"/>
      <c r="O28" s="408"/>
      <c r="P28" s="408"/>
      <c r="Q28" s="408"/>
      <c r="R28" s="408"/>
      <c r="S28" s="408"/>
      <c r="T28" s="408"/>
      <c r="U28" s="408"/>
      <c r="V28" s="408"/>
      <c r="W28" s="408"/>
      <c r="X28" s="408"/>
      <c r="Y28" s="408"/>
      <c r="Z28" s="408"/>
      <c r="AA28" s="408"/>
      <c r="AB28" s="408"/>
      <c r="AC28" s="408"/>
      <c r="AD28" s="408"/>
      <c r="AE28" s="408"/>
      <c r="AF28" s="408"/>
      <c r="AG28" s="408"/>
      <c r="AH28" s="408"/>
      <c r="AI28" s="408"/>
      <c r="AJ28" s="408"/>
      <c r="AK28" s="408"/>
    </row>
    <row r="29" spans="1:37">
      <c r="A29" s="408"/>
      <c r="B29" s="408"/>
      <c r="C29" s="408"/>
      <c r="D29" s="408"/>
      <c r="E29" s="408"/>
      <c r="F29" s="408"/>
      <c r="G29" s="408"/>
      <c r="H29" s="408"/>
      <c r="I29" s="408"/>
      <c r="J29" s="408"/>
      <c r="K29" s="408"/>
      <c r="L29" s="408"/>
      <c r="M29" s="408"/>
      <c r="N29" s="408"/>
      <c r="O29" s="408"/>
      <c r="P29" s="408"/>
      <c r="Q29" s="408"/>
      <c r="R29" s="408"/>
      <c r="S29" s="408"/>
      <c r="T29" s="408"/>
      <c r="U29" s="408"/>
      <c r="V29" s="408"/>
      <c r="W29" s="408"/>
      <c r="X29" s="408"/>
      <c r="Y29" s="408"/>
      <c r="Z29" s="408"/>
      <c r="AA29" s="408"/>
      <c r="AB29" s="408"/>
      <c r="AC29" s="408"/>
      <c r="AD29" s="408"/>
      <c r="AE29" s="408"/>
      <c r="AF29" s="408"/>
      <c r="AG29" s="408"/>
      <c r="AH29" s="408"/>
      <c r="AI29" s="408"/>
      <c r="AJ29" s="408"/>
      <c r="AK29" s="408"/>
    </row>
    <row r="30" spans="1:37">
      <c r="A30" s="408"/>
      <c r="B30" s="408"/>
      <c r="C30" s="408"/>
      <c r="D30" s="408"/>
      <c r="E30" s="408"/>
      <c r="F30" s="408"/>
      <c r="G30" s="408"/>
      <c r="H30" s="408"/>
      <c r="I30" s="408"/>
      <c r="J30" s="408"/>
      <c r="K30" s="408"/>
      <c r="L30" s="408"/>
      <c r="M30" s="408"/>
      <c r="N30" s="408"/>
      <c r="O30" s="408"/>
      <c r="P30" s="408"/>
      <c r="Q30" s="408"/>
      <c r="R30" s="408"/>
      <c r="S30" s="408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408"/>
      <c r="AG30" s="408"/>
      <c r="AH30" s="408"/>
      <c r="AI30" s="408"/>
      <c r="AJ30" s="408"/>
      <c r="AK30" s="408"/>
    </row>
    <row r="31" spans="1:37">
      <c r="A31" s="408"/>
      <c r="B31" s="408"/>
      <c r="C31" s="408"/>
      <c r="D31" s="408"/>
      <c r="E31" s="408"/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8"/>
      <c r="V31" s="408"/>
      <c r="W31" s="408"/>
      <c r="X31" s="408"/>
      <c r="Y31" s="408"/>
      <c r="Z31" s="408"/>
      <c r="AA31" s="408"/>
      <c r="AB31" s="408"/>
      <c r="AC31" s="408"/>
      <c r="AD31" s="408"/>
      <c r="AE31" s="408"/>
      <c r="AF31" s="408"/>
      <c r="AG31" s="408"/>
      <c r="AH31" s="408"/>
      <c r="AI31" s="408"/>
      <c r="AJ31" s="408"/>
      <c r="AK31" s="408"/>
    </row>
    <row r="32" spans="1:37">
      <c r="A32" s="408"/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408"/>
      <c r="V32" s="408"/>
      <c r="W32" s="408"/>
      <c r="X32" s="408"/>
      <c r="Y32" s="408"/>
      <c r="Z32" s="408"/>
      <c r="AA32" s="408"/>
      <c r="AB32" s="408"/>
      <c r="AC32" s="408"/>
      <c r="AD32" s="408"/>
      <c r="AE32" s="408"/>
      <c r="AF32" s="408"/>
      <c r="AG32" s="408"/>
      <c r="AH32" s="408"/>
      <c r="AI32" s="408"/>
      <c r="AJ32" s="408"/>
      <c r="AK32" s="408"/>
    </row>
    <row r="33" spans="1:37">
      <c r="A33" s="408"/>
      <c r="B33" s="408"/>
      <c r="C33" s="408"/>
      <c r="D33" s="408"/>
      <c r="E33" s="408"/>
      <c r="F33" s="408"/>
      <c r="G33" s="408"/>
      <c r="H33" s="408"/>
      <c r="I33" s="408"/>
      <c r="J33" s="408"/>
      <c r="K33" s="408"/>
      <c r="L33" s="408"/>
      <c r="M33" s="408"/>
      <c r="N33" s="408"/>
      <c r="O33" s="408"/>
      <c r="P33" s="408"/>
      <c r="Q33" s="408"/>
      <c r="R33" s="408"/>
      <c r="S33" s="408"/>
      <c r="T33" s="408"/>
      <c r="U33" s="408"/>
      <c r="V33" s="408"/>
      <c r="W33" s="408"/>
      <c r="X33" s="408"/>
      <c r="Y33" s="408"/>
      <c r="Z33" s="408"/>
      <c r="AA33" s="408"/>
      <c r="AB33" s="408"/>
      <c r="AC33" s="408"/>
      <c r="AD33" s="408"/>
      <c r="AE33" s="408"/>
      <c r="AF33" s="408"/>
      <c r="AG33" s="408"/>
      <c r="AH33" s="408"/>
      <c r="AI33" s="408"/>
      <c r="AJ33" s="408"/>
      <c r="AK33" s="408"/>
    </row>
    <row r="34" spans="1:37">
      <c r="A34" s="408"/>
      <c r="B34" s="408"/>
      <c r="C34" s="408"/>
      <c r="D34" s="408"/>
      <c r="E34" s="408"/>
      <c r="F34" s="408"/>
      <c r="G34" s="408"/>
      <c r="H34" s="408"/>
      <c r="I34" s="408"/>
      <c r="J34" s="408"/>
      <c r="K34" s="408"/>
      <c r="L34" s="408"/>
      <c r="M34" s="408"/>
      <c r="N34" s="408"/>
      <c r="O34" s="408"/>
      <c r="P34" s="408"/>
      <c r="Q34" s="408"/>
      <c r="R34" s="408"/>
      <c r="S34" s="408"/>
      <c r="T34" s="408"/>
      <c r="U34" s="408"/>
      <c r="V34" s="408"/>
      <c r="W34" s="408"/>
      <c r="X34" s="408"/>
      <c r="Y34" s="408"/>
      <c r="Z34" s="408"/>
      <c r="AA34" s="408"/>
      <c r="AB34" s="408"/>
      <c r="AC34" s="408"/>
      <c r="AD34" s="408"/>
      <c r="AE34" s="408"/>
      <c r="AF34" s="408"/>
      <c r="AG34" s="408"/>
      <c r="AH34" s="408"/>
      <c r="AI34" s="408"/>
      <c r="AJ34" s="408"/>
      <c r="AK34" s="408"/>
    </row>
    <row r="35" spans="1:37">
      <c r="A35" s="408"/>
      <c r="B35" s="408"/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8"/>
      <c r="Q35" s="408"/>
      <c r="R35" s="408"/>
      <c r="S35" s="408"/>
      <c r="T35" s="408"/>
      <c r="U35" s="408"/>
      <c r="V35" s="408"/>
      <c r="W35" s="408"/>
      <c r="X35" s="408"/>
      <c r="Y35" s="408"/>
      <c r="Z35" s="408"/>
      <c r="AA35" s="408"/>
      <c r="AB35" s="408"/>
      <c r="AC35" s="408"/>
      <c r="AD35" s="408"/>
      <c r="AE35" s="408"/>
      <c r="AF35" s="408"/>
      <c r="AG35" s="408"/>
      <c r="AH35" s="408"/>
      <c r="AI35" s="408"/>
      <c r="AJ35" s="408"/>
      <c r="AK35" s="408"/>
    </row>
    <row r="36" spans="1:37">
      <c r="A36" s="408"/>
      <c r="B36" s="408"/>
      <c r="C36" s="408"/>
      <c r="D36" s="408"/>
      <c r="E36" s="408"/>
      <c r="F36" s="408"/>
      <c r="G36" s="408"/>
      <c r="H36" s="408"/>
      <c r="I36" s="408"/>
      <c r="J36" s="408"/>
      <c r="K36" s="408"/>
      <c r="L36" s="408"/>
      <c r="M36" s="408"/>
      <c r="N36" s="408"/>
      <c r="O36" s="408"/>
      <c r="P36" s="408"/>
      <c r="Q36" s="408"/>
      <c r="R36" s="408"/>
      <c r="S36" s="408"/>
      <c r="T36" s="408"/>
      <c r="U36" s="408"/>
      <c r="V36" s="408"/>
      <c r="W36" s="408"/>
      <c r="X36" s="408"/>
      <c r="Y36" s="408"/>
      <c r="Z36" s="408"/>
      <c r="AA36" s="408"/>
      <c r="AB36" s="408"/>
      <c r="AC36" s="408"/>
      <c r="AD36" s="408"/>
      <c r="AE36" s="408"/>
      <c r="AF36" s="408"/>
      <c r="AG36" s="408"/>
      <c r="AH36" s="408"/>
      <c r="AI36" s="408"/>
      <c r="AJ36" s="408"/>
      <c r="AK36" s="408"/>
    </row>
    <row r="37" spans="1:37">
      <c r="A37" s="408"/>
      <c r="B37" s="408"/>
      <c r="C37" s="408"/>
      <c r="D37" s="408"/>
      <c r="E37" s="408"/>
      <c r="F37" s="408"/>
      <c r="G37" s="408"/>
      <c r="H37" s="408"/>
      <c r="I37" s="408"/>
      <c r="J37" s="408"/>
      <c r="K37" s="408"/>
      <c r="L37" s="408"/>
      <c r="M37" s="408"/>
      <c r="N37" s="408"/>
      <c r="O37" s="408"/>
      <c r="P37" s="408"/>
      <c r="Q37" s="408"/>
      <c r="R37" s="408"/>
      <c r="S37" s="408"/>
      <c r="T37" s="408"/>
      <c r="U37" s="408"/>
      <c r="V37" s="408"/>
      <c r="W37" s="408"/>
      <c r="X37" s="408"/>
      <c r="Y37" s="408"/>
      <c r="Z37" s="408"/>
      <c r="AA37" s="408"/>
      <c r="AB37" s="408"/>
      <c r="AC37" s="408"/>
      <c r="AD37" s="408"/>
      <c r="AE37" s="408"/>
      <c r="AF37" s="408"/>
      <c r="AG37" s="408"/>
      <c r="AH37" s="408"/>
      <c r="AI37" s="408"/>
      <c r="AJ37" s="408"/>
      <c r="AK37" s="408"/>
    </row>
    <row r="38" spans="1:37">
      <c r="A38" s="408"/>
      <c r="B38" s="408"/>
      <c r="C38" s="408"/>
      <c r="D38" s="408"/>
      <c r="E38" s="408"/>
      <c r="F38" s="408"/>
      <c r="G38" s="408"/>
      <c r="H38" s="408"/>
      <c r="I38" s="408"/>
      <c r="J38" s="408"/>
      <c r="K38" s="408"/>
      <c r="L38" s="408"/>
      <c r="M38" s="408"/>
      <c r="N38" s="408"/>
      <c r="O38" s="408"/>
      <c r="P38" s="408"/>
      <c r="Q38" s="408"/>
      <c r="R38" s="408"/>
      <c r="S38" s="408"/>
      <c r="T38" s="408"/>
      <c r="U38" s="408"/>
      <c r="V38" s="408"/>
      <c r="W38" s="408"/>
      <c r="X38" s="408"/>
      <c r="Y38" s="408"/>
      <c r="Z38" s="408"/>
      <c r="AA38" s="408"/>
      <c r="AB38" s="408"/>
      <c r="AC38" s="408"/>
      <c r="AD38" s="408"/>
      <c r="AE38" s="408"/>
      <c r="AF38" s="408"/>
      <c r="AG38" s="408"/>
      <c r="AH38" s="408"/>
      <c r="AI38" s="408"/>
      <c r="AJ38" s="408"/>
      <c r="AK38" s="408"/>
    </row>
    <row r="39" spans="1:37">
      <c r="A39" s="408"/>
      <c r="B39" s="408"/>
      <c r="C39" s="408"/>
      <c r="D39" s="408"/>
      <c r="E39" s="408"/>
      <c r="F39" s="408"/>
      <c r="G39" s="408"/>
      <c r="H39" s="408"/>
      <c r="I39" s="408"/>
      <c r="J39" s="408"/>
      <c r="K39" s="408"/>
      <c r="L39" s="408"/>
      <c r="M39" s="408"/>
      <c r="N39" s="408"/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8"/>
      <c r="Z39" s="408"/>
      <c r="AA39" s="408"/>
      <c r="AB39" s="408"/>
      <c r="AC39" s="408"/>
      <c r="AD39" s="408"/>
      <c r="AE39" s="408"/>
      <c r="AF39" s="408"/>
      <c r="AG39" s="408"/>
      <c r="AH39" s="408"/>
      <c r="AI39" s="408"/>
      <c r="AJ39" s="408"/>
      <c r="AK39" s="408"/>
    </row>
    <row r="40" spans="1:37">
      <c r="A40" s="408"/>
      <c r="B40" s="408"/>
      <c r="C40" s="408"/>
      <c r="D40" s="408"/>
      <c r="E40" s="408"/>
      <c r="F40" s="408"/>
      <c r="G40" s="408"/>
      <c r="H40" s="408"/>
      <c r="I40" s="408"/>
      <c r="J40" s="408"/>
      <c r="K40" s="408"/>
      <c r="L40" s="408"/>
      <c r="M40" s="408"/>
      <c r="N40" s="408"/>
      <c r="O40" s="408"/>
      <c r="P40" s="408"/>
      <c r="Q40" s="408"/>
      <c r="R40" s="408"/>
      <c r="S40" s="408"/>
      <c r="T40" s="408"/>
      <c r="U40" s="408"/>
      <c r="V40" s="408"/>
      <c r="W40" s="408"/>
      <c r="X40" s="408"/>
      <c r="Y40" s="408"/>
      <c r="Z40" s="408"/>
      <c r="AA40" s="408"/>
      <c r="AB40" s="408"/>
      <c r="AC40" s="408"/>
      <c r="AD40" s="408"/>
      <c r="AE40" s="408"/>
      <c r="AF40" s="408"/>
      <c r="AG40" s="408"/>
      <c r="AH40" s="408"/>
      <c r="AI40" s="408"/>
      <c r="AJ40" s="408"/>
      <c r="AK40" s="408"/>
    </row>
    <row r="41" spans="1:37">
      <c r="A41" s="408"/>
      <c r="B41" s="408"/>
      <c r="C41" s="408"/>
      <c r="D41" s="408"/>
      <c r="E41" s="408"/>
      <c r="F41" s="408"/>
      <c r="G41" s="408"/>
      <c r="H41" s="408"/>
      <c r="I41" s="408"/>
      <c r="J41" s="408"/>
      <c r="K41" s="408"/>
      <c r="L41" s="408"/>
      <c r="M41" s="408"/>
      <c r="N41" s="408"/>
      <c r="O41" s="408"/>
      <c r="P41" s="408"/>
      <c r="Q41" s="408"/>
      <c r="R41" s="408"/>
      <c r="S41" s="408"/>
      <c r="T41" s="408"/>
      <c r="U41" s="408"/>
      <c r="V41" s="408"/>
      <c r="W41" s="408"/>
      <c r="X41" s="408"/>
      <c r="Y41" s="408"/>
      <c r="Z41" s="408"/>
      <c r="AA41" s="408"/>
      <c r="AB41" s="408"/>
      <c r="AC41" s="408"/>
      <c r="AD41" s="408"/>
      <c r="AE41" s="408"/>
      <c r="AF41" s="408"/>
      <c r="AG41" s="408"/>
      <c r="AH41" s="408"/>
      <c r="AI41" s="408"/>
      <c r="AJ41" s="408"/>
      <c r="AK41" s="408"/>
    </row>
    <row r="42" spans="1:37">
      <c r="A42" s="408"/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8"/>
      <c r="T42" s="408"/>
      <c r="U42" s="408"/>
      <c r="V42" s="408"/>
      <c r="W42" s="408"/>
      <c r="X42" s="408"/>
      <c r="Y42" s="408"/>
      <c r="Z42" s="408"/>
      <c r="AA42" s="408"/>
      <c r="AB42" s="408"/>
      <c r="AC42" s="408"/>
      <c r="AD42" s="408"/>
      <c r="AE42" s="408"/>
      <c r="AF42" s="408"/>
      <c r="AG42" s="408"/>
      <c r="AH42" s="408"/>
      <c r="AI42" s="408"/>
      <c r="AJ42" s="408"/>
      <c r="AK42" s="408"/>
    </row>
    <row r="43" spans="1:37">
      <c r="A43" s="408"/>
      <c r="B43" s="408"/>
      <c r="C43" s="408"/>
      <c r="D43" s="408"/>
      <c r="E43" s="408"/>
      <c r="F43" s="408"/>
      <c r="G43" s="408"/>
      <c r="H43" s="408"/>
      <c r="I43" s="408"/>
      <c r="J43" s="408"/>
      <c r="K43" s="408"/>
      <c r="L43" s="408"/>
      <c r="M43" s="408"/>
      <c r="N43" s="408"/>
      <c r="O43" s="408"/>
      <c r="P43" s="408"/>
      <c r="Q43" s="408"/>
      <c r="R43" s="408"/>
      <c r="S43" s="408"/>
      <c r="T43" s="408"/>
      <c r="U43" s="408"/>
      <c r="V43" s="408"/>
      <c r="W43" s="408"/>
      <c r="X43" s="408"/>
      <c r="Y43" s="408"/>
      <c r="Z43" s="408"/>
      <c r="AA43" s="408"/>
      <c r="AB43" s="408"/>
      <c r="AC43" s="408"/>
      <c r="AD43" s="408"/>
      <c r="AE43" s="408"/>
      <c r="AF43" s="408"/>
      <c r="AG43" s="408"/>
      <c r="AH43" s="408"/>
      <c r="AI43" s="408"/>
      <c r="AJ43" s="408"/>
      <c r="AK43" s="408"/>
    </row>
    <row r="44" spans="1:37">
      <c r="A44" s="408"/>
      <c r="B44" s="408"/>
      <c r="C44" s="408"/>
      <c r="D44" s="408"/>
      <c r="E44" s="408"/>
      <c r="F44" s="408"/>
      <c r="G44" s="408"/>
      <c r="H44" s="408"/>
      <c r="I44" s="408"/>
      <c r="J44" s="408"/>
      <c r="K44" s="408"/>
      <c r="L44" s="408"/>
      <c r="M44" s="408"/>
      <c r="N44" s="408"/>
      <c r="O44" s="408"/>
      <c r="P44" s="408"/>
      <c r="Q44" s="408"/>
      <c r="R44" s="408"/>
      <c r="S44" s="408"/>
      <c r="T44" s="408"/>
      <c r="U44" s="408"/>
      <c r="V44" s="408"/>
      <c r="W44" s="408"/>
      <c r="X44" s="408"/>
      <c r="Y44" s="408"/>
      <c r="Z44" s="408"/>
      <c r="AA44" s="408"/>
      <c r="AB44" s="408"/>
      <c r="AC44" s="408"/>
      <c r="AD44" s="408"/>
      <c r="AE44" s="408"/>
      <c r="AF44" s="408"/>
      <c r="AG44" s="408"/>
      <c r="AH44" s="408"/>
      <c r="AI44" s="408"/>
      <c r="AJ44" s="408"/>
      <c r="AK44" s="408"/>
    </row>
    <row r="45" spans="1:37">
      <c r="A45" s="408"/>
      <c r="B45" s="408"/>
      <c r="C45" s="408"/>
      <c r="D45" s="408"/>
      <c r="E45" s="408"/>
      <c r="F45" s="408"/>
      <c r="G45" s="408"/>
      <c r="H45" s="408"/>
      <c r="I45" s="408"/>
      <c r="J45" s="408"/>
      <c r="K45" s="408"/>
      <c r="L45" s="408"/>
      <c r="M45" s="408"/>
      <c r="N45" s="408"/>
      <c r="O45" s="408"/>
      <c r="P45" s="408"/>
      <c r="Q45" s="408"/>
      <c r="R45" s="408"/>
      <c r="S45" s="408"/>
      <c r="T45" s="408"/>
      <c r="U45" s="408"/>
      <c r="V45" s="408"/>
      <c r="W45" s="408"/>
      <c r="X45" s="408"/>
      <c r="Y45" s="408"/>
      <c r="Z45" s="408"/>
      <c r="AA45" s="408"/>
      <c r="AB45" s="408"/>
      <c r="AC45" s="408"/>
      <c r="AD45" s="408"/>
      <c r="AE45" s="408"/>
      <c r="AF45" s="408"/>
      <c r="AG45" s="408"/>
      <c r="AH45" s="408"/>
      <c r="AI45" s="408"/>
      <c r="AJ45" s="408"/>
      <c r="AK45" s="408"/>
    </row>
    <row r="46" spans="1:37">
      <c r="A46" s="408"/>
      <c r="B46" s="408"/>
      <c r="C46" s="408"/>
      <c r="D46" s="408"/>
      <c r="E46" s="408"/>
      <c r="F46" s="408"/>
      <c r="G46" s="408"/>
      <c r="H46" s="408"/>
      <c r="I46" s="408"/>
      <c r="J46" s="408"/>
      <c r="K46" s="408"/>
      <c r="L46" s="408"/>
      <c r="M46" s="408"/>
      <c r="N46" s="408"/>
      <c r="O46" s="408"/>
      <c r="P46" s="408"/>
      <c r="Q46" s="408"/>
      <c r="R46" s="408"/>
      <c r="S46" s="408"/>
      <c r="T46" s="408"/>
      <c r="U46" s="408"/>
      <c r="V46" s="408"/>
      <c r="W46" s="408"/>
      <c r="X46" s="408"/>
      <c r="Y46" s="408"/>
      <c r="Z46" s="408"/>
      <c r="AA46" s="408"/>
      <c r="AB46" s="408"/>
      <c r="AC46" s="408"/>
      <c r="AD46" s="408"/>
      <c r="AE46" s="408"/>
      <c r="AF46" s="408"/>
      <c r="AG46" s="408"/>
      <c r="AH46" s="408"/>
      <c r="AI46" s="408"/>
      <c r="AJ46" s="408"/>
      <c r="AK46" s="408"/>
    </row>
    <row r="47" spans="1:37">
      <c r="A47" s="408"/>
      <c r="B47" s="408"/>
      <c r="C47" s="408"/>
      <c r="D47" s="408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O47" s="408"/>
      <c r="P47" s="408"/>
      <c r="Q47" s="408"/>
      <c r="R47" s="408"/>
      <c r="S47" s="408"/>
      <c r="T47" s="408"/>
      <c r="U47" s="408"/>
      <c r="V47" s="408"/>
      <c r="W47" s="408"/>
      <c r="X47" s="408"/>
      <c r="Y47" s="408"/>
      <c r="Z47" s="408"/>
      <c r="AA47" s="408"/>
      <c r="AB47" s="408"/>
      <c r="AC47" s="408"/>
      <c r="AD47" s="408"/>
      <c r="AE47" s="408"/>
      <c r="AF47" s="408"/>
      <c r="AG47" s="408"/>
      <c r="AH47" s="408"/>
      <c r="AI47" s="408"/>
      <c r="AJ47" s="408"/>
      <c r="AK47" s="408"/>
    </row>
    <row r="48" spans="1:37">
      <c r="A48" s="408"/>
      <c r="B48" s="408"/>
      <c r="C48" s="408"/>
      <c r="D48" s="408"/>
      <c r="E48" s="408"/>
      <c r="F48" s="408"/>
      <c r="G48" s="408"/>
      <c r="H48" s="408"/>
      <c r="I48" s="408"/>
      <c r="J48" s="408"/>
      <c r="K48" s="408"/>
      <c r="L48" s="408"/>
      <c r="M48" s="408"/>
      <c r="N48" s="408"/>
      <c r="O48" s="408"/>
      <c r="P48" s="408"/>
      <c r="Q48" s="408"/>
      <c r="R48" s="408"/>
      <c r="S48" s="408"/>
      <c r="T48" s="408"/>
      <c r="U48" s="408"/>
      <c r="V48" s="408"/>
      <c r="W48" s="408"/>
      <c r="X48" s="408"/>
      <c r="Y48" s="408"/>
      <c r="Z48" s="408"/>
      <c r="AA48" s="408"/>
      <c r="AB48" s="408"/>
      <c r="AC48" s="408"/>
      <c r="AD48" s="408"/>
      <c r="AE48" s="408"/>
      <c r="AF48" s="408"/>
      <c r="AG48" s="408"/>
      <c r="AH48" s="408"/>
      <c r="AI48" s="408"/>
      <c r="AJ48" s="408"/>
      <c r="AK48" s="408"/>
    </row>
    <row r="49" spans="1:37">
      <c r="A49" s="408"/>
      <c r="B49" s="408"/>
      <c r="C49" s="408"/>
      <c r="D49" s="408"/>
      <c r="E49" s="408"/>
      <c r="F49" s="408"/>
      <c r="G49" s="408"/>
      <c r="H49" s="408"/>
      <c r="I49" s="408"/>
      <c r="J49" s="408"/>
      <c r="K49" s="408"/>
      <c r="L49" s="408"/>
      <c r="M49" s="408"/>
      <c r="N49" s="408"/>
      <c r="O49" s="408"/>
      <c r="P49" s="408"/>
      <c r="Q49" s="408"/>
      <c r="R49" s="408"/>
      <c r="S49" s="408"/>
      <c r="T49" s="408"/>
      <c r="U49" s="408"/>
      <c r="V49" s="408"/>
      <c r="W49" s="408"/>
      <c r="X49" s="408"/>
      <c r="Y49" s="408"/>
      <c r="Z49" s="408"/>
      <c r="AA49" s="408"/>
      <c r="AB49" s="408"/>
      <c r="AC49" s="408"/>
      <c r="AD49" s="408"/>
      <c r="AE49" s="408"/>
      <c r="AF49" s="408"/>
      <c r="AG49" s="408"/>
      <c r="AH49" s="408"/>
      <c r="AI49" s="408"/>
      <c r="AJ49" s="408"/>
      <c r="AK49" s="408"/>
    </row>
    <row r="50" spans="1:37">
      <c r="A50" s="408"/>
      <c r="B50" s="408"/>
      <c r="C50" s="408"/>
      <c r="D50" s="408"/>
      <c r="E50" s="408"/>
      <c r="F50" s="408"/>
      <c r="G50" s="408"/>
      <c r="H50" s="408"/>
      <c r="I50" s="408"/>
      <c r="J50" s="408"/>
      <c r="K50" s="408"/>
      <c r="L50" s="408"/>
      <c r="M50" s="408"/>
      <c r="N50" s="408"/>
      <c r="O50" s="408"/>
      <c r="P50" s="408"/>
      <c r="Q50" s="408"/>
      <c r="R50" s="408"/>
      <c r="S50" s="408"/>
      <c r="T50" s="408"/>
      <c r="U50" s="408"/>
      <c r="V50" s="408"/>
      <c r="W50" s="408"/>
      <c r="X50" s="408"/>
      <c r="Y50" s="408"/>
      <c r="Z50" s="408"/>
      <c r="AA50" s="408"/>
      <c r="AB50" s="408"/>
      <c r="AC50" s="408"/>
      <c r="AD50" s="408"/>
      <c r="AE50" s="408"/>
      <c r="AF50" s="408"/>
      <c r="AG50" s="408"/>
      <c r="AH50" s="408"/>
      <c r="AI50" s="408"/>
      <c r="AJ50" s="408"/>
      <c r="AK50" s="408"/>
    </row>
    <row r="51" spans="1:37">
      <c r="A51" s="408"/>
      <c r="B51" s="408"/>
      <c r="C51" s="408"/>
      <c r="D51" s="408"/>
      <c r="E51" s="408"/>
      <c r="F51" s="408"/>
      <c r="G51" s="408"/>
      <c r="H51" s="408"/>
      <c r="I51" s="408"/>
      <c r="J51" s="408"/>
      <c r="K51" s="408"/>
      <c r="L51" s="408"/>
      <c r="M51" s="408"/>
      <c r="N51" s="408"/>
      <c r="O51" s="408"/>
      <c r="P51" s="408"/>
      <c r="Q51" s="408"/>
      <c r="R51" s="408"/>
      <c r="S51" s="408"/>
      <c r="T51" s="408"/>
      <c r="U51" s="408"/>
      <c r="V51" s="408"/>
      <c r="W51" s="408"/>
      <c r="X51" s="408"/>
      <c r="Y51" s="408"/>
      <c r="Z51" s="408"/>
      <c r="AA51" s="408"/>
      <c r="AB51" s="408"/>
      <c r="AC51" s="408"/>
      <c r="AD51" s="408"/>
      <c r="AE51" s="408"/>
      <c r="AF51" s="408"/>
      <c r="AG51" s="408"/>
      <c r="AH51" s="408"/>
      <c r="AI51" s="408"/>
      <c r="AJ51" s="408"/>
      <c r="AK51" s="408"/>
    </row>
    <row r="52" spans="1:37">
      <c r="A52" s="408"/>
      <c r="B52" s="408"/>
      <c r="C52" s="408"/>
      <c r="D52" s="408"/>
      <c r="E52" s="408"/>
      <c r="F52" s="408"/>
      <c r="G52" s="408"/>
      <c r="H52" s="408"/>
      <c r="I52" s="408"/>
      <c r="J52" s="408"/>
      <c r="K52" s="408"/>
      <c r="L52" s="408"/>
      <c r="M52" s="408"/>
      <c r="N52" s="408"/>
      <c r="O52" s="408"/>
      <c r="P52" s="408"/>
      <c r="Q52" s="408"/>
      <c r="R52" s="408"/>
      <c r="S52" s="408"/>
      <c r="T52" s="408"/>
      <c r="U52" s="408"/>
      <c r="V52" s="408"/>
      <c r="W52" s="408"/>
      <c r="X52" s="408"/>
      <c r="Y52" s="408"/>
      <c r="Z52" s="408"/>
      <c r="AA52" s="408"/>
      <c r="AB52" s="408"/>
      <c r="AC52" s="408"/>
      <c r="AD52" s="408"/>
      <c r="AE52" s="408"/>
      <c r="AF52" s="408"/>
      <c r="AG52" s="408"/>
      <c r="AH52" s="408"/>
      <c r="AI52" s="408"/>
      <c r="AJ52" s="408"/>
      <c r="AK52" s="408"/>
    </row>
    <row r="53" spans="1:37">
      <c r="A53" s="408"/>
      <c r="B53" s="408"/>
      <c r="C53" s="408"/>
      <c r="D53" s="408"/>
      <c r="E53" s="408"/>
      <c r="F53" s="408"/>
      <c r="G53" s="408"/>
      <c r="H53" s="408"/>
      <c r="I53" s="408"/>
      <c r="J53" s="408"/>
      <c r="K53" s="408"/>
      <c r="L53" s="408"/>
      <c r="M53" s="408"/>
      <c r="N53" s="408"/>
      <c r="O53" s="408"/>
      <c r="P53" s="408"/>
      <c r="Q53" s="408"/>
      <c r="R53" s="408"/>
      <c r="S53" s="408"/>
      <c r="T53" s="408"/>
      <c r="U53" s="408"/>
      <c r="V53" s="408"/>
      <c r="W53" s="408"/>
      <c r="X53" s="408"/>
      <c r="Y53" s="408"/>
      <c r="Z53" s="408"/>
      <c r="AA53" s="408"/>
      <c r="AB53" s="408"/>
      <c r="AC53" s="408"/>
      <c r="AD53" s="408"/>
      <c r="AE53" s="408"/>
      <c r="AF53" s="408"/>
      <c r="AG53" s="408"/>
      <c r="AH53" s="408"/>
      <c r="AI53" s="408"/>
      <c r="AJ53" s="408"/>
      <c r="AK53" s="408"/>
    </row>
    <row r="54" spans="1:37">
      <c r="A54" s="408"/>
      <c r="B54" s="408"/>
      <c r="C54" s="408"/>
      <c r="D54" s="408"/>
      <c r="E54" s="408"/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408"/>
      <c r="AB54" s="408"/>
      <c r="AC54" s="408"/>
      <c r="AD54" s="408"/>
      <c r="AE54" s="408"/>
      <c r="AF54" s="408"/>
      <c r="AG54" s="408"/>
      <c r="AH54" s="408"/>
      <c r="AI54" s="408"/>
      <c r="AJ54" s="408"/>
      <c r="AK54" s="408"/>
    </row>
    <row r="55" spans="1:37">
      <c r="A55" s="408"/>
      <c r="B55" s="408"/>
      <c r="C55" s="408"/>
      <c r="D55" s="408"/>
      <c r="E55" s="408"/>
      <c r="F55" s="408"/>
      <c r="G55" s="408"/>
      <c r="H55" s="408"/>
      <c r="I55" s="408"/>
      <c r="J55" s="408"/>
      <c r="K55" s="408"/>
      <c r="L55" s="408"/>
      <c r="M55" s="408"/>
      <c r="N55" s="408"/>
      <c r="O55" s="408"/>
      <c r="P55" s="408"/>
      <c r="Q55" s="408"/>
      <c r="R55" s="408"/>
      <c r="S55" s="408"/>
      <c r="T55" s="408"/>
      <c r="U55" s="408"/>
      <c r="V55" s="408"/>
      <c r="W55" s="408"/>
      <c r="X55" s="408"/>
      <c r="Y55" s="408"/>
      <c r="Z55" s="408"/>
      <c r="AA55" s="408"/>
      <c r="AB55" s="408"/>
      <c r="AC55" s="408"/>
      <c r="AD55" s="408"/>
      <c r="AE55" s="408"/>
      <c r="AF55" s="408"/>
      <c r="AG55" s="408"/>
      <c r="AH55" s="408"/>
      <c r="AI55" s="408"/>
      <c r="AJ55" s="408"/>
      <c r="AK55" s="408"/>
    </row>
    <row r="56" spans="1:37">
      <c r="A56" s="408"/>
      <c r="B56" s="408"/>
      <c r="C56" s="408"/>
      <c r="D56" s="408"/>
      <c r="E56" s="408"/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  <c r="V56" s="408"/>
      <c r="W56" s="408"/>
      <c r="X56" s="408"/>
      <c r="Y56" s="408"/>
      <c r="Z56" s="408"/>
      <c r="AA56" s="408"/>
      <c r="AB56" s="408"/>
      <c r="AC56" s="408"/>
      <c r="AD56" s="408"/>
      <c r="AE56" s="408"/>
      <c r="AF56" s="408"/>
      <c r="AG56" s="408"/>
      <c r="AH56" s="408"/>
      <c r="AI56" s="408"/>
      <c r="AJ56" s="408"/>
      <c r="AK56" s="408"/>
    </row>
    <row r="57" spans="1:37">
      <c r="A57" s="408"/>
      <c r="B57" s="408"/>
      <c r="C57" s="408"/>
      <c r="D57" s="408"/>
      <c r="E57" s="408"/>
      <c r="F57" s="408"/>
      <c r="G57" s="408"/>
      <c r="H57" s="408"/>
      <c r="I57" s="408"/>
      <c r="J57" s="408"/>
      <c r="K57" s="408"/>
      <c r="L57" s="408"/>
      <c r="M57" s="408"/>
      <c r="N57" s="408"/>
      <c r="O57" s="408"/>
      <c r="P57" s="408"/>
      <c r="Q57" s="408"/>
      <c r="R57" s="408"/>
      <c r="S57" s="408"/>
      <c r="T57" s="408"/>
      <c r="U57" s="408"/>
      <c r="V57" s="408"/>
      <c r="W57" s="408"/>
      <c r="X57" s="408"/>
      <c r="Y57" s="408"/>
      <c r="Z57" s="408"/>
      <c r="AA57" s="408"/>
      <c r="AB57" s="408"/>
      <c r="AC57" s="408"/>
      <c r="AD57" s="408"/>
      <c r="AE57" s="408"/>
      <c r="AF57" s="408"/>
      <c r="AG57" s="408"/>
      <c r="AH57" s="408"/>
      <c r="AI57" s="408"/>
      <c r="AJ57" s="408"/>
      <c r="AK57" s="408"/>
    </row>
    <row r="58" spans="1:37">
      <c r="A58" s="408"/>
      <c r="B58" s="408"/>
      <c r="C58" s="408"/>
      <c r="D58" s="408"/>
      <c r="E58" s="408"/>
      <c r="F58" s="408"/>
      <c r="G58" s="408"/>
      <c r="H58" s="408"/>
      <c r="I58" s="408"/>
      <c r="J58" s="408"/>
      <c r="K58" s="408"/>
      <c r="L58" s="408"/>
      <c r="M58" s="408"/>
      <c r="N58" s="408"/>
      <c r="O58" s="408"/>
      <c r="P58" s="408"/>
      <c r="Q58" s="408"/>
      <c r="R58" s="408"/>
      <c r="S58" s="408"/>
      <c r="T58" s="408"/>
      <c r="U58" s="408"/>
      <c r="V58" s="408"/>
      <c r="W58" s="408"/>
      <c r="X58" s="408"/>
      <c r="Y58" s="408"/>
      <c r="Z58" s="408"/>
      <c r="AA58" s="408"/>
      <c r="AB58" s="408"/>
      <c r="AC58" s="408"/>
      <c r="AD58" s="408"/>
      <c r="AE58" s="408"/>
      <c r="AF58" s="408"/>
      <c r="AG58" s="408"/>
      <c r="AH58" s="408"/>
      <c r="AI58" s="408"/>
      <c r="AJ58" s="408"/>
      <c r="AK58" s="408"/>
    </row>
    <row r="59" spans="1:37">
      <c r="A59" s="408"/>
      <c r="B59" s="408"/>
      <c r="C59" s="408"/>
      <c r="D59" s="408"/>
      <c r="E59" s="408"/>
      <c r="F59" s="408"/>
      <c r="G59" s="408"/>
      <c r="H59" s="408"/>
      <c r="I59" s="408"/>
      <c r="J59" s="408"/>
      <c r="K59" s="408"/>
      <c r="L59" s="408"/>
      <c r="M59" s="408"/>
      <c r="N59" s="408"/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408"/>
      <c r="AB59" s="408"/>
      <c r="AC59" s="408"/>
      <c r="AD59" s="408"/>
      <c r="AE59" s="408"/>
      <c r="AF59" s="408"/>
      <c r="AG59" s="408"/>
      <c r="AH59" s="408"/>
      <c r="AI59" s="408"/>
      <c r="AJ59" s="408"/>
      <c r="AK59" s="408"/>
    </row>
    <row r="60" spans="1:37">
      <c r="A60" s="408"/>
      <c r="B60" s="408"/>
      <c r="C60" s="408"/>
      <c r="D60" s="408"/>
      <c r="E60" s="408"/>
      <c r="F60" s="408"/>
      <c r="G60" s="408"/>
      <c r="H60" s="408"/>
      <c r="I60" s="408"/>
      <c r="J60" s="408"/>
      <c r="K60" s="408"/>
      <c r="L60" s="408"/>
      <c r="M60" s="408"/>
      <c r="N60" s="408"/>
      <c r="O60" s="408"/>
      <c r="P60" s="408"/>
      <c r="Q60" s="408"/>
      <c r="R60" s="408"/>
      <c r="S60" s="408"/>
      <c r="T60" s="408"/>
      <c r="U60" s="408"/>
      <c r="V60" s="408"/>
      <c r="W60" s="408"/>
      <c r="X60" s="408"/>
      <c r="Y60" s="408"/>
      <c r="Z60" s="408"/>
      <c r="AA60" s="408"/>
      <c r="AB60" s="408"/>
      <c r="AC60" s="408"/>
      <c r="AD60" s="408"/>
      <c r="AE60" s="408"/>
      <c r="AF60" s="408"/>
      <c r="AG60" s="408"/>
      <c r="AH60" s="408"/>
      <c r="AI60" s="408"/>
      <c r="AJ60" s="408"/>
      <c r="AK60" s="408"/>
    </row>
    <row r="61" spans="1:37">
      <c r="A61" s="408"/>
      <c r="B61" s="408"/>
      <c r="C61" s="408"/>
      <c r="D61" s="408"/>
      <c r="E61" s="408"/>
      <c r="F61" s="408"/>
      <c r="G61" s="408"/>
      <c r="H61" s="408"/>
      <c r="I61" s="408"/>
      <c r="J61" s="408"/>
      <c r="K61" s="408"/>
      <c r="L61" s="408"/>
      <c r="M61" s="408"/>
      <c r="N61" s="408"/>
      <c r="O61" s="408"/>
      <c r="P61" s="408"/>
      <c r="Q61" s="408"/>
      <c r="R61" s="408"/>
      <c r="S61" s="408"/>
      <c r="T61" s="408"/>
      <c r="U61" s="408"/>
      <c r="V61" s="408"/>
      <c r="W61" s="408"/>
      <c r="X61" s="408"/>
      <c r="Y61" s="408"/>
      <c r="Z61" s="408"/>
      <c r="AA61" s="408"/>
      <c r="AB61" s="408"/>
      <c r="AC61" s="408"/>
      <c r="AD61" s="408"/>
      <c r="AE61" s="408"/>
      <c r="AF61" s="408"/>
      <c r="AG61" s="408"/>
      <c r="AH61" s="408"/>
      <c r="AI61" s="408"/>
      <c r="AJ61" s="408"/>
      <c r="AK61" s="408"/>
    </row>
    <row r="62" spans="1:37">
      <c r="A62" s="408"/>
      <c r="B62" s="408"/>
      <c r="C62" s="408"/>
      <c r="D62" s="408"/>
      <c r="E62" s="408"/>
      <c r="F62" s="408"/>
      <c r="G62" s="408"/>
      <c r="H62" s="408"/>
      <c r="I62" s="408"/>
      <c r="J62" s="408"/>
      <c r="K62" s="408"/>
      <c r="L62" s="408"/>
      <c r="M62" s="408"/>
      <c r="N62" s="408"/>
      <c r="O62" s="408"/>
      <c r="P62" s="408"/>
      <c r="Q62" s="408"/>
      <c r="R62" s="408"/>
      <c r="S62" s="408"/>
      <c r="T62" s="408"/>
      <c r="U62" s="408"/>
      <c r="V62" s="408"/>
      <c r="W62" s="408"/>
      <c r="X62" s="408"/>
      <c r="Y62" s="408"/>
      <c r="Z62" s="408"/>
      <c r="AA62" s="408"/>
      <c r="AB62" s="408"/>
      <c r="AC62" s="408"/>
      <c r="AD62" s="408"/>
      <c r="AE62" s="408"/>
      <c r="AF62" s="408"/>
      <c r="AG62" s="408"/>
      <c r="AH62" s="408"/>
      <c r="AI62" s="408"/>
      <c r="AJ62" s="408"/>
      <c r="AK62" s="408"/>
    </row>
    <row r="63" spans="1:37">
      <c r="A63" s="408"/>
      <c r="B63" s="408"/>
      <c r="C63" s="408"/>
      <c r="D63" s="408"/>
      <c r="E63" s="408"/>
      <c r="F63" s="408"/>
      <c r="G63" s="408"/>
      <c r="H63" s="408"/>
      <c r="I63" s="408"/>
      <c r="J63" s="408"/>
      <c r="K63" s="408"/>
      <c r="L63" s="408"/>
      <c r="M63" s="408"/>
      <c r="N63" s="408"/>
      <c r="O63" s="408"/>
      <c r="P63" s="408"/>
      <c r="Q63" s="408"/>
      <c r="R63" s="408"/>
      <c r="S63" s="408"/>
      <c r="T63" s="408"/>
      <c r="U63" s="408"/>
      <c r="V63" s="408"/>
      <c r="W63" s="408"/>
      <c r="X63" s="408"/>
      <c r="Y63" s="408"/>
      <c r="Z63" s="408"/>
      <c r="AA63" s="408"/>
      <c r="AB63" s="408"/>
      <c r="AC63" s="408"/>
      <c r="AD63" s="408"/>
      <c r="AE63" s="408"/>
      <c r="AF63" s="408"/>
      <c r="AG63" s="408"/>
      <c r="AH63" s="408"/>
      <c r="AI63" s="408"/>
      <c r="AJ63" s="408"/>
      <c r="AK63" s="408"/>
    </row>
    <row r="64" spans="1:37">
      <c r="A64" s="408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8"/>
      <c r="Q64" s="408"/>
      <c r="R64" s="408"/>
      <c r="S64" s="408"/>
      <c r="T64" s="408"/>
      <c r="U64" s="408"/>
      <c r="V64" s="408"/>
      <c r="W64" s="408"/>
      <c r="X64" s="408"/>
      <c r="Y64" s="408"/>
      <c r="Z64" s="408"/>
      <c r="AA64" s="408"/>
      <c r="AB64" s="408"/>
      <c r="AC64" s="408"/>
      <c r="AD64" s="408"/>
      <c r="AE64" s="408"/>
      <c r="AF64" s="408"/>
      <c r="AG64" s="408"/>
      <c r="AH64" s="408"/>
      <c r="AI64" s="408"/>
      <c r="AJ64" s="408"/>
      <c r="AK64" s="408"/>
    </row>
  </sheetData>
  <mergeCells count="1">
    <mergeCell ref="A1:AK64"/>
  </mergeCells>
  <pageMargins left="0.75" right="0.75" top="1" bottom="1" header="0.5" footer="0.5"/>
  <pageSetup orientation="portrait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1936-2C82-E448-A754-004C2F3AEBE4}">
  <sheetPr>
    <pageSetUpPr fitToPage="1"/>
  </sheetPr>
  <dimension ref="B2:AE117"/>
  <sheetViews>
    <sheetView tabSelected="1" topLeftCell="B65" zoomScale="40" zoomScaleNormal="40" workbookViewId="0">
      <selection activeCell="P78" sqref="P78"/>
    </sheetView>
  </sheetViews>
  <sheetFormatPr baseColWidth="10" defaultColWidth="25.83203125" defaultRowHeight="45" customHeight="1"/>
  <cols>
    <col min="1" max="1" width="2" style="253" customWidth="1"/>
    <col min="2" max="2" width="12.6640625" style="254" customWidth="1"/>
    <col min="3" max="3" width="21.33203125" style="253" customWidth="1"/>
    <col min="4" max="4" width="97.6640625" style="253" bestFit="1" customWidth="1"/>
    <col min="5" max="7" width="36.83203125" style="253" customWidth="1"/>
    <col min="8" max="9" width="40.1640625" style="253" customWidth="1"/>
    <col min="10" max="10" width="43.5" style="253" customWidth="1"/>
    <col min="11" max="11" width="40.6640625" style="253" customWidth="1"/>
    <col min="12" max="12" width="41.83203125" style="253" customWidth="1"/>
    <col min="13" max="13" width="36.83203125" style="253" customWidth="1"/>
    <col min="14" max="14" width="40.1640625" style="253" customWidth="1"/>
    <col min="15" max="16" width="36.83203125" style="253" customWidth="1"/>
    <col min="17" max="18" width="38.5" style="253" customWidth="1"/>
    <col min="19" max="19" width="7.33203125" style="253" customWidth="1"/>
    <col min="20" max="20" width="18.5" style="253" customWidth="1"/>
    <col min="21" max="21" width="25.83203125" style="253" customWidth="1"/>
    <col min="22" max="16384" width="25.83203125" style="253"/>
  </cols>
  <sheetData>
    <row r="2" spans="2:18" ht="45" customHeight="1">
      <c r="C2" s="397" t="s">
        <v>133</v>
      </c>
      <c r="D2" s="254"/>
      <c r="E2" s="254"/>
      <c r="F2" s="254"/>
      <c r="G2" s="254"/>
      <c r="H2" s="254"/>
      <c r="I2" s="254"/>
      <c r="J2" s="254"/>
      <c r="K2" s="254"/>
    </row>
    <row r="3" spans="2:18" ht="45" customHeight="1">
      <c r="C3" s="253" t="s">
        <v>111</v>
      </c>
    </row>
    <row r="4" spans="2:18" ht="45" customHeight="1">
      <c r="C4" s="253" t="s">
        <v>112</v>
      </c>
    </row>
    <row r="5" spans="2:18" ht="45" customHeight="1">
      <c r="C5" s="396" t="s">
        <v>202</v>
      </c>
    </row>
    <row r="6" spans="2:18" ht="45" customHeight="1">
      <c r="C6" s="253" t="s">
        <v>199</v>
      </c>
    </row>
    <row r="7" spans="2:18" ht="45" customHeight="1">
      <c r="C7" s="395"/>
      <c r="D7" s="393"/>
      <c r="E7" s="393"/>
      <c r="F7" s="393"/>
      <c r="G7" s="393"/>
      <c r="H7" s="394"/>
      <c r="I7" s="393"/>
      <c r="J7" s="393"/>
      <c r="K7" s="393"/>
      <c r="L7" s="393"/>
      <c r="M7" s="393"/>
      <c r="N7" s="393"/>
      <c r="O7" s="393"/>
      <c r="P7" s="393"/>
      <c r="Q7" s="393"/>
      <c r="R7" s="393"/>
    </row>
    <row r="9" spans="2:18" ht="45" customHeight="1">
      <c r="B9" s="254">
        <v>1</v>
      </c>
      <c r="C9" s="277" t="s">
        <v>63</v>
      </c>
      <c r="F9" s="392">
        <v>10000000</v>
      </c>
      <c r="K9" s="323"/>
    </row>
    <row r="10" spans="2:18" ht="45" customHeight="1">
      <c r="B10" s="254">
        <v>2</v>
      </c>
      <c r="C10" s="277" t="s">
        <v>116</v>
      </c>
      <c r="F10" s="391">
        <v>20</v>
      </c>
    </row>
    <row r="11" spans="2:18" ht="45" customHeight="1">
      <c r="B11" s="254">
        <v>3</v>
      </c>
      <c r="C11" s="404" t="s">
        <v>66</v>
      </c>
      <c r="F11" s="390">
        <v>1.3371999999999999</v>
      </c>
    </row>
    <row r="12" spans="2:18" ht="45" customHeight="1">
      <c r="B12" s="254">
        <v>4</v>
      </c>
      <c r="C12" s="404" t="s">
        <v>109</v>
      </c>
      <c r="F12" s="390">
        <v>1.4657</v>
      </c>
      <c r="H12" s="314"/>
    </row>
    <row r="13" spans="2:18" ht="45" customHeight="1">
      <c r="B13" s="254">
        <v>5</v>
      </c>
      <c r="C13" s="277" t="s">
        <v>77</v>
      </c>
      <c r="F13" s="389">
        <v>42000000</v>
      </c>
      <c r="H13" s="357"/>
      <c r="K13" s="323"/>
      <c r="M13" s="378"/>
    </row>
    <row r="14" spans="2:18" ht="45" customHeight="1">
      <c r="B14" s="254">
        <v>6</v>
      </c>
      <c r="H14" s="388"/>
      <c r="K14" s="323"/>
    </row>
    <row r="15" spans="2:18" ht="45" customHeight="1">
      <c r="B15" s="254">
        <v>7</v>
      </c>
      <c r="C15" s="386" t="s">
        <v>78</v>
      </c>
      <c r="H15" s="388"/>
      <c r="P15" s="323"/>
    </row>
    <row r="16" spans="2:18" ht="45" customHeight="1">
      <c r="B16" s="254">
        <v>8</v>
      </c>
      <c r="C16" s="387" t="s">
        <v>67</v>
      </c>
      <c r="F16" s="343"/>
      <c r="P16" s="346"/>
    </row>
    <row r="17" spans="2:18" ht="45" customHeight="1">
      <c r="B17" s="254">
        <v>9</v>
      </c>
      <c r="C17" s="386" t="s">
        <v>86</v>
      </c>
      <c r="J17" s="343"/>
      <c r="K17" s="343"/>
      <c r="L17" s="343"/>
      <c r="M17" s="343"/>
      <c r="N17" s="343"/>
      <c r="O17" s="343"/>
      <c r="P17" s="379"/>
    </row>
    <row r="18" spans="2:18" ht="45" customHeight="1">
      <c r="B18" s="254">
        <v>10</v>
      </c>
      <c r="G18" s="385"/>
      <c r="H18" s="384"/>
      <c r="I18" s="383"/>
      <c r="J18" s="383"/>
      <c r="K18" s="383"/>
      <c r="L18" s="383"/>
      <c r="M18" s="383"/>
      <c r="N18" s="383"/>
      <c r="O18" s="383"/>
      <c r="P18" s="383"/>
      <c r="Q18" s="383"/>
      <c r="R18" s="383"/>
    </row>
    <row r="19" spans="2:18" ht="45" customHeight="1" thickBot="1">
      <c r="B19" s="254">
        <v>11</v>
      </c>
      <c r="G19" s="382" t="s">
        <v>70</v>
      </c>
      <c r="H19" s="381" t="s">
        <v>70</v>
      </c>
      <c r="I19" s="380" t="s">
        <v>71</v>
      </c>
      <c r="J19" s="380" t="s">
        <v>72</v>
      </c>
      <c r="K19" s="380" t="s">
        <v>73</v>
      </c>
      <c r="L19" s="380" t="s">
        <v>74</v>
      </c>
      <c r="M19" s="380" t="s">
        <v>75</v>
      </c>
      <c r="N19" s="380" t="s">
        <v>76</v>
      </c>
      <c r="O19" s="380" t="s">
        <v>105</v>
      </c>
      <c r="P19" s="380" t="s">
        <v>106</v>
      </c>
      <c r="Q19" s="380" t="s">
        <v>107</v>
      </c>
      <c r="R19" s="380" t="s">
        <v>108</v>
      </c>
    </row>
    <row r="20" spans="2:18" ht="45" customHeight="1">
      <c r="B20" s="254">
        <v>12</v>
      </c>
      <c r="C20" s="253" t="s">
        <v>198</v>
      </c>
      <c r="F20" s="328"/>
      <c r="G20" s="297"/>
      <c r="H20" s="282"/>
      <c r="P20" s="379"/>
      <c r="Q20" s="379"/>
      <c r="R20" s="379"/>
    </row>
    <row r="21" spans="2:18" ht="45" customHeight="1">
      <c r="B21" s="254">
        <v>13</v>
      </c>
      <c r="D21" s="253" t="s">
        <v>62</v>
      </c>
      <c r="E21" s="378"/>
      <c r="F21" s="328"/>
      <c r="G21" s="369">
        <f>('INPUT_PCLP 1_250M'!E63)*(1/3)</f>
        <v>833333.33333333326</v>
      </c>
      <c r="H21" s="338">
        <f>('INPUT_PCLP 1_250M'!F63)*(2/3)</f>
        <v>1666666.6666666665</v>
      </c>
      <c r="I21" s="406">
        <f>('INPUT_PCLP 1_250M'!G63)*(3/3)</f>
        <v>2500000</v>
      </c>
      <c r="J21" s="406">
        <f>('INPUT_PCLP 1_250M'!H63)*(3/3)</f>
        <v>2500000</v>
      </c>
      <c r="K21" s="406">
        <f>('INPUT_PCLP 1_250M'!I63)*(3/3)</f>
        <v>2500000</v>
      </c>
      <c r="L21" s="406">
        <f>('INPUT_PCLP 1_250M'!J63)*(3/3)</f>
        <v>2500000</v>
      </c>
      <c r="M21" s="406">
        <f>('INPUT_PCLP 1_250M'!K63)*(3/3)</f>
        <v>2500000</v>
      </c>
      <c r="N21" s="406">
        <f>('INPUT_PCLP 1_250M'!L63)*(3/3)</f>
        <v>2500000</v>
      </c>
      <c r="O21" s="406">
        <f>('INPUT_PCLP 1_250M'!M63)*(3/3)</f>
        <v>2500000</v>
      </c>
      <c r="P21" s="406">
        <f>('INPUT_PCLP 1_250M'!N63)*(3/3)</f>
        <v>2500000</v>
      </c>
      <c r="Q21" s="406">
        <f>('INPUT_PCLP 1_250M'!O63)*(3/3)</f>
        <v>2500000</v>
      </c>
      <c r="R21" s="406">
        <f>('INPUT_PCLP 1_250M'!P63)*(3/3)</f>
        <v>2500000</v>
      </c>
    </row>
    <row r="22" spans="2:18" ht="45" customHeight="1">
      <c r="B22" s="254">
        <v>14</v>
      </c>
      <c r="D22" s="253" t="s">
        <v>36</v>
      </c>
      <c r="F22" s="328"/>
      <c r="G22" s="369">
        <f>('INPUT_PCLP 1_250M'!E120)*(1/10)</f>
        <v>0</v>
      </c>
      <c r="H22" s="338">
        <f>('INPUT_PCLP 1_250M'!F120)*(1/10)</f>
        <v>0</v>
      </c>
      <c r="I22" s="406">
        <f>('INPUT_PCLP 1_250M'!G120)*(1/10)</f>
        <v>0</v>
      </c>
      <c r="J22" s="406">
        <f>('INPUT_PCLP 1_250M'!H120)*(1/10)</f>
        <v>400461.47670103132</v>
      </c>
      <c r="K22" s="406">
        <f>('INPUT_PCLP 1_250M'!I120)*(1/10)</f>
        <v>558217.74977486627</v>
      </c>
      <c r="L22" s="406">
        <f>('INPUT_PCLP 1_250M'!J120)*(1/10)</f>
        <v>791131.91066235525</v>
      </c>
      <c r="M22" s="406">
        <f>('INPUT_PCLP 1_250M'!K120)*(1/10)</f>
        <v>1180360.4090078876</v>
      </c>
      <c r="N22" s="406">
        <f>('INPUT_PCLP 1_250M'!L120)*(1/10)</f>
        <v>6692171.2024433389</v>
      </c>
      <c r="O22" s="406">
        <f>('INPUT_PCLP 1_250M'!M120)*(1/10)</f>
        <v>6725632.0584555557</v>
      </c>
      <c r="P22" s="406">
        <f>('INPUT_PCLP 1_250M'!N120)*(1/10)</f>
        <v>6759260.2187478337</v>
      </c>
      <c r="Q22" s="406">
        <f>('INPUT_PCLP 1_250M'!O120)*(1/10)</f>
        <v>6793056.5198415713</v>
      </c>
      <c r="R22" s="406">
        <f>('INPUT_PCLP 1_250M'!P120)*(1/10)</f>
        <v>6827021.8024857789</v>
      </c>
    </row>
    <row r="23" spans="2:18" ht="45" customHeight="1">
      <c r="B23" s="254">
        <v>15</v>
      </c>
      <c r="D23" s="253" t="s">
        <v>79</v>
      </c>
      <c r="F23" s="328"/>
      <c r="G23" s="369">
        <f>('INPUT_PCLP 1_250M'!E114)*(1/10)</f>
        <v>27785000</v>
      </c>
      <c r="H23" s="338">
        <f>('INPUT_PCLP 1_250M'!F114)*(1/10)</f>
        <v>27847837.916666664</v>
      </c>
      <c r="I23" s="406">
        <f>('INPUT_PCLP 1_250M'!G114)*(1/10)</f>
        <v>27826892.668958332</v>
      </c>
      <c r="J23" s="406">
        <f>('INPUT_PCLP 1_250M'!H114)*(1/10)</f>
        <v>37018888.388591781</v>
      </c>
      <c r="K23" s="406">
        <f>('INPUT_PCLP 1_250M'!I114)*(1/10)</f>
        <v>37080912.58301121</v>
      </c>
      <c r="L23" s="406">
        <f>('INPUT_PCLP 1_250M'!J114)*(1/10)</f>
        <v>60254816.128640369</v>
      </c>
      <c r="M23" s="406">
        <f>('INPUT_PCLP 1_250M'!K114)*(1/10)</f>
        <v>60385967.285196811</v>
      </c>
      <c r="N23" s="406">
        <f>('INPUT_PCLP 1_250M'!L114)*(1/10)</f>
        <v>105652541.86324607</v>
      </c>
      <c r="O23" s="406">
        <f>('INPUT_PCLP 1_250M'!M114)*(1/10)</f>
        <v>106399834.31418556</v>
      </c>
      <c r="P23" s="406">
        <f>('INPUT_PCLP 1_250M'!N114)*(1/10)</f>
        <v>107150863.22737977</v>
      </c>
      <c r="Q23" s="406">
        <f>('INPUT_PCLP 1_250M'!O114)*(1/10)</f>
        <v>125826604.68853492</v>
      </c>
      <c r="R23" s="406">
        <f>('INPUT_PCLP 1_250M'!P114)*(1/10)</f>
        <v>126585162.66658889</v>
      </c>
    </row>
    <row r="24" spans="2:18" ht="45" customHeight="1">
      <c r="B24" s="254">
        <v>16</v>
      </c>
      <c r="F24" s="328"/>
      <c r="G24" s="369"/>
      <c r="H24" s="338"/>
      <c r="I24" s="323"/>
      <c r="J24" s="323"/>
      <c r="K24" s="323"/>
      <c r="L24" s="323"/>
      <c r="M24" s="323"/>
      <c r="N24" s="323"/>
      <c r="O24" s="323"/>
      <c r="P24" s="323"/>
      <c r="Q24" s="323"/>
      <c r="R24" s="323"/>
    </row>
    <row r="25" spans="2:18" ht="45" customHeight="1">
      <c r="B25" s="254">
        <v>17</v>
      </c>
      <c r="C25" s="253" t="s">
        <v>197</v>
      </c>
      <c r="F25" s="328"/>
      <c r="G25" s="369"/>
      <c r="H25" s="338"/>
      <c r="I25" s="323"/>
      <c r="J25" s="323"/>
      <c r="K25" s="323"/>
      <c r="L25" s="323"/>
      <c r="M25" s="323"/>
      <c r="N25" s="323"/>
      <c r="O25" s="323"/>
      <c r="P25" s="323"/>
      <c r="Q25" s="323"/>
      <c r="R25" s="323"/>
    </row>
    <row r="26" spans="2:18" ht="45" customHeight="1">
      <c r="B26" s="254">
        <v>18</v>
      </c>
      <c r="D26" s="253" t="s">
        <v>62</v>
      </c>
      <c r="F26" s="328"/>
      <c r="G26" s="297"/>
      <c r="H26" s="338">
        <f>(G21*2)*$F11</f>
        <v>2228666.6666666665</v>
      </c>
      <c r="I26" s="323">
        <f t="shared" ref="I26:R26" si="0">(H21*2)*$F11</f>
        <v>4457333.333333333</v>
      </c>
      <c r="J26" s="323">
        <f t="shared" si="0"/>
        <v>6686000</v>
      </c>
      <c r="K26" s="323">
        <f t="shared" si="0"/>
        <v>6686000</v>
      </c>
      <c r="L26" s="323">
        <f t="shared" si="0"/>
        <v>6686000</v>
      </c>
      <c r="M26" s="323">
        <f t="shared" si="0"/>
        <v>6686000</v>
      </c>
      <c r="N26" s="323">
        <f t="shared" si="0"/>
        <v>6686000</v>
      </c>
      <c r="O26" s="323">
        <f t="shared" si="0"/>
        <v>6686000</v>
      </c>
      <c r="P26" s="323">
        <f t="shared" si="0"/>
        <v>6686000</v>
      </c>
      <c r="Q26" s="323">
        <f t="shared" si="0"/>
        <v>6686000</v>
      </c>
      <c r="R26" s="323">
        <f t="shared" si="0"/>
        <v>6686000</v>
      </c>
    </row>
    <row r="27" spans="2:18" ht="45" customHeight="1">
      <c r="B27" s="254">
        <v>19</v>
      </c>
      <c r="D27" s="253" t="s">
        <v>36</v>
      </c>
      <c r="F27" s="328"/>
      <c r="G27" s="297"/>
      <c r="H27" s="338">
        <f>(G22*2)*$F11</f>
        <v>0</v>
      </c>
      <c r="I27" s="323">
        <f t="shared" ref="I27:R27" si="1">(H22*2)*$F11</f>
        <v>0</v>
      </c>
      <c r="J27" s="323">
        <f t="shared" si="1"/>
        <v>0</v>
      </c>
      <c r="K27" s="323">
        <f t="shared" si="1"/>
        <v>1070994.173289238</v>
      </c>
      <c r="L27" s="323">
        <f t="shared" si="1"/>
        <v>1492897.5499979022</v>
      </c>
      <c r="M27" s="323">
        <f t="shared" si="1"/>
        <v>2115803.1818754026</v>
      </c>
      <c r="N27" s="323">
        <f t="shared" si="1"/>
        <v>3156755.8778506946</v>
      </c>
      <c r="O27" s="323">
        <f t="shared" si="1"/>
        <v>17897542.663814466</v>
      </c>
      <c r="P27" s="323">
        <f t="shared" si="1"/>
        <v>17987030.377133537</v>
      </c>
      <c r="Q27" s="323">
        <f t="shared" si="1"/>
        <v>18076965.529019207</v>
      </c>
      <c r="R27" s="323">
        <f t="shared" si="1"/>
        <v>18167350.356664296</v>
      </c>
    </row>
    <row r="28" spans="2:18" ht="45" customHeight="1">
      <c r="B28" s="254">
        <v>20</v>
      </c>
      <c r="D28" s="253" t="s">
        <v>79</v>
      </c>
      <c r="F28" s="328"/>
      <c r="G28" s="297"/>
      <c r="H28" s="338">
        <f>(G23*2)*$F11</f>
        <v>74308204</v>
      </c>
      <c r="I28" s="323">
        <f t="shared" ref="I28:R28" si="2">(H23*2)*$F11</f>
        <v>74476257.724333331</v>
      </c>
      <c r="J28" s="323">
        <f t="shared" si="2"/>
        <v>74420241.753862157</v>
      </c>
      <c r="K28" s="323">
        <f t="shared" si="2"/>
        <v>99003315.106449857</v>
      </c>
      <c r="L28" s="323">
        <f t="shared" si="2"/>
        <v>99169192.612005174</v>
      </c>
      <c r="M28" s="323">
        <f t="shared" si="2"/>
        <v>161145480.25443581</v>
      </c>
      <c r="N28" s="323">
        <f t="shared" si="2"/>
        <v>161496230.90753034</v>
      </c>
      <c r="O28" s="323">
        <f t="shared" si="2"/>
        <v>282557157.95906526</v>
      </c>
      <c r="P28" s="323">
        <f t="shared" si="2"/>
        <v>284555716.88985783</v>
      </c>
      <c r="Q28" s="323">
        <f t="shared" si="2"/>
        <v>286564268.61530447</v>
      </c>
      <c r="R28" s="323">
        <f t="shared" si="2"/>
        <v>336510671.57901776</v>
      </c>
    </row>
    <row r="29" spans="2:18" ht="45" customHeight="1">
      <c r="B29" s="254">
        <v>21</v>
      </c>
      <c r="F29" s="328"/>
      <c r="G29" s="297"/>
      <c r="H29" s="338"/>
      <c r="I29" s="323"/>
      <c r="J29" s="323"/>
      <c r="K29" s="323"/>
      <c r="L29" s="323"/>
      <c r="M29" s="323"/>
      <c r="N29" s="323"/>
      <c r="O29" s="323"/>
      <c r="P29" s="323"/>
      <c r="Q29" s="323"/>
      <c r="R29" s="323"/>
    </row>
    <row r="30" spans="2:18" ht="45" customHeight="1">
      <c r="B30" s="254">
        <v>22</v>
      </c>
      <c r="C30" s="253" t="s">
        <v>200</v>
      </c>
      <c r="F30" s="328"/>
      <c r="G30" s="369"/>
      <c r="H30" s="338"/>
      <c r="I30" s="323"/>
      <c r="J30" s="323"/>
      <c r="K30" s="323"/>
      <c r="L30" s="323"/>
      <c r="M30" s="323"/>
      <c r="N30" s="323"/>
      <c r="O30" s="323"/>
      <c r="P30" s="323"/>
      <c r="Q30" s="323"/>
      <c r="R30" s="323"/>
    </row>
    <row r="31" spans="2:18" ht="45" customHeight="1">
      <c r="B31" s="254">
        <v>23</v>
      </c>
      <c r="D31" s="253" t="s">
        <v>62</v>
      </c>
      <c r="F31" s="328"/>
      <c r="G31" s="297"/>
      <c r="H31" s="338">
        <f>(G21)*$F12</f>
        <v>1221416.6666666665</v>
      </c>
      <c r="I31" s="407">
        <f t="shared" ref="I31:R31" si="3">(H21)*$F12</f>
        <v>2442833.333333333</v>
      </c>
      <c r="J31" s="407">
        <f t="shared" si="3"/>
        <v>3664250</v>
      </c>
      <c r="K31" s="407">
        <f t="shared" si="3"/>
        <v>3664250</v>
      </c>
      <c r="L31" s="407">
        <f t="shared" si="3"/>
        <v>3664250</v>
      </c>
      <c r="M31" s="407">
        <f t="shared" si="3"/>
        <v>3664250</v>
      </c>
      <c r="N31" s="407">
        <f t="shared" si="3"/>
        <v>3664250</v>
      </c>
      <c r="O31" s="407">
        <f t="shared" si="3"/>
        <v>3664250</v>
      </c>
      <c r="P31" s="407">
        <f t="shared" si="3"/>
        <v>3664250</v>
      </c>
      <c r="Q31" s="407">
        <f t="shared" si="3"/>
        <v>3664250</v>
      </c>
      <c r="R31" s="407">
        <f t="shared" si="3"/>
        <v>3664250</v>
      </c>
    </row>
    <row r="32" spans="2:18" ht="45" customHeight="1">
      <c r="B32" s="254">
        <v>24</v>
      </c>
      <c r="D32" s="253" t="s">
        <v>36</v>
      </c>
      <c r="F32" s="328"/>
      <c r="G32" s="297"/>
      <c r="H32" s="338">
        <f>(G22)*$F12</f>
        <v>0</v>
      </c>
      <c r="I32" s="407">
        <f t="shared" ref="I32:R32" si="4">(H22)*$F12</f>
        <v>0</v>
      </c>
      <c r="J32" s="407">
        <f t="shared" si="4"/>
        <v>0</v>
      </c>
      <c r="K32" s="407">
        <f t="shared" si="4"/>
        <v>586956.38640070159</v>
      </c>
      <c r="L32" s="407">
        <f t="shared" si="4"/>
        <v>818179.75584502146</v>
      </c>
      <c r="M32" s="407">
        <f t="shared" si="4"/>
        <v>1159562.0414578142</v>
      </c>
      <c r="N32" s="407">
        <f t="shared" si="4"/>
        <v>1730054.2514828609</v>
      </c>
      <c r="O32" s="407">
        <f t="shared" si="4"/>
        <v>9808715.331421202</v>
      </c>
      <c r="P32" s="407">
        <f t="shared" si="4"/>
        <v>9857758.9080783073</v>
      </c>
      <c r="Q32" s="407">
        <f t="shared" si="4"/>
        <v>9907047.7026186995</v>
      </c>
      <c r="R32" s="407">
        <f t="shared" si="4"/>
        <v>9956582.9411317911</v>
      </c>
    </row>
    <row r="33" spans="2:31" ht="45" customHeight="1">
      <c r="B33" s="254">
        <v>25</v>
      </c>
      <c r="D33" s="253" t="s">
        <v>79</v>
      </c>
      <c r="F33" s="328"/>
      <c r="G33" s="297"/>
      <c r="H33" s="338">
        <f>(G23)*$F12</f>
        <v>40724474.5</v>
      </c>
      <c r="I33" s="407">
        <f t="shared" ref="I33:R33" si="5">(H23)*$F12</f>
        <v>40816576.034458332</v>
      </c>
      <c r="J33" s="407">
        <f t="shared" si="5"/>
        <v>40785876.584892228</v>
      </c>
      <c r="K33" s="407">
        <f t="shared" si="5"/>
        <v>54258584.711158976</v>
      </c>
      <c r="L33" s="407">
        <f t="shared" si="5"/>
        <v>54349493.572919533</v>
      </c>
      <c r="M33" s="407">
        <f t="shared" si="5"/>
        <v>88315483.999748185</v>
      </c>
      <c r="N33" s="407">
        <f t="shared" si="5"/>
        <v>88507712.249912962</v>
      </c>
      <c r="O33" s="407">
        <f t="shared" si="5"/>
        <v>154854930.60895976</v>
      </c>
      <c r="P33" s="407">
        <f t="shared" si="5"/>
        <v>155950237.15430176</v>
      </c>
      <c r="Q33" s="407">
        <f t="shared" si="5"/>
        <v>157051020.23237053</v>
      </c>
      <c r="R33" s="407">
        <f t="shared" si="5"/>
        <v>184424054.49198562</v>
      </c>
    </row>
    <row r="34" spans="2:31" ht="45" customHeight="1">
      <c r="B34" s="254">
        <v>26</v>
      </c>
      <c r="F34" s="328"/>
      <c r="G34" s="297"/>
      <c r="H34" s="338"/>
      <c r="I34" s="323"/>
      <c r="J34" s="323"/>
      <c r="K34" s="323"/>
      <c r="L34" s="323"/>
      <c r="M34" s="323"/>
      <c r="N34" s="323"/>
      <c r="O34" s="323"/>
      <c r="P34" s="323"/>
      <c r="Q34" s="323"/>
      <c r="R34" s="323"/>
    </row>
    <row r="35" spans="2:31" ht="45" customHeight="1">
      <c r="B35" s="254">
        <v>27</v>
      </c>
      <c r="C35" s="253" t="s">
        <v>201</v>
      </c>
      <c r="F35" s="328"/>
      <c r="G35" s="369"/>
      <c r="H35" s="338"/>
      <c r="I35" s="323"/>
      <c r="J35" s="323"/>
      <c r="K35" s="323"/>
      <c r="L35" s="323"/>
      <c r="M35" s="323"/>
      <c r="N35" s="323"/>
      <c r="O35" s="323"/>
      <c r="P35" s="323"/>
      <c r="Q35" s="323"/>
      <c r="R35" s="323"/>
    </row>
    <row r="36" spans="2:31" ht="45" customHeight="1">
      <c r="B36" s="254">
        <v>28</v>
      </c>
      <c r="D36" s="253" t="s">
        <v>62</v>
      </c>
      <c r="F36" s="328"/>
      <c r="G36" s="297"/>
      <c r="H36" s="282"/>
      <c r="I36" s="323">
        <f>(G21)*$F11</f>
        <v>1114333.3333333333</v>
      </c>
      <c r="J36" s="323">
        <f t="shared" ref="J36:R36" si="6">(H21)*$F11</f>
        <v>2228666.6666666665</v>
      </c>
      <c r="K36" s="323">
        <f t="shared" si="6"/>
        <v>3343000</v>
      </c>
      <c r="L36" s="323">
        <f t="shared" si="6"/>
        <v>3343000</v>
      </c>
      <c r="M36" s="323">
        <f t="shared" si="6"/>
        <v>3343000</v>
      </c>
      <c r="N36" s="323">
        <f t="shared" si="6"/>
        <v>3343000</v>
      </c>
      <c r="O36" s="323">
        <f t="shared" si="6"/>
        <v>3343000</v>
      </c>
      <c r="P36" s="323">
        <f t="shared" si="6"/>
        <v>3343000</v>
      </c>
      <c r="Q36" s="323">
        <f t="shared" si="6"/>
        <v>3343000</v>
      </c>
      <c r="R36" s="323">
        <f t="shared" si="6"/>
        <v>3343000</v>
      </c>
    </row>
    <row r="37" spans="2:31" ht="45" customHeight="1">
      <c r="B37" s="254">
        <v>29</v>
      </c>
      <c r="D37" s="253" t="s">
        <v>36</v>
      </c>
      <c r="F37" s="328"/>
      <c r="G37" s="297"/>
      <c r="H37" s="282"/>
      <c r="I37" s="323">
        <f>(G22)*$F11</f>
        <v>0</v>
      </c>
      <c r="J37" s="323">
        <f t="shared" ref="J37:R37" si="7">(H22)*$F11</f>
        <v>0</v>
      </c>
      <c r="K37" s="323">
        <f t="shared" si="7"/>
        <v>0</v>
      </c>
      <c r="L37" s="323">
        <f t="shared" si="7"/>
        <v>535497.086644619</v>
      </c>
      <c r="M37" s="323">
        <f t="shared" si="7"/>
        <v>746448.77499895112</v>
      </c>
      <c r="N37" s="323">
        <f t="shared" si="7"/>
        <v>1057901.5909377013</v>
      </c>
      <c r="O37" s="323">
        <f t="shared" si="7"/>
        <v>1578377.9389253473</v>
      </c>
      <c r="P37" s="323">
        <f t="shared" si="7"/>
        <v>8948771.3319072332</v>
      </c>
      <c r="Q37" s="323">
        <f t="shared" si="7"/>
        <v>8993515.1885667685</v>
      </c>
      <c r="R37" s="323">
        <f t="shared" si="7"/>
        <v>9038482.7645096034</v>
      </c>
    </row>
    <row r="38" spans="2:31" ht="45" customHeight="1">
      <c r="B38" s="254">
        <v>30</v>
      </c>
      <c r="D38" s="253" t="s">
        <v>79</v>
      </c>
      <c r="F38" s="328"/>
      <c r="G38" s="297"/>
      <c r="H38" s="282"/>
      <c r="I38" s="323">
        <f>(G23)*$F11</f>
        <v>37154102</v>
      </c>
      <c r="J38" s="323">
        <f t="shared" ref="J38:R38" si="8">(H23)*$F11</f>
        <v>37238128.862166665</v>
      </c>
      <c r="K38" s="323">
        <f t="shared" si="8"/>
        <v>37210120.876931079</v>
      </c>
      <c r="L38" s="323">
        <f t="shared" si="8"/>
        <v>49501657.553224929</v>
      </c>
      <c r="M38" s="323">
        <f t="shared" si="8"/>
        <v>49584596.306002587</v>
      </c>
      <c r="N38" s="323">
        <f t="shared" si="8"/>
        <v>80572740.127217904</v>
      </c>
      <c r="O38" s="323">
        <f t="shared" si="8"/>
        <v>80748115.453765169</v>
      </c>
      <c r="P38" s="323">
        <f t="shared" si="8"/>
        <v>141278578.97953263</v>
      </c>
      <c r="Q38" s="323">
        <f t="shared" si="8"/>
        <v>142277858.44492891</v>
      </c>
      <c r="R38" s="323">
        <f t="shared" si="8"/>
        <v>143282134.30765224</v>
      </c>
    </row>
    <row r="39" spans="2:31" ht="45" customHeight="1">
      <c r="B39" s="254">
        <v>31</v>
      </c>
      <c r="F39" s="328"/>
      <c r="G39" s="297"/>
      <c r="H39" s="338"/>
      <c r="I39" s="323"/>
      <c r="J39" s="323"/>
      <c r="K39" s="323"/>
      <c r="L39" s="323"/>
      <c r="M39" s="323"/>
      <c r="N39" s="323"/>
      <c r="O39" s="323"/>
      <c r="P39" s="323"/>
      <c r="Q39" s="323"/>
      <c r="R39" s="323"/>
    </row>
    <row r="40" spans="2:31" ht="45" customHeight="1">
      <c r="B40" s="254">
        <v>32</v>
      </c>
      <c r="C40" s="253" t="s">
        <v>195</v>
      </c>
      <c r="F40" s="328"/>
      <c r="G40" s="369"/>
      <c r="H40" s="338"/>
      <c r="I40" s="323"/>
      <c r="J40" s="323"/>
      <c r="K40" s="323"/>
      <c r="L40" s="323"/>
      <c r="M40" s="323"/>
      <c r="N40" s="323"/>
      <c r="O40" s="323"/>
      <c r="P40" s="323"/>
      <c r="Q40" s="323"/>
      <c r="R40" s="323"/>
    </row>
    <row r="41" spans="2:31" ht="45" customHeight="1">
      <c r="B41" s="254">
        <v>33</v>
      </c>
      <c r="D41" s="253" t="s">
        <v>62</v>
      </c>
      <c r="F41" s="328"/>
      <c r="G41" s="405"/>
      <c r="H41" s="282"/>
      <c r="J41" s="323">
        <f t="shared" ref="J41:R42" si="9">(G21)*$F11</f>
        <v>1114333.3333333333</v>
      </c>
      <c r="K41" s="323">
        <f t="shared" si="9"/>
        <v>2228666.6666666665</v>
      </c>
      <c r="L41" s="323">
        <f t="shared" si="9"/>
        <v>3343000</v>
      </c>
      <c r="M41" s="323">
        <f t="shared" si="9"/>
        <v>3343000</v>
      </c>
      <c r="N41" s="323">
        <f t="shared" si="9"/>
        <v>3343000</v>
      </c>
      <c r="O41" s="323">
        <f t="shared" si="9"/>
        <v>3343000</v>
      </c>
      <c r="P41" s="323">
        <f t="shared" si="9"/>
        <v>3343000</v>
      </c>
      <c r="Q41" s="323">
        <f t="shared" si="9"/>
        <v>3343000</v>
      </c>
      <c r="R41" s="323">
        <f t="shared" si="9"/>
        <v>3343000</v>
      </c>
    </row>
    <row r="42" spans="2:31" ht="45" customHeight="1">
      <c r="B42" s="254">
        <v>34</v>
      </c>
      <c r="D42" s="253" t="s">
        <v>36</v>
      </c>
      <c r="F42" s="328"/>
      <c r="G42" s="297"/>
      <c r="H42" s="282"/>
      <c r="J42" s="323">
        <f t="shared" si="9"/>
        <v>0</v>
      </c>
      <c r="K42" s="323">
        <f t="shared" si="9"/>
        <v>0</v>
      </c>
      <c r="L42" s="323">
        <f t="shared" si="9"/>
        <v>0</v>
      </c>
      <c r="M42" s="323">
        <f t="shared" si="9"/>
        <v>586956.38640070159</v>
      </c>
      <c r="N42" s="323">
        <f t="shared" si="9"/>
        <v>818179.75584502146</v>
      </c>
      <c r="O42" s="323">
        <f t="shared" si="9"/>
        <v>1159562.0414578142</v>
      </c>
      <c r="P42" s="323">
        <f t="shared" si="9"/>
        <v>1730054.2514828609</v>
      </c>
      <c r="Q42" s="323">
        <f t="shared" si="9"/>
        <v>9808715.331421202</v>
      </c>
      <c r="R42" s="323">
        <f t="shared" si="9"/>
        <v>9857758.9080783073</v>
      </c>
    </row>
    <row r="43" spans="2:31" ht="45" customHeight="1">
      <c r="B43" s="254">
        <v>35</v>
      </c>
      <c r="D43" s="253" t="s">
        <v>79</v>
      </c>
      <c r="F43" s="328"/>
      <c r="G43" s="297"/>
      <c r="H43" s="282"/>
      <c r="J43" s="323">
        <f t="shared" ref="J43:R43" si="10">(G23)*$F11</f>
        <v>37154102</v>
      </c>
      <c r="K43" s="323">
        <f t="shared" si="10"/>
        <v>37238128.862166665</v>
      </c>
      <c r="L43" s="323">
        <f t="shared" si="10"/>
        <v>37210120.876931079</v>
      </c>
      <c r="M43" s="323">
        <f t="shared" si="10"/>
        <v>49501657.553224929</v>
      </c>
      <c r="N43" s="323">
        <f t="shared" si="10"/>
        <v>49584596.306002587</v>
      </c>
      <c r="O43" s="323">
        <f t="shared" si="10"/>
        <v>80572740.127217904</v>
      </c>
      <c r="P43" s="323">
        <f t="shared" si="10"/>
        <v>80748115.453765169</v>
      </c>
      <c r="Q43" s="323">
        <f t="shared" si="10"/>
        <v>141278578.97953263</v>
      </c>
      <c r="R43" s="323">
        <f t="shared" si="10"/>
        <v>142277858.44492891</v>
      </c>
    </row>
    <row r="44" spans="2:31" ht="45" customHeight="1">
      <c r="B44" s="254">
        <v>36</v>
      </c>
      <c r="F44" s="328"/>
      <c r="G44" s="297"/>
      <c r="H44" s="282"/>
      <c r="J44" s="323"/>
      <c r="K44" s="323"/>
      <c r="L44" s="323"/>
      <c r="M44" s="323"/>
      <c r="N44" s="323"/>
      <c r="O44" s="323"/>
      <c r="P44" s="323"/>
      <c r="Q44" s="323"/>
      <c r="R44" s="323"/>
    </row>
    <row r="45" spans="2:31" ht="45" customHeight="1">
      <c r="B45" s="254">
        <v>37</v>
      </c>
      <c r="C45" s="253" t="s">
        <v>196</v>
      </c>
      <c r="F45" s="328"/>
      <c r="G45" s="369"/>
      <c r="H45" s="282"/>
      <c r="J45" s="323"/>
      <c r="K45" s="323"/>
      <c r="L45" s="323"/>
      <c r="M45" s="323"/>
      <c r="N45" s="323"/>
      <c r="O45" s="323"/>
      <c r="P45" s="323"/>
      <c r="Q45" s="323"/>
      <c r="R45" s="323"/>
    </row>
    <row r="46" spans="2:31" ht="45" customHeight="1">
      <c r="B46" s="254">
        <v>38</v>
      </c>
      <c r="D46" s="253" t="s">
        <v>62</v>
      </c>
      <c r="F46" s="328"/>
      <c r="G46" s="297"/>
      <c r="H46" s="282"/>
      <c r="K46" s="323">
        <f t="shared" ref="K46:R47" si="11">(G21)*$F11</f>
        <v>1114333.3333333333</v>
      </c>
      <c r="L46" s="323">
        <f t="shared" si="11"/>
        <v>2228666.6666666665</v>
      </c>
      <c r="M46" s="323">
        <f t="shared" si="11"/>
        <v>3343000</v>
      </c>
      <c r="N46" s="323">
        <f t="shared" si="11"/>
        <v>3343000</v>
      </c>
      <c r="O46" s="323">
        <f t="shared" si="11"/>
        <v>3343000</v>
      </c>
      <c r="P46" s="323">
        <f t="shared" si="11"/>
        <v>3343000</v>
      </c>
      <c r="Q46" s="323">
        <f t="shared" si="11"/>
        <v>3343000</v>
      </c>
      <c r="R46" s="323">
        <f t="shared" si="11"/>
        <v>3343000</v>
      </c>
      <c r="T46" s="323"/>
      <c r="U46" s="323"/>
      <c r="V46" s="323"/>
      <c r="W46" s="323"/>
      <c r="X46" s="323"/>
      <c r="Y46" s="323"/>
      <c r="Z46" s="323"/>
      <c r="AA46" s="323"/>
      <c r="AB46" s="323"/>
      <c r="AC46" s="323"/>
      <c r="AD46" s="323"/>
      <c r="AE46" s="323"/>
    </row>
    <row r="47" spans="2:31" ht="45" customHeight="1">
      <c r="B47" s="254">
        <v>39</v>
      </c>
      <c r="D47" s="253" t="s">
        <v>36</v>
      </c>
      <c r="F47" s="328"/>
      <c r="G47" s="297"/>
      <c r="H47" s="282"/>
      <c r="K47" s="323">
        <f t="shared" si="11"/>
        <v>0</v>
      </c>
      <c r="L47" s="323">
        <f t="shared" si="11"/>
        <v>0</v>
      </c>
      <c r="M47" s="323">
        <f t="shared" si="11"/>
        <v>0</v>
      </c>
      <c r="N47" s="323">
        <f t="shared" si="11"/>
        <v>586956.38640070159</v>
      </c>
      <c r="O47" s="323">
        <f t="shared" si="11"/>
        <v>818179.75584502146</v>
      </c>
      <c r="P47" s="323">
        <f t="shared" si="11"/>
        <v>1159562.0414578142</v>
      </c>
      <c r="Q47" s="323">
        <f t="shared" si="11"/>
        <v>1730054.2514828609</v>
      </c>
      <c r="R47" s="323">
        <f t="shared" si="11"/>
        <v>9808715.331421202</v>
      </c>
    </row>
    <row r="48" spans="2:31" ht="45" customHeight="1">
      <c r="B48" s="254">
        <v>40</v>
      </c>
      <c r="D48" s="253" t="s">
        <v>79</v>
      </c>
      <c r="F48" s="328"/>
      <c r="G48" s="297"/>
      <c r="H48" s="282"/>
      <c r="K48" s="323">
        <f t="shared" ref="K48:R48" si="12">(G23)*$F11</f>
        <v>37154102</v>
      </c>
      <c r="L48" s="323">
        <f t="shared" si="12"/>
        <v>37238128.862166665</v>
      </c>
      <c r="M48" s="323">
        <f t="shared" si="12"/>
        <v>37210120.876931079</v>
      </c>
      <c r="N48" s="323">
        <f t="shared" si="12"/>
        <v>49501657.553224929</v>
      </c>
      <c r="O48" s="323">
        <f t="shared" si="12"/>
        <v>49584596.306002587</v>
      </c>
      <c r="P48" s="323">
        <f t="shared" si="12"/>
        <v>80572740.127217904</v>
      </c>
      <c r="Q48" s="323">
        <f t="shared" si="12"/>
        <v>80748115.453765169</v>
      </c>
      <c r="R48" s="323">
        <f t="shared" si="12"/>
        <v>141278578.97953263</v>
      </c>
    </row>
    <row r="49" spans="2:31" ht="45" customHeight="1">
      <c r="B49" s="254">
        <v>41</v>
      </c>
      <c r="F49" s="328"/>
      <c r="G49" s="297"/>
      <c r="H49" s="338"/>
      <c r="I49" s="323"/>
      <c r="J49" s="323"/>
      <c r="K49" s="323"/>
      <c r="L49" s="323"/>
      <c r="M49" s="323"/>
      <c r="N49" s="323"/>
      <c r="O49" s="323"/>
      <c r="P49" s="323"/>
      <c r="Q49" s="323"/>
      <c r="R49" s="323"/>
      <c r="T49" s="357"/>
      <c r="U49" s="357"/>
      <c r="V49" s="357"/>
      <c r="W49" s="357"/>
      <c r="X49" s="357"/>
      <c r="Y49" s="357"/>
      <c r="Z49" s="357"/>
      <c r="AA49" s="357"/>
      <c r="AB49" s="357"/>
      <c r="AC49" s="357"/>
      <c r="AD49" s="357"/>
      <c r="AE49" s="357"/>
    </row>
    <row r="50" spans="2:31" ht="45" customHeight="1">
      <c r="B50" s="254">
        <v>42</v>
      </c>
      <c r="C50" s="377" t="s">
        <v>194</v>
      </c>
      <c r="D50" s="377"/>
      <c r="E50" s="377"/>
      <c r="F50" s="376"/>
      <c r="G50" s="297"/>
      <c r="H50" s="338"/>
      <c r="I50" s="375"/>
      <c r="J50" s="375"/>
      <c r="K50" s="375"/>
      <c r="L50" s="375"/>
      <c r="M50" s="375"/>
      <c r="N50" s="375"/>
      <c r="O50" s="375"/>
      <c r="P50" s="375"/>
      <c r="Q50" s="375"/>
      <c r="R50" s="375"/>
    </row>
    <row r="51" spans="2:31" ht="45" customHeight="1">
      <c r="B51" s="254">
        <v>43</v>
      </c>
      <c r="C51" s="377" t="s">
        <v>193</v>
      </c>
      <c r="D51" s="377"/>
      <c r="E51" s="377"/>
      <c r="F51" s="376"/>
      <c r="G51" s="297"/>
      <c r="H51" s="338"/>
      <c r="I51" s="375"/>
      <c r="J51" s="375"/>
      <c r="K51" s="375"/>
      <c r="L51" s="375"/>
      <c r="M51" s="375"/>
      <c r="N51" s="375"/>
      <c r="O51" s="375"/>
      <c r="P51" s="375"/>
      <c r="Q51" s="375"/>
      <c r="R51" s="375"/>
    </row>
    <row r="52" spans="2:31" ht="45" customHeight="1">
      <c r="B52" s="254">
        <v>44</v>
      </c>
      <c r="F52" s="328"/>
      <c r="G52" s="297"/>
      <c r="H52" s="282"/>
    </row>
    <row r="53" spans="2:31" ht="45" customHeight="1">
      <c r="B53" s="254">
        <v>45</v>
      </c>
      <c r="C53" s="253" t="s">
        <v>80</v>
      </c>
      <c r="E53" s="323"/>
      <c r="F53" s="374"/>
      <c r="G53" s="369">
        <f>G21</f>
        <v>833333.33333333326</v>
      </c>
      <c r="H53" s="338">
        <f>SUM(H21+H26+H31+H36+H41+H46)-SUM(G53:G53)</f>
        <v>4283416.666666667</v>
      </c>
      <c r="I53" s="323">
        <f>SUM(I21+I26+I31+I36+I41+I46)-SUM(G53:H53)</f>
        <v>5397750</v>
      </c>
      <c r="J53" s="323">
        <f>SUM(J21+J26+J31+J36+J41+J46)-SUM(G53:I53)</f>
        <v>5678750</v>
      </c>
      <c r="K53" s="323">
        <f>SUM(K21+K26+K31+K36+K41+K46)-SUM(G53:J53)</f>
        <v>3343000</v>
      </c>
      <c r="L53" s="323">
        <f>SUM(L21+L26+L31+L36+L41+L46)-SUM(G53:K53)</f>
        <v>2228666.6666666679</v>
      </c>
      <c r="M53" s="323">
        <v>0</v>
      </c>
      <c r="N53" s="323">
        <v>0</v>
      </c>
      <c r="O53" s="253">
        <v>0</v>
      </c>
      <c r="P53" s="253">
        <v>0</v>
      </c>
      <c r="Q53" s="253">
        <v>0</v>
      </c>
      <c r="R53" s="253">
        <v>0</v>
      </c>
    </row>
    <row r="54" spans="2:31" ht="45" customHeight="1">
      <c r="B54" s="254">
        <v>46</v>
      </c>
      <c r="F54" s="328"/>
      <c r="G54" s="297"/>
      <c r="H54" s="282"/>
    </row>
    <row r="55" spans="2:31" ht="45" customHeight="1">
      <c r="B55" s="254">
        <v>47</v>
      </c>
      <c r="C55" s="277" t="s">
        <v>47</v>
      </c>
      <c r="E55" s="323"/>
      <c r="F55" s="374"/>
      <c r="G55" s="373">
        <f t="shared" ref="G55:R55" si="13">(SUM(G21:G22)+SUM(G26:G27)+SUM(G31:G32))+SUM(G36:G37)+SUM(G41:G42)+SUM(G46:G47)+SUM(G53)</f>
        <v>1666666.6666666665</v>
      </c>
      <c r="H55" s="372">
        <f t="shared" si="13"/>
        <v>9400166.6666666679</v>
      </c>
      <c r="I55" s="371">
        <f t="shared" si="13"/>
        <v>15912250</v>
      </c>
      <c r="J55" s="371">
        <f t="shared" si="13"/>
        <v>22272461.476701032</v>
      </c>
      <c r="K55" s="371">
        <f t="shared" si="13"/>
        <v>25095418.309464805</v>
      </c>
      <c r="L55" s="371">
        <f t="shared" si="13"/>
        <v>27631289.636483233</v>
      </c>
      <c r="M55" s="371">
        <f t="shared" si="13"/>
        <v>28668380.793740757</v>
      </c>
      <c r="N55" s="371">
        <f t="shared" si="13"/>
        <v>36921269.064960316</v>
      </c>
      <c r="O55" s="371">
        <f t="shared" si="13"/>
        <v>60867259.789919421</v>
      </c>
      <c r="P55" s="371">
        <f t="shared" si="13"/>
        <v>69321687.128807589</v>
      </c>
      <c r="Q55" s="371">
        <f t="shared" si="13"/>
        <v>78188604.522950307</v>
      </c>
      <c r="R55" s="371">
        <f t="shared" si="13"/>
        <v>86535162.104290977</v>
      </c>
    </row>
    <row r="56" spans="2:31" ht="45" customHeight="1">
      <c r="B56" s="254">
        <v>48</v>
      </c>
      <c r="E56" s="314"/>
      <c r="F56" s="328"/>
      <c r="G56" s="297"/>
      <c r="H56" s="282"/>
    </row>
    <row r="57" spans="2:31" ht="45" customHeight="1">
      <c r="B57" s="254">
        <v>49</v>
      </c>
      <c r="C57" s="277" t="s">
        <v>135</v>
      </c>
      <c r="E57" s="317"/>
      <c r="F57" s="370"/>
      <c r="G57" s="369"/>
      <c r="H57" s="338"/>
      <c r="I57" s="323"/>
      <c r="J57" s="323"/>
      <c r="K57" s="323"/>
      <c r="L57" s="323"/>
      <c r="M57" s="323"/>
      <c r="N57" s="323"/>
      <c r="O57" s="323"/>
      <c r="P57" s="323"/>
      <c r="Q57" s="323"/>
      <c r="R57" s="323"/>
      <c r="T57" s="323"/>
    </row>
    <row r="58" spans="2:31" ht="45" customHeight="1">
      <c r="B58" s="254">
        <v>50</v>
      </c>
      <c r="C58" s="253" t="s">
        <v>82</v>
      </c>
      <c r="F58" s="349"/>
      <c r="G58" s="368">
        <f>G72*0.1</f>
        <v>2000000</v>
      </c>
      <c r="H58" s="361">
        <f>H72*0.1</f>
        <v>2200000</v>
      </c>
      <c r="I58" s="356">
        <v>0</v>
      </c>
      <c r="J58" s="356">
        <f t="shared" ref="J58:R58" si="14">J72*0.1</f>
        <v>0</v>
      </c>
      <c r="K58" s="356">
        <f t="shared" si="14"/>
        <v>0</v>
      </c>
      <c r="L58" s="356">
        <f t="shared" si="14"/>
        <v>0</v>
      </c>
      <c r="M58" s="356">
        <f t="shared" si="14"/>
        <v>0</v>
      </c>
      <c r="N58" s="356">
        <f t="shared" si="14"/>
        <v>0</v>
      </c>
      <c r="O58" s="356">
        <f t="shared" si="14"/>
        <v>0</v>
      </c>
      <c r="P58" s="356">
        <f t="shared" si="14"/>
        <v>0</v>
      </c>
      <c r="Q58" s="356">
        <f t="shared" si="14"/>
        <v>0</v>
      </c>
      <c r="R58" s="356">
        <f t="shared" si="14"/>
        <v>0</v>
      </c>
    </row>
    <row r="59" spans="2:31" ht="45" customHeight="1">
      <c r="B59" s="254">
        <v>51</v>
      </c>
      <c r="C59" s="253" t="s">
        <v>83</v>
      </c>
      <c r="F59" s="367">
        <f>SUM(G59:R59)</f>
        <v>10500000</v>
      </c>
      <c r="G59" s="362">
        <v>2000000</v>
      </c>
      <c r="H59" s="361">
        <v>8500000</v>
      </c>
      <c r="I59" s="356">
        <v>0</v>
      </c>
      <c r="J59" s="356">
        <f t="shared" ref="J59:R59" si="15">J73*0.1</f>
        <v>0</v>
      </c>
      <c r="K59" s="356">
        <f t="shared" si="15"/>
        <v>0</v>
      </c>
      <c r="L59" s="356">
        <f t="shared" si="15"/>
        <v>0</v>
      </c>
      <c r="M59" s="356">
        <f t="shared" si="15"/>
        <v>0</v>
      </c>
      <c r="N59" s="356">
        <f t="shared" si="15"/>
        <v>0</v>
      </c>
      <c r="O59" s="356">
        <f t="shared" si="15"/>
        <v>0</v>
      </c>
      <c r="P59" s="356">
        <f t="shared" si="15"/>
        <v>0</v>
      </c>
      <c r="Q59" s="356">
        <f t="shared" si="15"/>
        <v>0</v>
      </c>
      <c r="R59" s="356">
        <f t="shared" si="15"/>
        <v>0</v>
      </c>
    </row>
    <row r="60" spans="2:31" ht="45" customHeight="1">
      <c r="B60" s="254">
        <v>52</v>
      </c>
      <c r="C60" s="253" t="s">
        <v>87</v>
      </c>
      <c r="G60" s="362">
        <v>750000</v>
      </c>
      <c r="H60" s="361">
        <v>750000</v>
      </c>
      <c r="I60" s="366">
        <f>(I21+I26+I31+I36+I41+I46)*20%*70%</f>
        <v>1472030</v>
      </c>
      <c r="J60" s="366">
        <f>(J21+J26+J31+J36+J41+J46)*25%*70%</f>
        <v>2833818.75</v>
      </c>
      <c r="K60" s="366">
        <f>(K21+K26+K31+K36+K41+K46)*30%*70%</f>
        <v>4102612.4999999995</v>
      </c>
      <c r="L60" s="366">
        <f>(L21+L26+L31+L36+L41+L46)*35%*70%</f>
        <v>5332404.583333333</v>
      </c>
      <c r="M60" s="366">
        <f>(M21+M26+M31+M36+M41+M46)*40%*70%</f>
        <v>6406190</v>
      </c>
      <c r="N60" s="366">
        <f>(N21+N26+N31+N36+N41+N46)*45%*70%</f>
        <v>7206963.75</v>
      </c>
      <c r="O60" s="366">
        <f>(O21+O26+O31+O36+O41+O46)*50%*70%</f>
        <v>8007737.4999999991</v>
      </c>
      <c r="P60" s="366">
        <f>(P21+P26+P31+P36+P41+P46)*55%*70%</f>
        <v>8808511.25</v>
      </c>
      <c r="Q60" s="366">
        <f>(Q21+Q26+Q31+Q36+Q41+Q46)*60%*70%</f>
        <v>9609285</v>
      </c>
      <c r="R60" s="366">
        <f>(R21+R26+R31+R36+R41+R46)*65%*70%</f>
        <v>10410058.75</v>
      </c>
      <c r="T60" s="357"/>
    </row>
    <row r="61" spans="2:31" ht="45" customHeight="1">
      <c r="B61" s="254">
        <v>53</v>
      </c>
      <c r="C61" s="253" t="s">
        <v>104</v>
      </c>
      <c r="F61" s="356"/>
      <c r="G61" s="365">
        <v>0</v>
      </c>
      <c r="H61" s="364">
        <v>250000</v>
      </c>
      <c r="I61" s="363">
        <f>(I21+I26+I31+I36+I41+I46)*20%*30%</f>
        <v>630870</v>
      </c>
      <c r="J61" s="363">
        <f>(J21+J26+J31+J36+J41+J46)*25%*30%</f>
        <v>1214493.75</v>
      </c>
      <c r="K61" s="363">
        <f>(K21+K26+K31+K36+K41+K46)*30%*30%</f>
        <v>1758262.5</v>
      </c>
      <c r="L61" s="363">
        <f>(L21+L26+L31+L36+L41+L46)*35%*30%</f>
        <v>2285316.25</v>
      </c>
      <c r="M61" s="363">
        <f>(M21+M26+M31+M36+M41+M46)*40%*30%</f>
        <v>2745510</v>
      </c>
      <c r="N61" s="363">
        <f>(N21+N26+N31+N36+N41+N46)*45%*30%</f>
        <v>3088698.75</v>
      </c>
      <c r="O61" s="363">
        <f>(O21+O26+O31+O36+O41+O46)*50%*30%</f>
        <v>3431887.5</v>
      </c>
      <c r="P61" s="363">
        <f>(P21+P26+P31+P36+P41+P46)*55%*30%</f>
        <v>3775076.2500000005</v>
      </c>
      <c r="Q61" s="363">
        <f>(Q21+Q26+Q31+Q36+Q41+Q46)*60%*30%</f>
        <v>4118265</v>
      </c>
      <c r="R61" s="363">
        <f>(R21+R26+R31+R36+R41+R46)*65%*30%</f>
        <v>4461453.75</v>
      </c>
      <c r="T61" s="357"/>
      <c r="U61" s="360"/>
    </row>
    <row r="62" spans="2:31" ht="45" customHeight="1">
      <c r="B62" s="254">
        <v>54</v>
      </c>
      <c r="C62" s="277" t="s">
        <v>136</v>
      </c>
      <c r="E62" s="323"/>
      <c r="G62" s="362">
        <f t="shared" ref="G62:R62" si="16">SUM(G58:G61)</f>
        <v>4750000</v>
      </c>
      <c r="H62" s="361">
        <f t="shared" si="16"/>
        <v>11700000</v>
      </c>
      <c r="I62" s="356">
        <f t="shared" si="16"/>
        <v>2102900</v>
      </c>
      <c r="J62" s="356">
        <f t="shared" si="16"/>
        <v>4048312.5</v>
      </c>
      <c r="K62" s="356">
        <f t="shared" si="16"/>
        <v>5860875</v>
      </c>
      <c r="L62" s="356">
        <f t="shared" si="16"/>
        <v>7617720.833333333</v>
      </c>
      <c r="M62" s="356">
        <f t="shared" si="16"/>
        <v>9151700</v>
      </c>
      <c r="N62" s="356">
        <f t="shared" si="16"/>
        <v>10295662.5</v>
      </c>
      <c r="O62" s="356">
        <f t="shared" si="16"/>
        <v>11439625</v>
      </c>
      <c r="P62" s="356">
        <f t="shared" si="16"/>
        <v>12583587.5</v>
      </c>
      <c r="Q62" s="356">
        <f t="shared" si="16"/>
        <v>13727550</v>
      </c>
      <c r="R62" s="356">
        <f t="shared" si="16"/>
        <v>14871512.5</v>
      </c>
      <c r="T62" s="323"/>
      <c r="U62" s="360"/>
    </row>
    <row r="63" spans="2:31" ht="45" customHeight="1">
      <c r="B63" s="254">
        <v>55</v>
      </c>
      <c r="G63" s="359"/>
      <c r="H63" s="358"/>
      <c r="I63" s="357"/>
      <c r="J63" s="357"/>
      <c r="K63" s="357"/>
      <c r="L63" s="357"/>
      <c r="M63" s="357"/>
      <c r="N63" s="357"/>
      <c r="O63" s="357"/>
      <c r="P63" s="357"/>
      <c r="Q63" s="357"/>
      <c r="R63" s="357"/>
    </row>
    <row r="64" spans="2:31" ht="45" customHeight="1">
      <c r="B64" s="254">
        <v>56</v>
      </c>
      <c r="C64" s="353" t="s">
        <v>68</v>
      </c>
      <c r="D64" s="335"/>
      <c r="E64" s="335"/>
      <c r="F64" s="356"/>
      <c r="G64" s="325">
        <f t="shared" ref="G64:R64" si="17">G55-G62</f>
        <v>-3083333.3333333335</v>
      </c>
      <c r="H64" s="324">
        <f t="shared" si="17"/>
        <v>-2299833.3333333321</v>
      </c>
      <c r="I64" s="355">
        <f t="shared" si="17"/>
        <v>13809350</v>
      </c>
      <c r="J64" s="355">
        <f t="shared" si="17"/>
        <v>18224148.976701032</v>
      </c>
      <c r="K64" s="355">
        <f t="shared" si="17"/>
        <v>19234543.309464805</v>
      </c>
      <c r="L64" s="355">
        <f t="shared" si="17"/>
        <v>20013568.803149901</v>
      </c>
      <c r="M64" s="355">
        <f t="shared" si="17"/>
        <v>19516680.793740757</v>
      </c>
      <c r="N64" s="355">
        <f t="shared" si="17"/>
        <v>26625606.564960316</v>
      </c>
      <c r="O64" s="355">
        <f t="shared" si="17"/>
        <v>49427634.789919421</v>
      </c>
      <c r="P64" s="355">
        <f t="shared" si="17"/>
        <v>56738099.628807589</v>
      </c>
      <c r="Q64" s="355">
        <f t="shared" si="17"/>
        <v>64461054.522950307</v>
      </c>
      <c r="R64" s="355">
        <f t="shared" si="17"/>
        <v>71663649.604290977</v>
      </c>
    </row>
    <row r="65" spans="2:18" ht="45" customHeight="1">
      <c r="B65" s="254">
        <v>57</v>
      </c>
      <c r="C65" s="335"/>
      <c r="D65" s="335" t="s">
        <v>84</v>
      </c>
      <c r="E65" s="335"/>
      <c r="F65" s="349"/>
      <c r="G65" s="351">
        <f>G64/F9</f>
        <v>-0.30833333333333335</v>
      </c>
      <c r="H65" s="350">
        <f>H64/F9</f>
        <v>-0.22998333333333321</v>
      </c>
      <c r="I65" s="281">
        <f t="shared" ref="I65:R65" si="18">I64/$F$9</f>
        <v>1.380935</v>
      </c>
      <c r="J65" s="281">
        <f t="shared" si="18"/>
        <v>1.8224148976701033</v>
      </c>
      <c r="K65" s="281">
        <f t="shared" si="18"/>
        <v>1.9234543309464804</v>
      </c>
      <c r="L65" s="281">
        <f t="shared" si="18"/>
        <v>2.0013568803149901</v>
      </c>
      <c r="M65" s="281">
        <f t="shared" si="18"/>
        <v>1.9516680793740757</v>
      </c>
      <c r="N65" s="281">
        <f t="shared" si="18"/>
        <v>2.6625606564960318</v>
      </c>
      <c r="O65" s="281">
        <f t="shared" si="18"/>
        <v>4.9427634789919423</v>
      </c>
      <c r="P65" s="281">
        <f t="shared" si="18"/>
        <v>5.6738099628807586</v>
      </c>
      <c r="Q65" s="281">
        <f t="shared" si="18"/>
        <v>6.446105452295031</v>
      </c>
      <c r="R65" s="281">
        <f t="shared" si="18"/>
        <v>7.1663649604290978</v>
      </c>
    </row>
    <row r="66" spans="2:18" ht="45" customHeight="1">
      <c r="B66" s="254">
        <v>58</v>
      </c>
      <c r="C66" s="335"/>
      <c r="D66" s="335"/>
      <c r="E66" s="335"/>
      <c r="F66" s="349"/>
      <c r="G66" s="348"/>
      <c r="H66" s="347"/>
      <c r="I66" s="281"/>
      <c r="J66" s="281"/>
      <c r="K66" s="281"/>
      <c r="L66" s="281"/>
      <c r="M66" s="281"/>
      <c r="N66" s="281"/>
      <c r="O66" s="281"/>
    </row>
    <row r="67" spans="2:18" ht="45" customHeight="1">
      <c r="B67" s="254">
        <v>59</v>
      </c>
      <c r="C67" s="353" t="s">
        <v>46</v>
      </c>
      <c r="D67" s="335" t="s">
        <v>85</v>
      </c>
      <c r="E67" s="335"/>
      <c r="F67" s="354">
        <v>0.27</v>
      </c>
      <c r="G67" s="352">
        <f t="shared" ref="G67:R67" si="19">$F67*G64</f>
        <v>-832500.00000000012</v>
      </c>
      <c r="H67" s="324">
        <f t="shared" si="19"/>
        <v>-620954.99999999965</v>
      </c>
      <c r="I67" s="323">
        <f t="shared" si="19"/>
        <v>3728524.5000000005</v>
      </c>
      <c r="J67" s="323">
        <f t="shared" si="19"/>
        <v>4920520.2237092787</v>
      </c>
      <c r="K67" s="323">
        <f t="shared" si="19"/>
        <v>5193326.6935554976</v>
      </c>
      <c r="L67" s="323">
        <f t="shared" si="19"/>
        <v>5403663.5768504739</v>
      </c>
      <c r="M67" s="323">
        <f t="shared" si="19"/>
        <v>5269503.8143100049</v>
      </c>
      <c r="N67" s="323">
        <f t="shared" si="19"/>
        <v>7188913.7725392859</v>
      </c>
      <c r="O67" s="323">
        <f t="shared" si="19"/>
        <v>13345461.393278245</v>
      </c>
      <c r="P67" s="323">
        <f t="shared" si="19"/>
        <v>15319286.899778049</v>
      </c>
      <c r="Q67" s="323">
        <f t="shared" si="19"/>
        <v>17404484.721196584</v>
      </c>
      <c r="R67" s="323">
        <f t="shared" si="19"/>
        <v>19349185.393158566</v>
      </c>
    </row>
    <row r="68" spans="2:18" ht="45" customHeight="1">
      <c r="B68" s="254">
        <v>60</v>
      </c>
      <c r="C68" s="335"/>
      <c r="F68" s="349"/>
      <c r="G68" s="297"/>
      <c r="H68" s="282"/>
    </row>
    <row r="69" spans="2:18" ht="45" customHeight="1">
      <c r="B69" s="254">
        <v>61</v>
      </c>
      <c r="C69" s="353" t="s">
        <v>43</v>
      </c>
      <c r="D69" s="335"/>
      <c r="E69" s="335"/>
      <c r="F69" s="349"/>
      <c r="G69" s="352">
        <f t="shared" ref="G69:R69" si="20">G64-G67</f>
        <v>-2250833.3333333335</v>
      </c>
      <c r="H69" s="324">
        <f t="shared" si="20"/>
        <v>-1678878.3333333326</v>
      </c>
      <c r="I69" s="323">
        <f t="shared" si="20"/>
        <v>10080825.5</v>
      </c>
      <c r="J69" s="323">
        <f t="shared" si="20"/>
        <v>13303628.752991755</v>
      </c>
      <c r="K69" s="323">
        <f t="shared" si="20"/>
        <v>14041216.615909308</v>
      </c>
      <c r="L69" s="323">
        <f t="shared" si="20"/>
        <v>14609905.226299427</v>
      </c>
      <c r="M69" s="323">
        <f t="shared" si="20"/>
        <v>14247176.979430752</v>
      </c>
      <c r="N69" s="323">
        <f t="shared" si="20"/>
        <v>19436692.792421028</v>
      </c>
      <c r="O69" s="323">
        <f t="shared" si="20"/>
        <v>36082173.39664118</v>
      </c>
      <c r="P69" s="323">
        <f t="shared" si="20"/>
        <v>41418812.729029536</v>
      </c>
      <c r="Q69" s="323">
        <f t="shared" si="20"/>
        <v>47056569.801753722</v>
      </c>
      <c r="R69" s="323">
        <f t="shared" si="20"/>
        <v>52314464.211132407</v>
      </c>
    </row>
    <row r="70" spans="2:18" ht="45" customHeight="1">
      <c r="B70" s="254">
        <v>62</v>
      </c>
      <c r="C70" s="335"/>
      <c r="D70" s="335" t="s">
        <v>84</v>
      </c>
      <c r="E70" s="335"/>
      <c r="F70" s="349"/>
      <c r="G70" s="351">
        <f t="shared" ref="G70:R70" si="21">G69/$F9</f>
        <v>-0.22508333333333336</v>
      </c>
      <c r="H70" s="350">
        <f t="shared" si="21"/>
        <v>-0.16788783333333326</v>
      </c>
      <c r="I70" s="281">
        <f t="shared" si="21"/>
        <v>1.0080825499999999</v>
      </c>
      <c r="J70" s="281">
        <f t="shared" si="21"/>
        <v>1.3303628752991754</v>
      </c>
      <c r="K70" s="281">
        <f t="shared" si="21"/>
        <v>1.4041216615909309</v>
      </c>
      <c r="L70" s="281">
        <f t="shared" si="21"/>
        <v>1.4609905226299427</v>
      </c>
      <c r="M70" s="281">
        <f t="shared" si="21"/>
        <v>1.4247176979430751</v>
      </c>
      <c r="N70" s="281">
        <f t="shared" si="21"/>
        <v>1.9436692792421029</v>
      </c>
      <c r="O70" s="281">
        <f t="shared" si="21"/>
        <v>3.608217339664118</v>
      </c>
      <c r="P70" s="281">
        <f t="shared" si="21"/>
        <v>4.1418812729029533</v>
      </c>
      <c r="Q70" s="281">
        <f t="shared" si="21"/>
        <v>4.7056569801753723</v>
      </c>
      <c r="R70" s="281">
        <f t="shared" si="21"/>
        <v>5.2314464211132403</v>
      </c>
    </row>
    <row r="71" spans="2:18" ht="45" customHeight="1">
      <c r="B71" s="254">
        <v>63</v>
      </c>
      <c r="C71" s="335"/>
      <c r="D71" s="335"/>
      <c r="E71" s="335"/>
      <c r="F71" s="349"/>
      <c r="G71" s="348"/>
      <c r="H71" s="347"/>
      <c r="I71" s="281"/>
      <c r="J71" s="281"/>
      <c r="K71" s="281"/>
      <c r="L71" s="281"/>
      <c r="M71" s="281"/>
      <c r="N71" s="281"/>
      <c r="O71" s="281"/>
    </row>
    <row r="72" spans="2:18" ht="45" customHeight="1">
      <c r="B72" s="254">
        <v>64</v>
      </c>
      <c r="C72" s="253" t="s">
        <v>77</v>
      </c>
      <c r="G72" s="339">
        <v>20000000</v>
      </c>
      <c r="H72" s="338">
        <v>22000000</v>
      </c>
      <c r="I72" s="323"/>
      <c r="P72" s="346"/>
      <c r="Q72" s="346"/>
      <c r="R72" s="346"/>
    </row>
    <row r="73" spans="2:18" ht="45" customHeight="1">
      <c r="B73" s="254">
        <v>65</v>
      </c>
      <c r="G73" s="345"/>
      <c r="H73" s="344"/>
      <c r="I73" s="343"/>
      <c r="J73" s="343"/>
      <c r="K73" s="343"/>
      <c r="L73" s="343"/>
      <c r="M73" s="343"/>
      <c r="N73" s="343"/>
      <c r="O73" s="343"/>
    </row>
    <row r="74" spans="2:18" ht="45" customHeight="1">
      <c r="B74" s="254">
        <v>66</v>
      </c>
      <c r="C74" s="253" t="s">
        <v>130</v>
      </c>
      <c r="G74" s="342" t="s">
        <v>70</v>
      </c>
      <c r="H74" s="341" t="s">
        <v>70</v>
      </c>
      <c r="I74" s="340" t="s">
        <v>71</v>
      </c>
      <c r="J74" s="340" t="s">
        <v>72</v>
      </c>
      <c r="K74" s="340" t="s">
        <v>73</v>
      </c>
      <c r="L74" s="340" t="s">
        <v>74</v>
      </c>
      <c r="M74" s="340" t="s">
        <v>75</v>
      </c>
      <c r="N74" s="340" t="s">
        <v>76</v>
      </c>
      <c r="O74" s="340" t="s">
        <v>105</v>
      </c>
      <c r="P74" s="340" t="s">
        <v>106</v>
      </c>
      <c r="Q74" s="340" t="s">
        <v>107</v>
      </c>
      <c r="R74" s="340" t="s">
        <v>108</v>
      </c>
    </row>
    <row r="75" spans="2:18" ht="45" customHeight="1">
      <c r="B75" s="254">
        <v>67</v>
      </c>
      <c r="D75" s="253" t="s">
        <v>124</v>
      </c>
      <c r="G75" s="339">
        <f>G72+G69</f>
        <v>17749166.666666668</v>
      </c>
      <c r="H75" s="338">
        <f>G75+H69+H72</f>
        <v>38070288.333333336</v>
      </c>
      <c r="I75" s="323">
        <f t="shared" ref="I75:R75" si="22">I72+I69+H75</f>
        <v>48151113.833333336</v>
      </c>
      <c r="J75" s="323">
        <f t="shared" si="22"/>
        <v>61454742.586325094</v>
      </c>
      <c r="K75" s="323">
        <f t="shared" si="22"/>
        <v>75495959.202234402</v>
      </c>
      <c r="L75" s="323">
        <f t="shared" si="22"/>
        <v>90105864.428533822</v>
      </c>
      <c r="M75" s="323">
        <f t="shared" si="22"/>
        <v>104353041.40796457</v>
      </c>
      <c r="N75" s="323">
        <f t="shared" si="22"/>
        <v>123789734.2003856</v>
      </c>
      <c r="O75" s="323">
        <f t="shared" si="22"/>
        <v>159871907.59702677</v>
      </c>
      <c r="P75" s="323">
        <f t="shared" si="22"/>
        <v>201290720.3260563</v>
      </c>
      <c r="Q75" s="323">
        <f t="shared" si="22"/>
        <v>248347290.12781003</v>
      </c>
      <c r="R75" s="323">
        <f t="shared" si="22"/>
        <v>300661754.33894241</v>
      </c>
    </row>
    <row r="76" spans="2:18" ht="45" customHeight="1">
      <c r="B76" s="254">
        <v>68</v>
      </c>
      <c r="D76" s="335" t="s">
        <v>81</v>
      </c>
      <c r="E76" s="335"/>
      <c r="G76" s="337">
        <f>(G23+G28+G33)</f>
        <v>27785000</v>
      </c>
      <c r="H76" s="336">
        <f t="shared" ref="H76:R76" si="23">H23+H28+H33+H38+H43+H48</f>
        <v>142880516.41666666</v>
      </c>
      <c r="I76" s="320">
        <f t="shared" si="23"/>
        <v>180273828.42774999</v>
      </c>
      <c r="J76" s="320">
        <f t="shared" si="23"/>
        <v>226617237.58951285</v>
      </c>
      <c r="K76" s="320">
        <f t="shared" si="23"/>
        <v>301945164.13971782</v>
      </c>
      <c r="L76" s="320">
        <f t="shared" si="23"/>
        <v>337723409.60588771</v>
      </c>
      <c r="M76" s="320">
        <f t="shared" si="23"/>
        <v>446143306.2755394</v>
      </c>
      <c r="N76" s="320">
        <f t="shared" si="23"/>
        <v>535315479.0071348</v>
      </c>
      <c r="O76" s="320">
        <f t="shared" si="23"/>
        <v>754717374.76919627</v>
      </c>
      <c r="P76" s="320">
        <f t="shared" si="23"/>
        <v>850256251.83205497</v>
      </c>
      <c r="Q76" s="320">
        <f t="shared" si="23"/>
        <v>933746446.41443658</v>
      </c>
      <c r="R76" s="320">
        <f t="shared" si="23"/>
        <v>1074358460.4697061</v>
      </c>
    </row>
    <row r="77" spans="2:18" ht="45" customHeight="1">
      <c r="B77" s="254">
        <v>69</v>
      </c>
      <c r="D77" s="335" t="s">
        <v>117</v>
      </c>
      <c r="E77" s="335"/>
      <c r="G77" s="334">
        <f t="shared" ref="G77:R77" si="24">SUM(G75:G76)</f>
        <v>45534166.666666672</v>
      </c>
      <c r="H77" s="333">
        <f t="shared" si="24"/>
        <v>180950804.75</v>
      </c>
      <c r="I77" s="332">
        <f t="shared" si="24"/>
        <v>228424942.26108333</v>
      </c>
      <c r="J77" s="332">
        <f t="shared" si="24"/>
        <v>288071980.17583793</v>
      </c>
      <c r="K77" s="332">
        <f t="shared" si="24"/>
        <v>377441123.3419522</v>
      </c>
      <c r="L77" s="332">
        <f t="shared" si="24"/>
        <v>427829274.03442156</v>
      </c>
      <c r="M77" s="332">
        <f t="shared" si="24"/>
        <v>550496347.68350399</v>
      </c>
      <c r="N77" s="332">
        <f t="shared" si="24"/>
        <v>659105213.20752037</v>
      </c>
      <c r="O77" s="332">
        <f t="shared" si="24"/>
        <v>914589282.3662231</v>
      </c>
      <c r="P77" s="332">
        <f t="shared" si="24"/>
        <v>1051546972.1581113</v>
      </c>
      <c r="Q77" s="332">
        <f t="shared" si="24"/>
        <v>1182093736.5422466</v>
      </c>
      <c r="R77" s="332">
        <f t="shared" si="24"/>
        <v>1375020214.8086486</v>
      </c>
    </row>
    <row r="78" spans="2:18" ht="45" customHeight="1">
      <c r="B78" s="254">
        <v>70</v>
      </c>
      <c r="D78" s="288" t="s">
        <v>100</v>
      </c>
      <c r="E78" s="288"/>
      <c r="F78" s="331"/>
      <c r="G78" s="329">
        <f t="shared" ref="G78:R78" si="25">SUM(G75:G76)/$F9</f>
        <v>4.5534166666666671</v>
      </c>
      <c r="H78" s="330">
        <f t="shared" si="25"/>
        <v>18.095080475</v>
      </c>
      <c r="I78" s="329">
        <f t="shared" si="25"/>
        <v>22.842494226108332</v>
      </c>
      <c r="J78" s="329">
        <f t="shared" si="25"/>
        <v>28.807198017583794</v>
      </c>
      <c r="K78" s="329">
        <f t="shared" si="25"/>
        <v>37.744112334195222</v>
      </c>
      <c r="L78" s="329">
        <f t="shared" si="25"/>
        <v>42.782927403442159</v>
      </c>
      <c r="M78" s="329">
        <f t="shared" si="25"/>
        <v>55.049634768350401</v>
      </c>
      <c r="N78" s="329">
        <f t="shared" si="25"/>
        <v>65.910521320752039</v>
      </c>
      <c r="O78" s="329">
        <f t="shared" si="25"/>
        <v>91.458928236622313</v>
      </c>
      <c r="P78" s="329">
        <f t="shared" si="25"/>
        <v>105.15469721581114</v>
      </c>
      <c r="Q78" s="329">
        <f t="shared" si="25"/>
        <v>118.20937365422466</v>
      </c>
      <c r="R78" s="329">
        <f t="shared" si="25"/>
        <v>137.50202148086487</v>
      </c>
    </row>
    <row r="79" spans="2:18" ht="45" customHeight="1">
      <c r="B79" s="254">
        <v>71</v>
      </c>
      <c r="F79" s="328"/>
      <c r="G79" s="297"/>
      <c r="H79" s="282"/>
      <c r="I79" s="261"/>
    </row>
    <row r="80" spans="2:18" ht="45" customHeight="1">
      <c r="B80" s="254">
        <v>72</v>
      </c>
      <c r="C80" s="253" t="s">
        <v>69</v>
      </c>
      <c r="F80" s="328"/>
      <c r="G80" s="283"/>
      <c r="H80" s="282"/>
      <c r="I80" s="278"/>
      <c r="J80" s="278"/>
      <c r="K80" s="278"/>
      <c r="L80" s="278"/>
      <c r="M80" s="278"/>
      <c r="N80" s="278"/>
      <c r="O80" s="278"/>
      <c r="P80" s="278"/>
      <c r="Q80" s="278"/>
      <c r="R80" s="278"/>
    </row>
    <row r="81" spans="2:18" ht="45" customHeight="1">
      <c r="B81" s="254">
        <v>73</v>
      </c>
      <c r="D81" s="253" t="s">
        <v>65</v>
      </c>
      <c r="E81" s="327"/>
      <c r="F81" s="326">
        <v>10.72</v>
      </c>
      <c r="G81" s="325">
        <f t="shared" ref="G81:R81" si="26">G69*$F81</f>
        <v>-24128933.333333336</v>
      </c>
      <c r="H81" s="324">
        <f t="shared" si="26"/>
        <v>-17997575.733333327</v>
      </c>
      <c r="I81" s="323">
        <f t="shared" si="26"/>
        <v>108066449.36</v>
      </c>
      <c r="J81" s="323">
        <f t="shared" si="26"/>
        <v>142614900.23207161</v>
      </c>
      <c r="K81" s="323">
        <f t="shared" si="26"/>
        <v>150521842.12254781</v>
      </c>
      <c r="L81" s="323">
        <f t="shared" si="26"/>
        <v>156618184.02592987</v>
      </c>
      <c r="M81" s="323">
        <f t="shared" si="26"/>
        <v>152729737.21949768</v>
      </c>
      <c r="N81" s="323">
        <f t="shared" si="26"/>
        <v>208361346.73475343</v>
      </c>
      <c r="O81" s="323">
        <f t="shared" si="26"/>
        <v>386800898.81199348</v>
      </c>
      <c r="P81" s="323">
        <f>P69*$F81</f>
        <v>444009672.45519668</v>
      </c>
      <c r="Q81" s="323">
        <f t="shared" si="26"/>
        <v>504446428.27479994</v>
      </c>
      <c r="R81" s="323">
        <f t="shared" si="26"/>
        <v>560811056.34333944</v>
      </c>
    </row>
    <row r="82" spans="2:18" ht="45" customHeight="1">
      <c r="B82" s="254">
        <v>74</v>
      </c>
      <c r="D82" s="253" t="s">
        <v>124</v>
      </c>
      <c r="F82" s="298"/>
      <c r="G82" s="322">
        <f t="shared" ref="G82:R82" si="27">G75</f>
        <v>17749166.666666668</v>
      </c>
      <c r="H82" s="321">
        <f t="shared" si="27"/>
        <v>38070288.333333336</v>
      </c>
      <c r="I82" s="320">
        <f t="shared" si="27"/>
        <v>48151113.833333336</v>
      </c>
      <c r="J82" s="320">
        <f t="shared" si="27"/>
        <v>61454742.586325094</v>
      </c>
      <c r="K82" s="320">
        <f t="shared" si="27"/>
        <v>75495959.202234402</v>
      </c>
      <c r="L82" s="320">
        <f t="shared" si="27"/>
        <v>90105864.428533822</v>
      </c>
      <c r="M82" s="320">
        <f t="shared" si="27"/>
        <v>104353041.40796457</v>
      </c>
      <c r="N82" s="320">
        <f t="shared" si="27"/>
        <v>123789734.2003856</v>
      </c>
      <c r="O82" s="320">
        <f t="shared" si="27"/>
        <v>159871907.59702677</v>
      </c>
      <c r="P82" s="320">
        <f t="shared" si="27"/>
        <v>201290720.3260563</v>
      </c>
      <c r="Q82" s="320">
        <f t="shared" si="27"/>
        <v>248347290.12781003</v>
      </c>
      <c r="R82" s="320">
        <f t="shared" si="27"/>
        <v>300661754.33894241</v>
      </c>
    </row>
    <row r="83" spans="2:18" ht="45" customHeight="1">
      <c r="B83" s="254">
        <v>75</v>
      </c>
      <c r="D83" s="253" t="s">
        <v>69</v>
      </c>
      <c r="F83" s="298"/>
      <c r="G83" s="319">
        <f t="shared" ref="G83:R83" si="28">SUM(G81:G82)</f>
        <v>-6379766.6666666679</v>
      </c>
      <c r="H83" s="318">
        <f t="shared" si="28"/>
        <v>20072712.600000009</v>
      </c>
      <c r="I83" s="317">
        <f t="shared" si="28"/>
        <v>156217563.19333333</v>
      </c>
      <c r="J83" s="317">
        <f t="shared" si="28"/>
        <v>204069642.81839669</v>
      </c>
      <c r="K83" s="317">
        <f t="shared" si="28"/>
        <v>226017801.32478219</v>
      </c>
      <c r="L83" s="317">
        <f t="shared" si="28"/>
        <v>246724048.45446369</v>
      </c>
      <c r="M83" s="317">
        <f t="shared" si="28"/>
        <v>257082778.62746227</v>
      </c>
      <c r="N83" s="317">
        <f t="shared" si="28"/>
        <v>332151080.93513906</v>
      </c>
      <c r="O83" s="317">
        <f t="shared" si="28"/>
        <v>546672806.40902019</v>
      </c>
      <c r="P83" s="317">
        <f t="shared" si="28"/>
        <v>645300392.78125298</v>
      </c>
      <c r="Q83" s="317">
        <f t="shared" si="28"/>
        <v>752793718.40260994</v>
      </c>
      <c r="R83" s="317">
        <f t="shared" si="28"/>
        <v>861472810.68228185</v>
      </c>
    </row>
    <row r="84" spans="2:18" ht="45" customHeight="1">
      <c r="B84" s="254">
        <v>76</v>
      </c>
      <c r="D84" s="253" t="s">
        <v>122</v>
      </c>
      <c r="F84" s="298"/>
      <c r="G84" s="316">
        <f t="shared" ref="G84:R84" si="29">G83/G69</f>
        <v>2.8344020733061832</v>
      </c>
      <c r="H84" s="315">
        <f t="shared" si="29"/>
        <v>-11.956025759261898</v>
      </c>
      <c r="I84" s="314">
        <f t="shared" si="29"/>
        <v>15.496505042502058</v>
      </c>
      <c r="J84" s="314">
        <f t="shared" si="29"/>
        <v>15.339396987645568</v>
      </c>
      <c r="K84" s="314">
        <f t="shared" si="29"/>
        <v>16.096739157822991</v>
      </c>
      <c r="L84" s="314">
        <f t="shared" si="29"/>
        <v>16.887450303944028</v>
      </c>
      <c r="M84" s="314">
        <f t="shared" si="29"/>
        <v>18.044471476603643</v>
      </c>
      <c r="N84" s="314">
        <f t="shared" si="29"/>
        <v>17.088868177442983</v>
      </c>
      <c r="O84" s="314">
        <f t="shared" si="29"/>
        <v>15.150772665482199</v>
      </c>
      <c r="P84" s="314">
        <f t="shared" si="29"/>
        <v>15.579886294736211</v>
      </c>
      <c r="Q84" s="314">
        <f t="shared" si="29"/>
        <v>15.997632670083712</v>
      </c>
      <c r="R84" s="314">
        <f t="shared" si="29"/>
        <v>16.467201254427877</v>
      </c>
    </row>
    <row r="85" spans="2:18" ht="45" customHeight="1">
      <c r="B85" s="254">
        <v>77</v>
      </c>
      <c r="D85" s="313" t="s">
        <v>118</v>
      </c>
      <c r="E85" s="313"/>
      <c r="F85" s="312"/>
      <c r="G85" s="311">
        <f t="shared" ref="G85:R85" si="30">(SUM(G81:G82))/$F9</f>
        <v>-0.63797666666666675</v>
      </c>
      <c r="H85" s="310">
        <f t="shared" si="30"/>
        <v>2.0072712600000009</v>
      </c>
      <c r="I85" s="309">
        <f t="shared" si="30"/>
        <v>15.621756319333333</v>
      </c>
      <c r="J85" s="309">
        <f t="shared" si="30"/>
        <v>20.40696428183967</v>
      </c>
      <c r="K85" s="309">
        <f t="shared" si="30"/>
        <v>22.601780132478218</v>
      </c>
      <c r="L85" s="309">
        <f t="shared" si="30"/>
        <v>24.672404845446369</v>
      </c>
      <c r="M85" s="309">
        <f t="shared" si="30"/>
        <v>25.708277862746225</v>
      </c>
      <c r="N85" s="309">
        <f t="shared" si="30"/>
        <v>33.215108093513905</v>
      </c>
      <c r="O85" s="309">
        <f t="shared" si="30"/>
        <v>54.667280640902021</v>
      </c>
      <c r="P85" s="309">
        <f t="shared" si="30"/>
        <v>64.530039278125301</v>
      </c>
      <c r="Q85" s="309">
        <f t="shared" si="30"/>
        <v>75.279371840260993</v>
      </c>
      <c r="R85" s="309">
        <f t="shared" si="30"/>
        <v>86.147281068228182</v>
      </c>
    </row>
    <row r="86" spans="2:18" ht="45" customHeight="1">
      <c r="B86" s="254">
        <v>78</v>
      </c>
      <c r="F86" s="298"/>
      <c r="G86" s="297"/>
      <c r="H86" s="282"/>
    </row>
    <row r="87" spans="2:18" ht="45" customHeight="1">
      <c r="B87" s="254">
        <v>79</v>
      </c>
      <c r="C87" s="253" t="s">
        <v>131</v>
      </c>
      <c r="F87" s="298"/>
      <c r="G87" s="297"/>
      <c r="H87" s="282"/>
      <c r="I87" s="261"/>
    </row>
    <row r="88" spans="2:18" ht="45" customHeight="1">
      <c r="B88" s="254">
        <v>80</v>
      </c>
      <c r="D88" s="253" t="s">
        <v>126</v>
      </c>
      <c r="F88" s="298"/>
      <c r="G88" s="304">
        <f>(G75-0)/G75</f>
        <v>1</v>
      </c>
      <c r="H88" s="279">
        <f t="shared" ref="H88:R88" si="31">(H75-G75)/G75</f>
        <v>1.144905676322832</v>
      </c>
      <c r="I88" s="278">
        <f t="shared" si="31"/>
        <v>0.26479509195556833</v>
      </c>
      <c r="J88" s="278">
        <f t="shared" si="31"/>
        <v>0.27628911761086034</v>
      </c>
      <c r="K88" s="278">
        <f t="shared" si="31"/>
        <v>0.22848060255375244</v>
      </c>
      <c r="L88" s="278">
        <f t="shared" si="31"/>
        <v>0.19351903572962381</v>
      </c>
      <c r="M88" s="278">
        <f t="shared" si="31"/>
        <v>0.15811597912953484</v>
      </c>
      <c r="N88" s="278">
        <f t="shared" si="31"/>
        <v>0.18625899667297627</v>
      </c>
      <c r="O88" s="278">
        <f t="shared" si="31"/>
        <v>0.29147952881321215</v>
      </c>
      <c r="P88" s="278">
        <f t="shared" si="31"/>
        <v>0.25907498916838989</v>
      </c>
      <c r="Q88" s="278">
        <f t="shared" si="31"/>
        <v>0.23377416368489412</v>
      </c>
      <c r="R88" s="278">
        <f t="shared" si="31"/>
        <v>0.21065043304563194</v>
      </c>
    </row>
    <row r="89" spans="2:18" ht="45" customHeight="1">
      <c r="B89" s="254">
        <v>81</v>
      </c>
      <c r="D89" s="253" t="s">
        <v>127</v>
      </c>
      <c r="F89" s="298"/>
      <c r="G89" s="304">
        <f>(G76-0)/G76</f>
        <v>1</v>
      </c>
      <c r="H89" s="279">
        <f t="shared" ref="H89:R89" si="32">(H76-G76)/G76</f>
        <v>4.1423615769899822</v>
      </c>
      <c r="I89" s="278">
        <f t="shared" si="32"/>
        <v>0.26171036435812811</v>
      </c>
      <c r="J89" s="278">
        <f t="shared" si="32"/>
        <v>0.25707230808789494</v>
      </c>
      <c r="K89" s="278">
        <f t="shared" si="32"/>
        <v>0.33240157435266038</v>
      </c>
      <c r="L89" s="278">
        <f t="shared" si="32"/>
        <v>0.11849252684045099</v>
      </c>
      <c r="M89" s="278">
        <f t="shared" si="32"/>
        <v>0.32103162998435375</v>
      </c>
      <c r="N89" s="278">
        <f t="shared" si="32"/>
        <v>0.19987338480098679</v>
      </c>
      <c r="O89" s="278">
        <f t="shared" si="32"/>
        <v>0.40985531778194151</v>
      </c>
      <c r="P89" s="278">
        <f t="shared" si="32"/>
        <v>0.12658894608339433</v>
      </c>
      <c r="Q89" s="278">
        <f t="shared" si="32"/>
        <v>9.8194155470758979E-2</v>
      </c>
      <c r="R89" s="278">
        <f t="shared" si="32"/>
        <v>0.15058907543393193</v>
      </c>
    </row>
    <row r="90" spans="2:18" ht="45" customHeight="1">
      <c r="B90" s="254">
        <v>82</v>
      </c>
      <c r="D90" s="253" t="s">
        <v>128</v>
      </c>
      <c r="F90" s="298"/>
      <c r="G90" s="308">
        <f>(0-G70)/ABS(G70)</f>
        <v>1</v>
      </c>
      <c r="H90" s="307">
        <f t="shared" ref="H90:R90" si="33">(H70-G70)/ABS(G70)</f>
        <v>0.25410810810810852</v>
      </c>
      <c r="I90" s="306">
        <f t="shared" si="33"/>
        <v>7.0045003261105903</v>
      </c>
      <c r="J90" s="306">
        <f t="shared" si="33"/>
        <v>0.31969636345671842</v>
      </c>
      <c r="K90" s="306">
        <f t="shared" si="33"/>
        <v>5.5442607172248706E-2</v>
      </c>
      <c r="L90" s="306">
        <f t="shared" si="33"/>
        <v>4.0501377191615215E-2</v>
      </c>
      <c r="M90" s="306">
        <f t="shared" si="33"/>
        <v>-2.4827556459142867E-2</v>
      </c>
      <c r="N90" s="306">
        <f t="shared" si="33"/>
        <v>0.36424870839202739</v>
      </c>
      <c r="O90" s="306">
        <f t="shared" si="33"/>
        <v>0.85639469543454128</v>
      </c>
      <c r="P90" s="306">
        <f t="shared" si="33"/>
        <v>0.1479023803173988</v>
      </c>
      <c r="Q90" s="306">
        <f t="shared" si="33"/>
        <v>0.13611585415563615</v>
      </c>
      <c r="R90" s="306">
        <f t="shared" si="33"/>
        <v>0.11173560740890909</v>
      </c>
    </row>
    <row r="91" spans="2:18" ht="45" customHeight="1">
      <c r="B91" s="254">
        <v>83</v>
      </c>
      <c r="D91" s="253" t="s">
        <v>137</v>
      </c>
      <c r="E91" s="292" t="s">
        <v>125</v>
      </c>
      <c r="F91" s="305">
        <v>1</v>
      </c>
      <c r="G91" s="304">
        <f>AVERAGE(H90:R90)</f>
        <v>0.84234713375351367</v>
      </c>
      <c r="H91" s="279">
        <f>AVERAGE(I90:R90)</f>
        <v>0.90117103631805429</v>
      </c>
      <c r="I91" s="278">
        <f>AVERAGE(J90:R90)</f>
        <v>0.22302333745221692</v>
      </c>
      <c r="J91" s="278">
        <f>AVERAGE(K90:R90)</f>
        <v>0.21093920920165424</v>
      </c>
      <c r="K91" s="278">
        <f>AVERAGE(L90:R90)</f>
        <v>0.23315300949156931</v>
      </c>
      <c r="L91" s="278">
        <f>AVERAGE(M90:R90)</f>
        <v>0.26526161487489502</v>
      </c>
      <c r="M91" s="278">
        <f>AVERAGE(N90:R90)</f>
        <v>0.32327944914170254</v>
      </c>
      <c r="N91" s="278">
        <f>AVERAGE(O90:R90)</f>
        <v>0.31303713432912134</v>
      </c>
      <c r="O91" s="278">
        <f>AVERAGE(P90:R90)</f>
        <v>0.13191794729398135</v>
      </c>
      <c r="P91" s="278">
        <f>AVERAGE(Q90:R90)</f>
        <v>0.12392573078227262</v>
      </c>
      <c r="Q91" s="278">
        <f>AVERAGE(R90)</f>
        <v>0.11173560740890909</v>
      </c>
      <c r="R91" s="278">
        <f>AVERAGE(R90)</f>
        <v>0.11173560740890909</v>
      </c>
    </row>
    <row r="92" spans="2:18" ht="45" customHeight="1">
      <c r="B92" s="254">
        <v>84</v>
      </c>
      <c r="D92" s="288" t="s">
        <v>129</v>
      </c>
      <c r="E92" s="303"/>
      <c r="F92" s="302"/>
      <c r="G92" s="301">
        <f t="shared" ref="G92:R92" si="34">((G91*100)*$F91*G70)+(G82/$F9)</f>
        <v>-17.184913402235338</v>
      </c>
      <c r="H92" s="300">
        <f t="shared" si="34"/>
        <v>-11.322536441685939</v>
      </c>
      <c r="I92" s="299">
        <f t="shared" si="34"/>
        <v>27.297704856167467</v>
      </c>
      <c r="J92" s="299">
        <f t="shared" si="34"/>
        <v>34.20804354531721</v>
      </c>
      <c r="K92" s="299">
        <f t="shared" si="34"/>
        <v>40.287115029446277</v>
      </c>
      <c r="L92" s="299">
        <f t="shared" si="34"/>
        <v>47.76505697782693</v>
      </c>
      <c r="M92" s="299">
        <f t="shared" si="34"/>
        <v>56.493499398143641</v>
      </c>
      <c r="N92" s="299">
        <f t="shared" si="34"/>
        <v>73.223039545788211</v>
      </c>
      <c r="O92" s="299">
        <f t="shared" si="34"/>
        <v>63.586053243606749</v>
      </c>
      <c r="P92" s="299">
        <f t="shared" si="34"/>
        <v>71.457638388396433</v>
      </c>
      <c r="Q92" s="299">
        <f t="shared" si="34"/>
        <v>77.413673106567813</v>
      </c>
      <c r="R92" s="299">
        <f t="shared" si="34"/>
        <v>88.52005978291939</v>
      </c>
    </row>
    <row r="93" spans="2:18" ht="45" customHeight="1">
      <c r="B93" s="254">
        <v>85</v>
      </c>
      <c r="F93" s="298"/>
      <c r="G93" s="297"/>
      <c r="H93" s="282"/>
      <c r="I93" s="268"/>
      <c r="J93" s="268"/>
      <c r="K93" s="268"/>
      <c r="L93" s="268"/>
      <c r="M93" s="268"/>
      <c r="N93" s="268"/>
      <c r="O93" s="268"/>
      <c r="P93" s="268"/>
      <c r="Q93" s="268"/>
      <c r="R93" s="268"/>
    </row>
    <row r="94" spans="2:18" ht="45" customHeight="1">
      <c r="B94" s="254">
        <v>86</v>
      </c>
      <c r="C94" s="253" t="s">
        <v>139</v>
      </c>
      <c r="F94" s="292"/>
      <c r="G94" s="283"/>
      <c r="H94" s="282"/>
    </row>
    <row r="95" spans="2:18" ht="45" customHeight="1">
      <c r="B95" s="254">
        <v>87</v>
      </c>
      <c r="D95" s="253" t="s">
        <v>140</v>
      </c>
      <c r="E95" s="292" t="s">
        <v>141</v>
      </c>
      <c r="F95" s="296">
        <v>4.4999999999999998E-2</v>
      </c>
      <c r="G95" s="295">
        <f t="shared" ref="G95:R95" si="35">G69</f>
        <v>-2250833.3333333335</v>
      </c>
      <c r="H95" s="294">
        <f t="shared" si="35"/>
        <v>-1678878.3333333326</v>
      </c>
      <c r="I95" s="293">
        <f t="shared" si="35"/>
        <v>10080825.5</v>
      </c>
      <c r="J95" s="293">
        <f t="shared" si="35"/>
        <v>13303628.752991755</v>
      </c>
      <c r="K95" s="293">
        <f t="shared" si="35"/>
        <v>14041216.615909308</v>
      </c>
      <c r="L95" s="293">
        <f t="shared" si="35"/>
        <v>14609905.226299427</v>
      </c>
      <c r="M95" s="293">
        <f t="shared" si="35"/>
        <v>14247176.979430752</v>
      </c>
      <c r="N95" s="293">
        <f t="shared" si="35"/>
        <v>19436692.792421028</v>
      </c>
      <c r="O95" s="293">
        <f t="shared" si="35"/>
        <v>36082173.39664118</v>
      </c>
      <c r="P95" s="293">
        <f t="shared" si="35"/>
        <v>41418812.729029536</v>
      </c>
      <c r="Q95" s="293">
        <f t="shared" si="35"/>
        <v>47056569.801753722</v>
      </c>
      <c r="R95" s="293">
        <f t="shared" si="35"/>
        <v>52314464.211132407</v>
      </c>
    </row>
    <row r="96" spans="2:18" ht="45" customHeight="1">
      <c r="B96" s="254">
        <v>88</v>
      </c>
      <c r="D96" s="253" t="s">
        <v>139</v>
      </c>
      <c r="E96" s="292"/>
      <c r="F96" s="292"/>
      <c r="G96" s="291">
        <f t="shared" ref="G96:R96" si="36">G95/$F95</f>
        <v>-50018518.518518522</v>
      </c>
      <c r="H96" s="290">
        <f t="shared" si="36"/>
        <v>-37308407.407407388</v>
      </c>
      <c r="I96" s="289">
        <f t="shared" si="36"/>
        <v>224018344.44444445</v>
      </c>
      <c r="J96" s="289">
        <f t="shared" si="36"/>
        <v>295636194.51092792</v>
      </c>
      <c r="K96" s="289">
        <f t="shared" si="36"/>
        <v>312027035.90909576</v>
      </c>
      <c r="L96" s="289">
        <f t="shared" si="36"/>
        <v>324664560.58443171</v>
      </c>
      <c r="M96" s="289">
        <f t="shared" si="36"/>
        <v>316603932.87623894</v>
      </c>
      <c r="N96" s="289">
        <f t="shared" si="36"/>
        <v>431926506.49824506</v>
      </c>
      <c r="O96" s="289">
        <f t="shared" si="36"/>
        <v>801826075.48091519</v>
      </c>
      <c r="P96" s="289">
        <f t="shared" si="36"/>
        <v>920418060.64510083</v>
      </c>
      <c r="Q96" s="289">
        <f t="shared" si="36"/>
        <v>1045701551.1500827</v>
      </c>
      <c r="R96" s="289">
        <f t="shared" si="36"/>
        <v>1162543649.1362758</v>
      </c>
    </row>
    <row r="97" spans="2:19" ht="45" customHeight="1">
      <c r="B97" s="254">
        <v>89</v>
      </c>
      <c r="D97" s="288" t="s">
        <v>142</v>
      </c>
      <c r="E97" s="288"/>
      <c r="F97" s="288"/>
      <c r="G97" s="287">
        <f t="shared" ref="G97:R97" si="37">G70/$F95</f>
        <v>-5.0018518518518524</v>
      </c>
      <c r="H97" s="286">
        <f t="shared" si="37"/>
        <v>-3.7308407407407391</v>
      </c>
      <c r="I97" s="285">
        <f t="shared" si="37"/>
        <v>22.401834444444443</v>
      </c>
      <c r="J97" s="285">
        <f t="shared" si="37"/>
        <v>29.563619451092787</v>
      </c>
      <c r="K97" s="285">
        <f t="shared" si="37"/>
        <v>31.202703590909575</v>
      </c>
      <c r="L97" s="285">
        <f t="shared" si="37"/>
        <v>32.466456058443171</v>
      </c>
      <c r="M97" s="285">
        <f t="shared" si="37"/>
        <v>31.660393287623894</v>
      </c>
      <c r="N97" s="285">
        <f t="shared" si="37"/>
        <v>43.192650649824508</v>
      </c>
      <c r="O97" s="285">
        <f t="shared" si="37"/>
        <v>80.182607548091511</v>
      </c>
      <c r="P97" s="285">
        <f t="shared" si="37"/>
        <v>92.04180606451007</v>
      </c>
      <c r="Q97" s="285">
        <f t="shared" si="37"/>
        <v>104.57015511500828</v>
      </c>
      <c r="R97" s="285">
        <f t="shared" si="37"/>
        <v>116.25436491362757</v>
      </c>
    </row>
    <row r="98" spans="2:19" s="284" customFormat="1" ht="45" customHeight="1">
      <c r="B98" s="254">
        <v>90</v>
      </c>
      <c r="C98" s="253"/>
      <c r="D98" s="253"/>
      <c r="E98" s="253"/>
      <c r="F98" s="253"/>
      <c r="G98" s="283"/>
      <c r="H98" s="282"/>
      <c r="I98" s="253"/>
      <c r="J98" s="253"/>
      <c r="K98" s="253"/>
      <c r="L98" s="253"/>
      <c r="M98" s="253"/>
      <c r="N98" s="253"/>
      <c r="O98" s="253"/>
      <c r="P98" s="253"/>
      <c r="Q98" s="253"/>
      <c r="R98" s="253"/>
      <c r="S98" s="253"/>
    </row>
    <row r="99" spans="2:19" s="284" customFormat="1" ht="48" customHeight="1">
      <c r="B99" s="254">
        <v>91</v>
      </c>
      <c r="C99" s="253" t="s">
        <v>115</v>
      </c>
      <c r="D99" s="253"/>
      <c r="E99" s="253"/>
      <c r="F99" s="253"/>
      <c r="G99" s="283"/>
      <c r="H99" s="282"/>
      <c r="I99" s="281">
        <f t="shared" ref="I99:R99" si="38">I85/I78</f>
        <v>0.68389012884057565</v>
      </c>
      <c r="J99" s="281">
        <f t="shared" si="38"/>
        <v>0.70839809791231145</v>
      </c>
      <c r="K99" s="281">
        <f t="shared" si="38"/>
        <v>0.59881604665535004</v>
      </c>
      <c r="L99" s="281">
        <f t="shared" si="38"/>
        <v>0.57668809365909157</v>
      </c>
      <c r="M99" s="281">
        <f t="shared" si="38"/>
        <v>0.46700178794876662</v>
      </c>
      <c r="N99" s="281">
        <f t="shared" si="38"/>
        <v>0.50394242721694382</v>
      </c>
      <c r="O99" s="281">
        <f t="shared" si="38"/>
        <v>0.59772492084607609</v>
      </c>
      <c r="P99" s="281">
        <f>P85/P78</f>
        <v>0.61366768186958853</v>
      </c>
      <c r="Q99" s="281">
        <f t="shared" si="38"/>
        <v>0.63683081563786459</v>
      </c>
      <c r="R99" s="281">
        <f t="shared" si="38"/>
        <v>0.62651646965216912</v>
      </c>
      <c r="S99" s="253"/>
    </row>
    <row r="100" spans="2:19" ht="48" customHeight="1">
      <c r="B100" s="254">
        <v>92</v>
      </c>
      <c r="C100" s="253" t="s">
        <v>132</v>
      </c>
      <c r="G100" s="283"/>
      <c r="H100" s="282"/>
      <c r="I100" s="281">
        <f t="shared" ref="I100:R100" si="39">I85/I92</f>
        <v>0.57227361793399467</v>
      </c>
      <c r="J100" s="281">
        <f t="shared" si="39"/>
        <v>0.59655455755034581</v>
      </c>
      <c r="K100" s="281">
        <f t="shared" si="39"/>
        <v>0.5610175887739377</v>
      </c>
      <c r="L100" s="281">
        <f t="shared" si="39"/>
        <v>0.5165366987188893</v>
      </c>
      <c r="M100" s="281">
        <f t="shared" si="39"/>
        <v>0.4550661250697986</v>
      </c>
      <c r="N100" s="281">
        <f t="shared" si="39"/>
        <v>0.45361553275514682</v>
      </c>
      <c r="O100" s="281">
        <f t="shared" si="39"/>
        <v>0.85973696828554991</v>
      </c>
      <c r="P100" s="281">
        <f t="shared" si="39"/>
        <v>0.90305306379400219</v>
      </c>
      <c r="Q100" s="281">
        <f t="shared" si="39"/>
        <v>0.97242991863506156</v>
      </c>
      <c r="R100" s="281">
        <f t="shared" si="39"/>
        <v>0.97319501680737619</v>
      </c>
    </row>
    <row r="101" spans="2:19" ht="48" customHeight="1">
      <c r="B101" s="254">
        <v>93</v>
      </c>
      <c r="C101" s="253" t="s">
        <v>143</v>
      </c>
      <c r="G101" s="283"/>
      <c r="H101" s="282"/>
      <c r="I101" s="281">
        <f t="shared" ref="I101:R101" si="40">I85/I97</f>
        <v>0.69734272691259269</v>
      </c>
      <c r="J101" s="281">
        <f t="shared" si="40"/>
        <v>0.69027286444405067</v>
      </c>
      <c r="K101" s="281">
        <f t="shared" si="40"/>
        <v>0.72435326210203455</v>
      </c>
      <c r="L101" s="281">
        <f t="shared" si="40"/>
        <v>0.75993526367748121</v>
      </c>
      <c r="M101" s="281">
        <f t="shared" si="40"/>
        <v>0.81200121644716394</v>
      </c>
      <c r="N101" s="281">
        <f t="shared" si="40"/>
        <v>0.76899906798493411</v>
      </c>
      <c r="O101" s="281">
        <f t="shared" si="40"/>
        <v>0.68178476994669901</v>
      </c>
      <c r="P101" s="281">
        <f t="shared" si="40"/>
        <v>0.70109488326312963</v>
      </c>
      <c r="Q101" s="281">
        <f t="shared" si="40"/>
        <v>0.71989347015376692</v>
      </c>
      <c r="R101" s="281">
        <f t="shared" si="40"/>
        <v>0.7410240564492544</v>
      </c>
    </row>
    <row r="102" spans="2:19" ht="48" customHeight="1">
      <c r="B102" s="254">
        <v>94</v>
      </c>
      <c r="C102" s="253" t="s">
        <v>138</v>
      </c>
      <c r="G102" s="280"/>
      <c r="H102" s="279"/>
      <c r="I102" s="278">
        <f t="shared" ref="I102:R102" si="41">I95/H75</f>
        <v>0.26479509195556833</v>
      </c>
      <c r="J102" s="278">
        <f t="shared" si="41"/>
        <v>0.27628911761086028</v>
      </c>
      <c r="K102" s="278">
        <f t="shared" si="41"/>
        <v>0.22848060255375244</v>
      </c>
      <c r="L102" s="278">
        <f t="shared" si="41"/>
        <v>0.19351903572962389</v>
      </c>
      <c r="M102" s="278">
        <f t="shared" si="41"/>
        <v>0.15811597912953487</v>
      </c>
      <c r="N102" s="278">
        <f t="shared" si="41"/>
        <v>0.18625899667297627</v>
      </c>
      <c r="O102" s="278">
        <f t="shared" si="41"/>
        <v>0.29147952881321226</v>
      </c>
      <c r="P102" s="278">
        <f t="shared" si="41"/>
        <v>0.25907498916838989</v>
      </c>
      <c r="Q102" s="278">
        <f t="shared" si="41"/>
        <v>0.23377416368489409</v>
      </c>
      <c r="R102" s="278">
        <f t="shared" si="41"/>
        <v>0.21065043304563205</v>
      </c>
    </row>
    <row r="103" spans="2:19" ht="48" customHeight="1">
      <c r="B103" s="254">
        <v>95</v>
      </c>
      <c r="O103" s="263"/>
    </row>
    <row r="104" spans="2:19" ht="45" customHeight="1">
      <c r="B104" s="254">
        <v>96</v>
      </c>
      <c r="O104" s="261"/>
    </row>
    <row r="105" spans="2:19" ht="118" customHeight="1">
      <c r="B105" s="254">
        <v>97</v>
      </c>
      <c r="C105" s="277" t="s">
        <v>203</v>
      </c>
      <c r="E105" s="276" t="s">
        <v>64</v>
      </c>
      <c r="F105" s="276" t="s">
        <v>64</v>
      </c>
      <c r="G105" s="276" t="s">
        <v>64</v>
      </c>
      <c r="H105" s="275" t="s">
        <v>94</v>
      </c>
      <c r="I105" s="275" t="s">
        <v>95</v>
      </c>
      <c r="J105" s="275" t="s">
        <v>96</v>
      </c>
      <c r="K105" s="275" t="s">
        <v>97</v>
      </c>
      <c r="L105" s="275" t="s">
        <v>98</v>
      </c>
      <c r="M105" s="275" t="s">
        <v>91</v>
      </c>
      <c r="O105" s="261"/>
    </row>
    <row r="106" spans="2:19" ht="45" customHeight="1">
      <c r="B106" s="254">
        <v>98</v>
      </c>
      <c r="E106" s="274" t="s">
        <v>103</v>
      </c>
      <c r="F106" s="274" t="s">
        <v>192</v>
      </c>
      <c r="G106" s="274" t="s">
        <v>110</v>
      </c>
      <c r="H106" s="273" t="s">
        <v>88</v>
      </c>
      <c r="I106" s="273" t="s">
        <v>90</v>
      </c>
      <c r="J106" s="273" t="s">
        <v>89</v>
      </c>
      <c r="K106" s="273" t="s">
        <v>92</v>
      </c>
      <c r="L106" s="273" t="s">
        <v>93</v>
      </c>
      <c r="M106" s="273" t="s">
        <v>99</v>
      </c>
      <c r="O106" s="261"/>
    </row>
    <row r="107" spans="2:19" ht="45" customHeight="1">
      <c r="B107" s="254">
        <v>99</v>
      </c>
      <c r="D107" s="253" t="s">
        <v>69</v>
      </c>
      <c r="E107" s="272">
        <f>F9*I85</f>
        <v>156217563.19333333</v>
      </c>
      <c r="F107" s="272">
        <f>F9*P85</f>
        <v>645300392.78125298</v>
      </c>
      <c r="G107" s="272">
        <f>F9*R85</f>
        <v>861472810.68228185</v>
      </c>
      <c r="H107" s="399">
        <v>114895000000</v>
      </c>
      <c r="I107" s="399">
        <v>21935000000</v>
      </c>
      <c r="J107" s="399">
        <v>196369000000</v>
      </c>
      <c r="K107" s="399">
        <v>87637000000</v>
      </c>
      <c r="L107" s="399">
        <v>85096000000</v>
      </c>
      <c r="M107" s="399">
        <v>668525000</v>
      </c>
      <c r="O107" s="261"/>
    </row>
    <row r="108" spans="2:19" ht="45" customHeight="1">
      <c r="B108" s="254">
        <v>100</v>
      </c>
      <c r="D108" s="253" t="s">
        <v>118</v>
      </c>
      <c r="E108" s="267">
        <f>I85</f>
        <v>15.621756319333333</v>
      </c>
      <c r="F108" s="267">
        <f>P85</f>
        <v>64.530039278125301</v>
      </c>
      <c r="G108" s="267">
        <f>R85</f>
        <v>86.147281068228182</v>
      </c>
      <c r="H108" s="398">
        <v>128.88</v>
      </c>
      <c r="I108" s="398">
        <v>60.86</v>
      </c>
      <c r="J108" s="398">
        <v>155.13999999999999</v>
      </c>
      <c r="K108" s="398">
        <v>53.45</v>
      </c>
      <c r="L108" s="398">
        <v>146.01</v>
      </c>
      <c r="M108" s="398">
        <v>6.23</v>
      </c>
      <c r="O108" s="271"/>
    </row>
    <row r="109" spans="2:19" ht="45" customHeight="1">
      <c r="B109" s="254">
        <v>101</v>
      </c>
      <c r="D109" s="253" t="s">
        <v>119</v>
      </c>
      <c r="E109" s="267">
        <f>I70</f>
        <v>1.0080825499999999</v>
      </c>
      <c r="F109" s="270">
        <f>P70</f>
        <v>4.1418812729029533</v>
      </c>
      <c r="G109" s="270">
        <f>R70</f>
        <v>5.2314464211132403</v>
      </c>
      <c r="H109" s="398">
        <v>2.4300000000000002</v>
      </c>
      <c r="I109" s="398">
        <v>2.33</v>
      </c>
      <c r="J109" s="398">
        <v>3.51</v>
      </c>
      <c r="K109" s="403" t="s">
        <v>204</v>
      </c>
      <c r="L109" s="398">
        <v>7.34</v>
      </c>
      <c r="M109" s="403" t="s">
        <v>205</v>
      </c>
      <c r="O109" s="262"/>
    </row>
    <row r="110" spans="2:19" ht="45" customHeight="1">
      <c r="B110" s="254">
        <v>102</v>
      </c>
      <c r="D110" s="253" t="s">
        <v>122</v>
      </c>
      <c r="E110" s="269">
        <f>I84</f>
        <v>15.496505042502058</v>
      </c>
      <c r="F110" s="269">
        <f>P84</f>
        <v>15.579886294736211</v>
      </c>
      <c r="G110" s="269">
        <f>R84</f>
        <v>16.467201254427877</v>
      </c>
      <c r="H110" s="398">
        <v>53.06</v>
      </c>
      <c r="I110" s="398">
        <v>26.16</v>
      </c>
      <c r="J110" s="398">
        <v>45.22</v>
      </c>
      <c r="K110" s="398">
        <v>33.409999999999997</v>
      </c>
      <c r="L110" s="398">
        <v>19.98</v>
      </c>
      <c r="M110" s="398">
        <v>20.46</v>
      </c>
      <c r="N110" s="268"/>
      <c r="O110" s="261"/>
    </row>
    <row r="111" spans="2:19" ht="45" customHeight="1">
      <c r="B111" s="254">
        <v>103</v>
      </c>
      <c r="D111" s="253" t="s">
        <v>123</v>
      </c>
      <c r="E111" s="267">
        <f>I85/I78</f>
        <v>0.68389012884057565</v>
      </c>
      <c r="F111" s="267">
        <f>P85/P78</f>
        <v>0.61366768186958853</v>
      </c>
      <c r="G111" s="267">
        <f>R85/R78</f>
        <v>0.62651646965216912</v>
      </c>
      <c r="H111" s="398">
        <v>4.2300000000000004</v>
      </c>
      <c r="I111" s="398">
        <v>3.9</v>
      </c>
      <c r="J111" s="398">
        <v>23.26</v>
      </c>
      <c r="K111" s="398">
        <v>10.19</v>
      </c>
      <c r="L111" s="398">
        <v>3.91</v>
      </c>
      <c r="M111" s="398">
        <v>2.5</v>
      </c>
      <c r="O111" s="258"/>
    </row>
    <row r="112" spans="2:19" ht="45" customHeight="1">
      <c r="B112" s="254">
        <v>104</v>
      </c>
      <c r="D112" s="253" t="s">
        <v>120</v>
      </c>
      <c r="E112" s="266">
        <f>F9</f>
        <v>10000000</v>
      </c>
      <c r="F112" s="265">
        <f>F9</f>
        <v>10000000</v>
      </c>
      <c r="G112" s="264">
        <f>F9</f>
        <v>10000000</v>
      </c>
      <c r="H112" s="400">
        <v>891353000</v>
      </c>
      <c r="I112" s="400">
        <v>340411000</v>
      </c>
      <c r="J112" s="400">
        <v>738451000</v>
      </c>
      <c r="K112" s="400">
        <v>1638000000</v>
      </c>
      <c r="L112" s="400">
        <v>580423000</v>
      </c>
      <c r="M112" s="400">
        <v>87210000</v>
      </c>
    </row>
    <row r="113" spans="2:13" ht="45" customHeight="1">
      <c r="B113" s="254">
        <v>105</v>
      </c>
      <c r="D113" s="253" t="s">
        <v>101</v>
      </c>
      <c r="E113" s="259" t="s">
        <v>49</v>
      </c>
      <c r="F113" s="259" t="s">
        <v>49</v>
      </c>
      <c r="G113" s="259" t="s">
        <v>49</v>
      </c>
      <c r="H113" s="401">
        <v>0.19</v>
      </c>
      <c r="I113" s="401">
        <v>0.35</v>
      </c>
      <c r="J113" s="401">
        <v>1.29</v>
      </c>
      <c r="K113" s="401">
        <v>0.08</v>
      </c>
      <c r="L113" s="401">
        <v>0.46250000000000002</v>
      </c>
      <c r="M113" s="401">
        <v>0.216</v>
      </c>
    </row>
    <row r="114" spans="2:13" ht="45" customHeight="1">
      <c r="B114" s="254">
        <v>106</v>
      </c>
      <c r="D114" s="253" t="s">
        <v>102</v>
      </c>
      <c r="E114" s="259" t="s">
        <v>49</v>
      </c>
      <c r="F114" s="259" t="s">
        <v>49</v>
      </c>
      <c r="G114" s="259" t="s">
        <v>49</v>
      </c>
      <c r="H114" s="398">
        <f t="shared" ref="H114:J114" si="42">H113*4</f>
        <v>0.76</v>
      </c>
      <c r="I114" s="398">
        <f t="shared" si="42"/>
        <v>1.4</v>
      </c>
      <c r="J114" s="398">
        <f t="shared" si="42"/>
        <v>5.16</v>
      </c>
      <c r="K114" s="398">
        <v>0.44</v>
      </c>
      <c r="L114" s="398">
        <v>0.51</v>
      </c>
      <c r="M114" s="398">
        <v>0.11</v>
      </c>
    </row>
    <row r="115" spans="2:13" ht="45" customHeight="1">
      <c r="B115" s="254">
        <v>107</v>
      </c>
      <c r="D115" s="253" t="s">
        <v>121</v>
      </c>
      <c r="E115" s="260" t="s">
        <v>49</v>
      </c>
      <c r="F115" s="259" t="s">
        <v>49</v>
      </c>
      <c r="G115" s="259" t="s">
        <v>49</v>
      </c>
      <c r="H115" s="402">
        <v>5.7000000000000002E-3</v>
      </c>
      <c r="I115" s="402">
        <v>2.3E-2</v>
      </c>
      <c r="J115" s="402">
        <v>3.2500000000000001E-2</v>
      </c>
      <c r="K115" s="402">
        <v>3.27E-2</v>
      </c>
      <c r="L115" s="402">
        <v>1.3899999999999999E-2</v>
      </c>
      <c r="M115" s="402">
        <v>6.8900000000000003E-2</v>
      </c>
    </row>
    <row r="116" spans="2:13" ht="45" customHeight="1">
      <c r="B116" s="254">
        <v>108</v>
      </c>
      <c r="D116" s="253" t="s">
        <v>131</v>
      </c>
      <c r="E116" s="257">
        <f>I92</f>
        <v>27.297704856167467</v>
      </c>
      <c r="F116" s="257">
        <f>P92</f>
        <v>71.457638388396433</v>
      </c>
      <c r="G116" s="256">
        <f>R92</f>
        <v>88.52005978291939</v>
      </c>
    </row>
    <row r="117" spans="2:13" ht="45" customHeight="1">
      <c r="B117" s="254">
        <v>109</v>
      </c>
      <c r="D117" s="253" t="s">
        <v>139</v>
      </c>
      <c r="E117" s="255">
        <f>I97</f>
        <v>22.401834444444443</v>
      </c>
      <c r="F117" s="255">
        <f>P97</f>
        <v>92.04180606451007</v>
      </c>
      <c r="G117" s="255">
        <f>R97</f>
        <v>116.25436491362757</v>
      </c>
    </row>
  </sheetData>
  <pageMargins left="0.25" right="0.25" top="0.75" bottom="0.75" header="0.3" footer="0.3"/>
  <pageSetup paperSize="9" scale="13" orientation="portrait" horizontalDpi="2147483648" verticalDpi="214748364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C672-E851-F94F-BA6F-99BE457BD966}">
  <sheetPr>
    <pageSetUpPr fitToPage="1"/>
  </sheetPr>
  <dimension ref="A1:BY138"/>
  <sheetViews>
    <sheetView showGridLines="0" zoomScale="80" zoomScaleNormal="80" zoomScalePageLayoutView="60" workbookViewId="0"/>
  </sheetViews>
  <sheetFormatPr baseColWidth="10" defaultColWidth="11" defaultRowHeight="18" customHeight="1"/>
  <cols>
    <col min="1" max="1" width="4.33203125" style="215" customWidth="1"/>
    <col min="2" max="2" width="3.1640625" style="2" customWidth="1"/>
    <col min="3" max="3" width="66.83203125" style="2" customWidth="1"/>
    <col min="4" max="4" width="22.6640625" style="2" customWidth="1"/>
    <col min="5" max="5" width="30.6640625" style="2" customWidth="1"/>
    <col min="6" max="7" width="36.1640625" style="2" customWidth="1"/>
    <col min="8" max="8" width="25.83203125" style="2" customWidth="1"/>
    <col min="9" max="9" width="23.5" style="2" bestFit="1" customWidth="1"/>
    <col min="10" max="11" width="23.83203125" style="2" bestFit="1" customWidth="1"/>
    <col min="12" max="12" width="23.5" style="2" bestFit="1" customWidth="1"/>
    <col min="13" max="13" width="26.5" style="2" customWidth="1"/>
    <col min="14" max="18" width="23.5" style="2" bestFit="1" customWidth="1"/>
    <col min="19" max="19" width="26.5" style="2" customWidth="1"/>
    <col min="20" max="23" width="23.5" style="2" bestFit="1" customWidth="1"/>
    <col min="24" max="24" width="23.6640625" style="2" bestFit="1" customWidth="1"/>
    <col min="25" max="68" width="18.6640625" style="2" customWidth="1"/>
    <col min="69" max="69" width="11" style="2"/>
    <col min="70" max="70" width="11.33203125" style="2" bestFit="1" customWidth="1"/>
    <col min="71" max="16384" width="11" style="2"/>
  </cols>
  <sheetData>
    <row r="1" spans="1:40" ht="31" customHeight="1">
      <c r="C1" s="193" t="s">
        <v>133</v>
      </c>
      <c r="D1" s="192"/>
      <c r="E1" s="192"/>
    </row>
    <row r="2" spans="1:40" ht="31" customHeight="1">
      <c r="C2" s="194" t="s">
        <v>191</v>
      </c>
      <c r="D2" s="190"/>
      <c r="E2" s="190"/>
    </row>
    <row r="3" spans="1:40" ht="31" customHeight="1">
      <c r="B3" s="191"/>
      <c r="C3" s="195" t="s">
        <v>202</v>
      </c>
      <c r="D3" s="190"/>
      <c r="E3" s="190"/>
    </row>
    <row r="4" spans="1:40" ht="18" customHeight="1">
      <c r="B4" s="190"/>
      <c r="C4" s="190"/>
      <c r="D4" s="190"/>
      <c r="E4" s="190"/>
    </row>
    <row r="5" spans="1:40" s="14" customFormat="1" ht="24" customHeight="1">
      <c r="A5" s="218"/>
      <c r="D5" s="189" t="s">
        <v>28</v>
      </c>
      <c r="E5" s="188" t="s">
        <v>1</v>
      </c>
      <c r="F5" s="188" t="s">
        <v>190</v>
      </c>
      <c r="G5" s="187" t="s">
        <v>189</v>
      </c>
      <c r="H5" s="177"/>
      <c r="I5" s="177"/>
    </row>
    <row r="6" spans="1:40" s="14" customFormat="1" ht="24" customHeight="1">
      <c r="A6" s="218"/>
      <c r="C6" s="101" t="s">
        <v>188</v>
      </c>
      <c r="D6" s="183">
        <v>3</v>
      </c>
      <c r="E6" s="186">
        <v>310</v>
      </c>
      <c r="F6" s="127">
        <f>$D$43/$E6</f>
        <v>699596.77419354836</v>
      </c>
      <c r="G6" s="185">
        <f>+F6*E6</f>
        <v>216875000</v>
      </c>
      <c r="H6" s="177"/>
      <c r="I6" s="177"/>
    </row>
    <row r="7" spans="1:40" s="14" customFormat="1" ht="24" customHeight="1">
      <c r="A7" s="218"/>
      <c r="C7" s="101" t="s">
        <v>187</v>
      </c>
      <c r="D7" s="183">
        <v>2</v>
      </c>
      <c r="E7" s="182">
        <f>+E6</f>
        <v>310</v>
      </c>
      <c r="F7" s="127">
        <f>$D$48/$E7</f>
        <v>1095161.2903225806</v>
      </c>
      <c r="G7" s="181">
        <f>+F7*E7</f>
        <v>339500000</v>
      </c>
      <c r="H7" s="184"/>
      <c r="I7" s="177"/>
    </row>
    <row r="8" spans="1:40" s="14" customFormat="1" ht="24" customHeight="1">
      <c r="A8" s="218"/>
      <c r="C8" s="101" t="s">
        <v>186</v>
      </c>
      <c r="D8" s="183">
        <v>2</v>
      </c>
      <c r="E8" s="182">
        <f>+E7</f>
        <v>310</v>
      </c>
      <c r="F8" s="127">
        <f>$D$49/$E8</f>
        <v>2112096.7741935486</v>
      </c>
      <c r="G8" s="181">
        <f>+F8*E8</f>
        <v>654750000.00000012</v>
      </c>
      <c r="H8" s="177"/>
      <c r="I8" s="177"/>
    </row>
    <row r="9" spans="1:40" s="14" customFormat="1" ht="24" customHeight="1">
      <c r="A9" s="218"/>
      <c r="C9" s="101"/>
      <c r="D9" s="172"/>
      <c r="E9" s="171"/>
      <c r="F9" s="180">
        <f>SUM(F6:F8)</f>
        <v>3906854.8387096776</v>
      </c>
      <c r="G9" s="179">
        <f>SUM(G6:G8)</f>
        <v>1211125000</v>
      </c>
      <c r="H9" s="178"/>
      <c r="I9" s="177"/>
    </row>
    <row r="10" spans="1:40" s="14" customFormat="1" ht="24" customHeight="1">
      <c r="A10" s="218"/>
      <c r="C10" s="101" t="s">
        <v>48</v>
      </c>
      <c r="D10" s="142">
        <v>0.105</v>
      </c>
      <c r="E10" s="171"/>
      <c r="F10" s="127"/>
      <c r="G10" s="177"/>
    </row>
    <row r="11" spans="1:40" s="14" customFormat="1" ht="24" customHeight="1">
      <c r="A11" s="218"/>
      <c r="C11" s="101"/>
      <c r="D11" s="142"/>
      <c r="E11" s="171"/>
    </row>
    <row r="12" spans="1:40" s="14" customFormat="1" ht="24" customHeight="1">
      <c r="A12" s="218"/>
      <c r="C12" s="101" t="s">
        <v>148</v>
      </c>
      <c r="D12" s="142">
        <v>6.25E-2</v>
      </c>
      <c r="E12" s="171"/>
      <c r="U12" s="125"/>
      <c r="V12" s="125"/>
      <c r="W12" s="125"/>
      <c r="X12" s="125"/>
      <c r="Y12" s="125"/>
      <c r="Z12" s="125"/>
      <c r="AA12" s="176"/>
      <c r="AB12" s="175"/>
      <c r="AC12" s="175"/>
      <c r="AD12" s="52"/>
      <c r="AE12" s="174" t="s">
        <v>71</v>
      </c>
      <c r="AF12" s="174" t="s">
        <v>72</v>
      </c>
      <c r="AG12" s="174" t="s">
        <v>73</v>
      </c>
      <c r="AH12" s="174" t="s">
        <v>74</v>
      </c>
      <c r="AI12" s="174" t="s">
        <v>75</v>
      </c>
      <c r="AJ12" s="174" t="s">
        <v>76</v>
      </c>
      <c r="AK12" s="174" t="s">
        <v>105</v>
      </c>
      <c r="AL12" s="174" t="s">
        <v>106</v>
      </c>
      <c r="AM12" s="174" t="s">
        <v>107</v>
      </c>
      <c r="AN12" s="173" t="s">
        <v>108</v>
      </c>
    </row>
    <row r="13" spans="1:40" s="14" customFormat="1" ht="24" customHeight="1">
      <c r="A13" s="218"/>
      <c r="C13" s="101"/>
      <c r="D13" s="142"/>
      <c r="E13" s="171"/>
      <c r="AA13" s="140" t="s">
        <v>164</v>
      </c>
      <c r="AE13" s="122" t="s">
        <v>49</v>
      </c>
      <c r="AF13" s="122" t="s">
        <v>49</v>
      </c>
      <c r="AG13" s="122" t="s">
        <v>49</v>
      </c>
      <c r="AH13" s="153">
        <f t="shared" ref="AH13:AN13" si="0">H57/$D45</f>
        <v>8.1978772954056431</v>
      </c>
      <c r="AI13" s="153">
        <f t="shared" si="0"/>
        <v>8.1978772954056431</v>
      </c>
      <c r="AJ13" s="153">
        <f t="shared" si="0"/>
        <v>21.030980888674648</v>
      </c>
      <c r="AK13" s="153">
        <f t="shared" si="0"/>
        <v>21.030980888674648</v>
      </c>
      <c r="AL13" s="153">
        <f t="shared" si="0"/>
        <v>45.780537818550592</v>
      </c>
      <c r="AM13" s="153">
        <f t="shared" si="0"/>
        <v>45.780537818550592</v>
      </c>
      <c r="AN13" s="152">
        <f t="shared" si="0"/>
        <v>45.780537818550592</v>
      </c>
    </row>
    <row r="14" spans="1:40" s="14" customFormat="1" ht="24" customHeight="1">
      <c r="A14" s="218"/>
      <c r="C14" s="101"/>
      <c r="D14" s="172"/>
      <c r="E14" s="171"/>
      <c r="AA14" s="140" t="s">
        <v>36</v>
      </c>
      <c r="AE14" s="170" t="s">
        <v>49</v>
      </c>
      <c r="AF14" s="170" t="s">
        <v>49</v>
      </c>
      <c r="AG14" s="170" t="s">
        <v>49</v>
      </c>
      <c r="AH14" s="169">
        <f t="shared" ref="AH14:AN14" si="1">H122</f>
        <v>1.4416617197889943</v>
      </c>
      <c r="AI14" s="169">
        <f t="shared" si="1"/>
        <v>2.009584461873168</v>
      </c>
      <c r="AJ14" s="169">
        <f t="shared" si="1"/>
        <v>2.848075675845668</v>
      </c>
      <c r="AK14" s="169">
        <f t="shared" si="1"/>
        <v>4.2492986622320208</v>
      </c>
      <c r="AL14" s="169">
        <f t="shared" si="1"/>
        <v>24.091823074506479</v>
      </c>
      <c r="AM14" s="169">
        <f t="shared" si="1"/>
        <v>24.212282189879012</v>
      </c>
      <c r="AN14" s="168">
        <f t="shared" si="1"/>
        <v>24.333343600828407</v>
      </c>
    </row>
    <row r="15" spans="1:40" s="14" customFormat="1" ht="24" customHeight="1">
      <c r="A15" s="218"/>
      <c r="C15" s="101" t="s">
        <v>185</v>
      </c>
      <c r="D15" s="167">
        <v>250000000</v>
      </c>
      <c r="E15" s="105"/>
      <c r="T15" s="2"/>
      <c r="AA15" s="140"/>
      <c r="AE15" s="101"/>
      <c r="AF15" s="101"/>
      <c r="AG15" s="101"/>
      <c r="AN15" s="143"/>
    </row>
    <row r="16" spans="1:40" s="14" customFormat="1" ht="24" customHeight="1">
      <c r="A16" s="218"/>
      <c r="C16" s="101" t="s">
        <v>10</v>
      </c>
      <c r="D16" s="166">
        <v>100</v>
      </c>
      <c r="E16" s="165"/>
      <c r="G16" s="161"/>
      <c r="I16" s="38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2"/>
      <c r="AA16" s="140" t="s">
        <v>184</v>
      </c>
      <c r="AE16" s="122" t="s">
        <v>49</v>
      </c>
      <c r="AF16" s="122" t="s">
        <v>49</v>
      </c>
      <c r="AG16" s="122" t="s">
        <v>49</v>
      </c>
      <c r="AH16" s="163">
        <f t="shared" ref="AH16:AN16" si="2">AH14/100</f>
        <v>1.4416617197889942E-2</v>
      </c>
      <c r="AI16" s="163">
        <f t="shared" si="2"/>
        <v>2.0095844618731679E-2</v>
      </c>
      <c r="AJ16" s="163">
        <f t="shared" si="2"/>
        <v>2.8480756758456679E-2</v>
      </c>
      <c r="AK16" s="163">
        <f t="shared" si="2"/>
        <v>4.2492986622320206E-2</v>
      </c>
      <c r="AL16" s="163">
        <f t="shared" si="2"/>
        <v>0.2409182307450648</v>
      </c>
      <c r="AM16" s="163">
        <f t="shared" si="2"/>
        <v>0.24212282189879011</v>
      </c>
      <c r="AN16" s="162">
        <f t="shared" si="2"/>
        <v>0.24333343600828405</v>
      </c>
    </row>
    <row r="17" spans="1:40" s="14" customFormat="1" ht="24" customHeight="1">
      <c r="A17" s="218"/>
      <c r="C17" s="95" t="s">
        <v>134</v>
      </c>
      <c r="D17" s="142">
        <v>0.06</v>
      </c>
      <c r="G17" s="161"/>
      <c r="I17" s="38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2"/>
      <c r="AA17" s="140"/>
      <c r="AE17" s="101"/>
      <c r="AF17" s="101"/>
      <c r="AG17" s="101"/>
      <c r="AN17" s="143"/>
    </row>
    <row r="18" spans="1:40" s="14" customFormat="1" ht="24" customHeight="1">
      <c r="A18" s="218"/>
      <c r="C18" s="101"/>
      <c r="D18" s="156"/>
      <c r="Q18" s="13"/>
      <c r="T18" s="2"/>
      <c r="AA18" s="140" t="s">
        <v>183</v>
      </c>
      <c r="AE18" s="148">
        <f t="shared" ref="AE18:AN18" si="3">E110</f>
        <v>100.02602800728785</v>
      </c>
      <c r="AF18" s="148">
        <f t="shared" si="3"/>
        <v>100.25224457062846</v>
      </c>
      <c r="AG18" s="148">
        <f t="shared" si="3"/>
        <v>100.17684165776565</v>
      </c>
      <c r="AH18" s="148">
        <f t="shared" si="3"/>
        <v>196.26805315398528</v>
      </c>
      <c r="AI18" s="148">
        <f t="shared" si="3"/>
        <v>259.49135795642059</v>
      </c>
      <c r="AJ18" s="148">
        <f t="shared" si="3"/>
        <v>464.41746809999637</v>
      </c>
      <c r="AK18" s="148">
        <f t="shared" si="3"/>
        <v>572.79231192855582</v>
      </c>
      <c r="AL18" s="148">
        <f t="shared" si="3"/>
        <v>733.07515680775236</v>
      </c>
      <c r="AM18" s="148">
        <f t="shared" si="3"/>
        <v>733.07515680775236</v>
      </c>
      <c r="AN18" s="157">
        <f t="shared" si="3"/>
        <v>733.07515680775236</v>
      </c>
    </row>
    <row r="19" spans="1:40" s="14" customFormat="1" ht="24" customHeight="1">
      <c r="A19" s="218"/>
      <c r="C19" s="101" t="s">
        <v>182</v>
      </c>
      <c r="D19" s="149">
        <v>0.01</v>
      </c>
      <c r="T19" s="2"/>
      <c r="AA19" s="140" t="s">
        <v>181</v>
      </c>
      <c r="AE19" s="159">
        <f t="shared" ref="AE19:AN19" si="4">E92/$D45</f>
        <v>0</v>
      </c>
      <c r="AF19" s="159">
        <f t="shared" si="4"/>
        <v>0</v>
      </c>
      <c r="AG19" s="159">
        <f t="shared" si="4"/>
        <v>0</v>
      </c>
      <c r="AH19" s="159">
        <f t="shared" si="4"/>
        <v>63.000017640004941</v>
      </c>
      <c r="AI19" s="159">
        <f t="shared" si="4"/>
        <v>126.00003528000988</v>
      </c>
      <c r="AJ19" s="159">
        <f t="shared" si="4"/>
        <v>247.50006930001939</v>
      </c>
      <c r="AK19" s="159">
        <f t="shared" si="4"/>
        <v>355.40276883277528</v>
      </c>
      <c r="AL19" s="159">
        <f t="shared" si="4"/>
        <v>352.72589960227458</v>
      </c>
      <c r="AM19" s="159">
        <f t="shared" si="4"/>
        <v>350.03564602562136</v>
      </c>
      <c r="AN19" s="158">
        <f t="shared" si="4"/>
        <v>347.33194118108486</v>
      </c>
    </row>
    <row r="20" spans="1:40" s="14" customFormat="1" ht="24" customHeight="1">
      <c r="A20" s="218"/>
      <c r="C20" s="101"/>
      <c r="D20" s="149"/>
      <c r="G20" s="19"/>
      <c r="T20" s="2"/>
      <c r="AA20" s="140"/>
      <c r="AE20" s="101"/>
      <c r="AF20" s="101"/>
      <c r="AG20" s="101"/>
      <c r="AN20" s="143"/>
    </row>
    <row r="21" spans="1:40" s="14" customFormat="1" ht="24" customHeight="1">
      <c r="A21" s="218"/>
      <c r="C21" s="101" t="s">
        <v>5</v>
      </c>
      <c r="D21" s="142">
        <v>0.1</v>
      </c>
      <c r="G21" s="19"/>
      <c r="T21" s="2"/>
      <c r="AA21" s="140" t="s">
        <v>180</v>
      </c>
      <c r="AE21" s="148">
        <f t="shared" ref="AE21:AN21" si="5">E115</f>
        <v>100.02602800728785</v>
      </c>
      <c r="AF21" s="148">
        <f t="shared" si="5"/>
        <v>100.25224457062846</v>
      </c>
      <c r="AG21" s="148">
        <f t="shared" si="5"/>
        <v>100.17684165776565</v>
      </c>
      <c r="AH21" s="148">
        <f t="shared" si="5"/>
        <v>133.26803551398035</v>
      </c>
      <c r="AI21" s="148">
        <f t="shared" si="5"/>
        <v>133.4913226764107</v>
      </c>
      <c r="AJ21" s="148">
        <f t="shared" si="5"/>
        <v>216.91739879997698</v>
      </c>
      <c r="AK21" s="148">
        <f t="shared" si="5"/>
        <v>217.38954309578057</v>
      </c>
      <c r="AL21" s="148">
        <f t="shared" si="5"/>
        <v>380.34925720547784</v>
      </c>
      <c r="AM21" s="148">
        <f t="shared" si="5"/>
        <v>383.03951078213106</v>
      </c>
      <c r="AN21" s="157">
        <f t="shared" si="5"/>
        <v>385.74321562666751</v>
      </c>
    </row>
    <row r="22" spans="1:40" s="14" customFormat="1" ht="24" customHeight="1">
      <c r="A22" s="218"/>
      <c r="C22" s="101"/>
      <c r="D22" s="156"/>
      <c r="T22" s="2"/>
      <c r="AA22" s="140"/>
      <c r="AE22" s="101"/>
      <c r="AF22" s="101"/>
      <c r="AG22" s="101"/>
      <c r="AN22" s="143"/>
    </row>
    <row r="23" spans="1:40" s="14" customFormat="1" ht="24" customHeight="1">
      <c r="A23" s="218"/>
      <c r="C23" s="101" t="s">
        <v>4</v>
      </c>
      <c r="D23" s="145">
        <v>450000</v>
      </c>
      <c r="I23" s="19"/>
      <c r="AA23" s="140" t="s">
        <v>179</v>
      </c>
      <c r="AC23" s="155">
        <v>0.08</v>
      </c>
      <c r="AE23" s="154">
        <v>100</v>
      </c>
      <c r="AF23" s="154">
        <v>100</v>
      </c>
      <c r="AG23" s="154">
        <v>100</v>
      </c>
      <c r="AH23" s="153">
        <v>125.8</v>
      </c>
      <c r="AI23" s="153">
        <v>132.1</v>
      </c>
      <c r="AJ23" s="153">
        <v>171.5</v>
      </c>
      <c r="AK23" s="153">
        <v>177.3</v>
      </c>
      <c r="AL23" s="153">
        <f>AL14/AC23</f>
        <v>301.14778843133098</v>
      </c>
      <c r="AM23" s="153">
        <f>AM14/AC23</f>
        <v>302.65352737348763</v>
      </c>
      <c r="AN23" s="152">
        <f>AN14/AC23</f>
        <v>304.16679501035509</v>
      </c>
    </row>
    <row r="24" spans="1:40" s="14" customFormat="1" ht="24" customHeight="1">
      <c r="A24" s="218"/>
      <c r="C24" s="101" t="s">
        <v>0</v>
      </c>
      <c r="D24" s="145">
        <v>500000</v>
      </c>
      <c r="T24" s="2"/>
      <c r="AA24" s="140"/>
      <c r="AE24" s="101"/>
      <c r="AF24" s="101"/>
      <c r="AG24" s="101"/>
      <c r="AH24" s="151">
        <f t="shared" ref="AH24:AN24" si="6">(AH23-AH21)/AH21</f>
        <v>-5.6037709906791015E-2</v>
      </c>
      <c r="AI24" s="151">
        <f t="shared" si="6"/>
        <v>-1.0422570160484075E-2</v>
      </c>
      <c r="AJ24" s="151">
        <f t="shared" si="6"/>
        <v>-0.20937646796077014</v>
      </c>
      <c r="AK24" s="151">
        <f t="shared" si="6"/>
        <v>-0.18441339231352696</v>
      </c>
      <c r="AL24" s="151">
        <f t="shared" si="6"/>
        <v>-0.20823353082390664</v>
      </c>
      <c r="AM24" s="151">
        <f t="shared" si="6"/>
        <v>-0.20986342438800301</v>
      </c>
      <c r="AN24" s="150">
        <f t="shared" si="6"/>
        <v>-0.21147856219268996</v>
      </c>
    </row>
    <row r="25" spans="1:40" s="14" customFormat="1" ht="24" customHeight="1">
      <c r="A25" s="218"/>
      <c r="C25" s="101" t="s">
        <v>178</v>
      </c>
      <c r="D25" s="142">
        <v>0</v>
      </c>
      <c r="T25" s="2"/>
      <c r="AA25" s="140" t="s">
        <v>177</v>
      </c>
      <c r="AE25" s="101"/>
      <c r="AF25" s="101"/>
      <c r="AG25" s="101"/>
      <c r="AN25" s="143"/>
    </row>
    <row r="26" spans="1:40" s="14" customFormat="1" ht="24" customHeight="1">
      <c r="A26" s="218"/>
      <c r="C26" s="101"/>
      <c r="D26" s="147"/>
      <c r="T26" s="2"/>
      <c r="AA26" s="140"/>
      <c r="AE26" s="101"/>
      <c r="AF26" s="101"/>
      <c r="AG26" s="101"/>
      <c r="AN26" s="143"/>
    </row>
    <row r="27" spans="1:40" s="14" customFormat="1" ht="24" customHeight="1">
      <c r="A27" s="218"/>
      <c r="C27" s="101" t="s">
        <v>50</v>
      </c>
      <c r="D27" s="149">
        <v>0.01</v>
      </c>
      <c r="T27" s="2"/>
      <c r="AA27" s="140" t="s">
        <v>176</v>
      </c>
      <c r="AE27" s="101"/>
      <c r="AF27" s="101"/>
      <c r="AG27" s="101"/>
      <c r="AL27" s="34">
        <f>((AL23/100)^(1/8))-1</f>
        <v>0.14775041843422865</v>
      </c>
      <c r="AN27" s="143"/>
    </row>
    <row r="28" spans="1:40" s="14" customFormat="1" ht="24" customHeight="1">
      <c r="A28" s="218"/>
      <c r="C28" s="95" t="s">
        <v>51</v>
      </c>
      <c r="D28" s="149">
        <v>0.03</v>
      </c>
      <c r="G28" s="32"/>
      <c r="H28" s="17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2"/>
      <c r="AA28" s="140" t="s">
        <v>175</v>
      </c>
      <c r="AE28" s="101"/>
      <c r="AF28" s="101"/>
      <c r="AG28" s="101"/>
      <c r="AL28" s="34">
        <f>AL14/AL23</f>
        <v>0.08</v>
      </c>
      <c r="AM28" s="34">
        <f>AM14/AM23</f>
        <v>0.08</v>
      </c>
      <c r="AN28" s="139">
        <f>AN14/AN23</f>
        <v>0.08</v>
      </c>
    </row>
    <row r="29" spans="1:40" s="14" customFormat="1" ht="24" customHeight="1">
      <c r="A29" s="218"/>
      <c r="C29" s="101" t="s">
        <v>52</v>
      </c>
      <c r="D29" s="142">
        <v>0.05</v>
      </c>
      <c r="I29" s="144"/>
      <c r="T29" s="2"/>
      <c r="AA29" s="140"/>
      <c r="AE29" s="101"/>
      <c r="AF29" s="101"/>
      <c r="AG29" s="101"/>
      <c r="AN29" s="143"/>
    </row>
    <row r="30" spans="1:40" s="14" customFormat="1" ht="24" customHeight="1">
      <c r="A30" s="218"/>
      <c r="C30" s="101" t="s">
        <v>174</v>
      </c>
      <c r="D30" s="142">
        <v>5.0000000000000001E-4</v>
      </c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2"/>
      <c r="AA30" s="140" t="s">
        <v>39</v>
      </c>
      <c r="AE30" s="122" t="s">
        <v>49</v>
      </c>
      <c r="AF30" s="122" t="s">
        <v>49</v>
      </c>
      <c r="AG30" s="122" t="s">
        <v>49</v>
      </c>
      <c r="AH30" s="121">
        <f t="shared" ref="AH30:AN30" si="7">H74</f>
        <v>2.0176723630639963</v>
      </c>
      <c r="AI30" s="121">
        <f t="shared" si="7"/>
        <v>1.4727650026706993</v>
      </c>
      <c r="AJ30" s="121">
        <f t="shared" si="7"/>
        <v>1.3390160682793348</v>
      </c>
      <c r="AK30" s="121">
        <f t="shared" si="7"/>
        <v>1.3133519947811836</v>
      </c>
      <c r="AL30" s="121">
        <f t="shared" si="7"/>
        <v>2.5064111169945154</v>
      </c>
      <c r="AM30" s="121">
        <f t="shared" si="7"/>
        <v>2.5254328173509166</v>
      </c>
      <c r="AN30" s="146">
        <f t="shared" si="7"/>
        <v>2.5448427505846127</v>
      </c>
    </row>
    <row r="31" spans="1:40" s="14" customFormat="1" ht="24" customHeight="1">
      <c r="A31" s="218"/>
      <c r="C31" s="101" t="s">
        <v>173</v>
      </c>
      <c r="D31" s="142">
        <v>0.1</v>
      </c>
      <c r="G31" s="19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2"/>
      <c r="AA31" s="140" t="s">
        <v>172</v>
      </c>
      <c r="AE31" s="122" t="s">
        <v>49</v>
      </c>
      <c r="AF31" s="122" t="s">
        <v>49</v>
      </c>
      <c r="AG31" s="122" t="s">
        <v>49</v>
      </c>
      <c r="AH31" s="121">
        <f t="shared" ref="AH31:AN31" si="8">H106</f>
        <v>0.45263498221791143</v>
      </c>
      <c r="AI31" s="121">
        <f t="shared" si="8"/>
        <v>0.6290721186250281</v>
      </c>
      <c r="AJ31" s="121">
        <f t="shared" si="8"/>
        <v>0.77793493635077793</v>
      </c>
      <c r="AK31" s="121">
        <f t="shared" si="8"/>
        <v>0.81513438910104241</v>
      </c>
      <c r="AL31" s="121">
        <f t="shared" si="8"/>
        <v>0.80899485290082152</v>
      </c>
      <c r="AM31" s="121">
        <f t="shared" si="8"/>
        <v>0.80282461901959956</v>
      </c>
      <c r="AN31" s="146">
        <f t="shared" si="8"/>
        <v>0.79662353396897134</v>
      </c>
    </row>
    <row r="32" spans="1:40" s="14" customFormat="1" ht="24" customHeight="1">
      <c r="A32" s="218"/>
      <c r="C32" s="101"/>
      <c r="D32" s="147"/>
      <c r="T32" s="2"/>
      <c r="AA32" s="140" t="s">
        <v>171</v>
      </c>
      <c r="AE32" s="122" t="s">
        <v>49</v>
      </c>
      <c r="AF32" s="122" t="s">
        <v>49</v>
      </c>
      <c r="AG32" s="122" t="s">
        <v>49</v>
      </c>
      <c r="AH32" s="121">
        <f t="shared" ref="AH32:AN32" si="9">AH19/AH18</f>
        <v>0.32098967013534935</v>
      </c>
      <c r="AI32" s="121">
        <f t="shared" si="9"/>
        <v>0.48556543952870501</v>
      </c>
      <c r="AJ32" s="121">
        <f t="shared" si="9"/>
        <v>0.5329258400046416</v>
      </c>
      <c r="AK32" s="121">
        <f t="shared" si="9"/>
        <v>0.62047405565929548</v>
      </c>
      <c r="AL32" s="121">
        <f t="shared" si="9"/>
        <v>0.48115925949292032</v>
      </c>
      <c r="AM32" s="121">
        <f t="shared" si="9"/>
        <v>0.47748943989574805</v>
      </c>
      <c r="AN32" s="146">
        <f t="shared" si="9"/>
        <v>0.4738012712005899</v>
      </c>
    </row>
    <row r="33" spans="1:40" s="14" customFormat="1" ht="24" customHeight="1">
      <c r="A33" s="218"/>
      <c r="C33" s="101" t="s">
        <v>170</v>
      </c>
      <c r="D33" s="145">
        <v>250000</v>
      </c>
      <c r="I33" s="144"/>
      <c r="J33" s="122"/>
      <c r="K33" s="122"/>
      <c r="L33" s="122"/>
      <c r="M33" s="121"/>
      <c r="N33" s="121"/>
      <c r="O33" s="121"/>
      <c r="P33" s="121"/>
      <c r="Q33" s="121"/>
      <c r="R33" s="121"/>
      <c r="S33" s="121"/>
      <c r="T33" s="2"/>
      <c r="AA33" s="140"/>
      <c r="AE33" s="101"/>
      <c r="AF33" s="101"/>
      <c r="AG33" s="101"/>
      <c r="AN33" s="143"/>
    </row>
    <row r="34" spans="1:40" s="14" customFormat="1" ht="24" customHeight="1">
      <c r="A34" s="218"/>
      <c r="C34" s="101" t="s">
        <v>169</v>
      </c>
      <c r="D34" s="142">
        <v>6.25E-2</v>
      </c>
      <c r="E34" s="141"/>
      <c r="F34" s="103"/>
      <c r="G34" s="103"/>
      <c r="T34" s="2"/>
      <c r="AA34" s="140" t="s">
        <v>168</v>
      </c>
      <c r="AE34" s="34">
        <f t="shared" ref="AE34:AN34" si="10">E117</f>
        <v>1.2416771639373762E-2</v>
      </c>
      <c r="AF34" s="34">
        <f t="shared" si="10"/>
        <v>1.2388753519479543E-2</v>
      </c>
      <c r="AG34" s="34">
        <f t="shared" si="10"/>
        <v>1.2398078510032745E-2</v>
      </c>
      <c r="AH34" s="34">
        <f t="shared" si="10"/>
        <v>9.3195667135785656E-3</v>
      </c>
      <c r="AI34" s="34">
        <f t="shared" si="10"/>
        <v>9.3039781377458157E-3</v>
      </c>
      <c r="AJ34" s="34">
        <f t="shared" si="10"/>
        <v>5.7256833920702041E-3</v>
      </c>
      <c r="AK34" s="34">
        <f t="shared" si="10"/>
        <v>5.7132478870562751E-3</v>
      </c>
      <c r="AL34" s="34">
        <f t="shared" si="10"/>
        <v>3.2654207264275681E-3</v>
      </c>
      <c r="AM34" s="34">
        <f t="shared" si="10"/>
        <v>3.2424862521990179E-3</v>
      </c>
      <c r="AN34" s="139">
        <f t="shared" si="10"/>
        <v>3.2197594084509788E-3</v>
      </c>
    </row>
    <row r="35" spans="1:40" s="14" customFormat="1" ht="24" customHeight="1">
      <c r="A35" s="218"/>
      <c r="C35" s="101"/>
      <c r="D35" s="17"/>
      <c r="E35" s="138"/>
      <c r="G35" s="32"/>
      <c r="T35" s="137"/>
      <c r="AA35" s="136" t="s">
        <v>167</v>
      </c>
      <c r="AB35" s="135"/>
      <c r="AC35" s="135"/>
      <c r="AD35" s="135"/>
      <c r="AE35" s="134" t="s">
        <v>49</v>
      </c>
      <c r="AF35" s="134" t="s">
        <v>49</v>
      </c>
      <c r="AG35" s="134" t="s">
        <v>49</v>
      </c>
      <c r="AH35" s="133">
        <f>+F6</f>
        <v>699596.77419354836</v>
      </c>
      <c r="AI35" s="133">
        <f>AH35</f>
        <v>699596.77419354836</v>
      </c>
      <c r="AJ35" s="133">
        <f>+AI35+F7</f>
        <v>1794758.064516129</v>
      </c>
      <c r="AK35" s="133">
        <f>AJ35</f>
        <v>1794758.064516129</v>
      </c>
      <c r="AL35" s="132">
        <f>(D43+D48+D49)/E6</f>
        <v>3906854.8387096776</v>
      </c>
      <c r="AM35" s="131">
        <f>AL35</f>
        <v>3906854.8387096776</v>
      </c>
      <c r="AN35" s="130">
        <f>AM35</f>
        <v>3906854.8387096776</v>
      </c>
    </row>
    <row r="36" spans="1:40" s="14" customFormat="1" ht="24" customHeight="1">
      <c r="A36" s="218"/>
      <c r="T36" s="2"/>
      <c r="AA36" s="125"/>
      <c r="AB36" s="125"/>
      <c r="AC36" s="125"/>
      <c r="AD36" s="125"/>
      <c r="AE36" s="125"/>
      <c r="AF36" s="125"/>
      <c r="AG36" s="125"/>
      <c r="AH36" s="125"/>
      <c r="AI36" s="2"/>
      <c r="AJ36" s="2"/>
      <c r="AK36" s="2"/>
      <c r="AL36" s="2"/>
      <c r="AM36" s="2"/>
    </row>
    <row r="37" spans="1:40" s="14" customFormat="1" ht="24" customHeight="1">
      <c r="A37" s="218"/>
      <c r="C37" s="102" t="s">
        <v>35</v>
      </c>
      <c r="D37" s="129"/>
      <c r="F37" s="128"/>
      <c r="G37" s="32"/>
      <c r="H37" s="2"/>
      <c r="J37" s="122"/>
      <c r="K37" s="122"/>
      <c r="L37" s="122"/>
      <c r="M37" s="127"/>
      <c r="N37" s="127"/>
      <c r="O37" s="127"/>
      <c r="P37" s="127"/>
      <c r="Q37" s="109"/>
      <c r="R37" s="41"/>
      <c r="S37" s="41"/>
      <c r="T37" s="2"/>
      <c r="U37" s="126"/>
      <c r="V37" s="126"/>
      <c r="W37" s="126"/>
      <c r="X37" s="126"/>
      <c r="Y37" s="126"/>
      <c r="Z37" s="126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40" ht="24" customHeight="1">
      <c r="B38" s="14"/>
      <c r="C38" s="19" t="s">
        <v>13</v>
      </c>
      <c r="D38" s="112">
        <f>D15-D32</f>
        <v>250000000</v>
      </c>
      <c r="E38" s="19"/>
      <c r="G38" s="14"/>
      <c r="H38" s="14"/>
      <c r="I38" s="14"/>
      <c r="J38" s="34"/>
      <c r="K38" s="34"/>
      <c r="L38" s="34"/>
      <c r="M38" s="34"/>
      <c r="N38" s="34"/>
      <c r="O38" s="34"/>
      <c r="P38" s="34"/>
      <c r="Q38" s="34"/>
      <c r="R38" s="34"/>
      <c r="S38" s="34"/>
      <c r="U38" s="125"/>
      <c r="V38" s="125"/>
      <c r="W38" s="125"/>
      <c r="X38" s="125"/>
      <c r="Y38" s="125"/>
      <c r="Z38" s="125"/>
      <c r="AA38" s="196" t="s">
        <v>42</v>
      </c>
      <c r="AB38" s="197"/>
      <c r="AC38" s="197"/>
      <c r="AD38" s="197"/>
      <c r="AE38" s="198" t="s">
        <v>166</v>
      </c>
      <c r="AF38" s="199" t="s">
        <v>165</v>
      </c>
    </row>
    <row r="39" spans="1:40" ht="24" customHeight="1">
      <c r="B39" s="14"/>
      <c r="C39" s="19" t="s">
        <v>9</v>
      </c>
      <c r="D39" s="124">
        <f>D17*D38</f>
        <v>15000000</v>
      </c>
      <c r="E39" s="123"/>
      <c r="F39" s="107"/>
      <c r="G39" s="107"/>
      <c r="H39" s="34"/>
      <c r="J39" s="122"/>
      <c r="K39" s="122"/>
      <c r="L39" s="122"/>
      <c r="M39" s="121"/>
      <c r="N39" s="121"/>
      <c r="O39" s="121"/>
      <c r="P39" s="121"/>
      <c r="Q39" s="121"/>
      <c r="R39" s="121"/>
      <c r="S39" s="121"/>
      <c r="AA39" s="200"/>
      <c r="AB39" s="201"/>
      <c r="AC39" s="201"/>
      <c r="AD39" s="201"/>
      <c r="AE39" s="201"/>
      <c r="AF39" s="202"/>
    </row>
    <row r="40" spans="1:40" ht="24" customHeight="1">
      <c r="B40" s="14"/>
      <c r="C40" s="14" t="s">
        <v>2</v>
      </c>
      <c r="D40" s="120">
        <f>+D27*D38</f>
        <v>2500000</v>
      </c>
      <c r="E40" s="115"/>
      <c r="F40" s="107"/>
      <c r="G40" s="117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AA40" s="200" t="s">
        <v>164</v>
      </c>
      <c r="AB40" s="201"/>
      <c r="AC40" s="201"/>
      <c r="AD40" s="201"/>
      <c r="AE40" s="203">
        <f>AL13</f>
        <v>45.780537818550592</v>
      </c>
      <c r="AF40" s="204">
        <f>AE40/AE40</f>
        <v>1</v>
      </c>
    </row>
    <row r="41" spans="1:40" ht="24" customHeight="1">
      <c r="B41" s="14"/>
      <c r="C41" s="52" t="s">
        <v>32</v>
      </c>
      <c r="D41" s="119">
        <f>D38-D39-D40</f>
        <v>232500000</v>
      </c>
      <c r="E41" s="118"/>
      <c r="F41" s="114"/>
      <c r="G41" s="117"/>
      <c r="H41" s="14"/>
      <c r="AA41" s="205"/>
      <c r="AB41" s="206"/>
      <c r="AC41" s="206"/>
      <c r="AD41" s="206"/>
      <c r="AE41" s="206"/>
      <c r="AF41" s="207"/>
    </row>
    <row r="42" spans="1:40" ht="24" customHeight="1">
      <c r="B42" s="14"/>
      <c r="C42" s="102" t="s">
        <v>3</v>
      </c>
      <c r="D42" s="116">
        <f>D34*D38</f>
        <v>15625000</v>
      </c>
      <c r="E42" s="115"/>
      <c r="F42" s="114"/>
      <c r="G42" s="113"/>
      <c r="H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AA42" s="200"/>
      <c r="AB42" s="201" t="s">
        <v>62</v>
      </c>
      <c r="AC42" s="201"/>
      <c r="AD42" s="201"/>
      <c r="AE42" s="208">
        <f>L63/D45</f>
        <v>0.90000025200007061</v>
      </c>
      <c r="AF42" s="209">
        <f>AE42/AE40</f>
        <v>1.9659014395313291E-2</v>
      </c>
    </row>
    <row r="43" spans="1:40" ht="24" customHeight="1">
      <c r="B43" s="14"/>
      <c r="C43" s="24" t="s">
        <v>33</v>
      </c>
      <c r="D43" s="112">
        <f>D41-D42</f>
        <v>216875000</v>
      </c>
      <c r="E43" s="19"/>
      <c r="F43" s="14"/>
      <c r="G43" s="14"/>
      <c r="H43" s="14"/>
      <c r="AA43" s="200"/>
      <c r="AB43" s="201"/>
      <c r="AC43" s="201"/>
      <c r="AD43" s="201"/>
      <c r="AE43" s="208"/>
      <c r="AF43" s="209"/>
    </row>
    <row r="44" spans="1:40" ht="24" customHeight="1">
      <c r="B44" s="14"/>
      <c r="C44" s="14"/>
      <c r="D44" s="14"/>
      <c r="E44" s="111"/>
      <c r="F44" s="14"/>
      <c r="G44" s="110"/>
      <c r="H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AA44" s="200"/>
      <c r="AB44" s="201" t="s">
        <v>163</v>
      </c>
      <c r="AC44" s="201"/>
      <c r="AD44" s="201"/>
      <c r="AE44" s="208">
        <f>(L64+L65)/D45</f>
        <v>0.34200009576002682</v>
      </c>
      <c r="AF44" s="209">
        <f>AE44/AE40</f>
        <v>7.4704254702190505E-3</v>
      </c>
    </row>
    <row r="45" spans="1:40" ht="24" customHeight="1">
      <c r="B45" s="14"/>
      <c r="C45" s="32" t="s">
        <v>11</v>
      </c>
      <c r="D45" s="109">
        <f>ROUND(+((D38/D16)/(1-D21)),0)-1</f>
        <v>2777777</v>
      </c>
      <c r="E45" s="108">
        <f>D45*100</f>
        <v>277777700</v>
      </c>
      <c r="F45" s="107"/>
      <c r="G45" s="106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AA45" s="200"/>
      <c r="AB45" s="201" t="s">
        <v>162</v>
      </c>
      <c r="AC45" s="201"/>
      <c r="AD45" s="201"/>
      <c r="AE45" s="208">
        <f>(L69/D45)*-1</f>
        <v>17.769845165783291</v>
      </c>
      <c r="AF45" s="209">
        <f>AE45/AE40</f>
        <v>0.38815282678009139</v>
      </c>
    </row>
    <row r="46" spans="1:40" ht="24" customHeight="1">
      <c r="B46" s="14"/>
      <c r="C46" s="14"/>
      <c r="D46" s="105"/>
      <c r="E46" s="104"/>
      <c r="F46" s="103"/>
      <c r="G46" s="103"/>
      <c r="H46" s="14"/>
      <c r="S46" s="100"/>
      <c r="AA46" s="200"/>
      <c r="AB46" s="201"/>
      <c r="AC46" s="201"/>
      <c r="AD46" s="201"/>
      <c r="AE46" s="201"/>
      <c r="AF46" s="202"/>
    </row>
    <row r="47" spans="1:40" ht="24" customHeight="1">
      <c r="B47" s="14"/>
      <c r="C47" s="102" t="s">
        <v>34</v>
      </c>
      <c r="D47" s="82"/>
      <c r="E47" s="101" t="s">
        <v>161</v>
      </c>
      <c r="S47" s="100"/>
      <c r="AA47" s="200" t="s">
        <v>160</v>
      </c>
      <c r="AB47" s="201"/>
      <c r="AC47" s="201"/>
      <c r="AD47" s="201"/>
      <c r="AE47" s="201"/>
      <c r="AF47" s="202"/>
    </row>
    <row r="48" spans="1:40" ht="24" customHeight="1">
      <c r="B48" s="14"/>
      <c r="C48" s="99" t="s">
        <v>53</v>
      </c>
      <c r="D48" s="98">
        <f>+E48-E48*0.03</f>
        <v>339500000</v>
      </c>
      <c r="E48" s="93">
        <v>350000000</v>
      </c>
      <c r="F48" s="97"/>
      <c r="AA48" s="200"/>
      <c r="AB48" s="201"/>
      <c r="AC48" s="201"/>
      <c r="AD48" s="201"/>
      <c r="AE48" s="201"/>
      <c r="AF48" s="202"/>
    </row>
    <row r="49" spans="1:77" ht="24" customHeight="1">
      <c r="B49" s="14"/>
      <c r="C49" s="95" t="s">
        <v>45</v>
      </c>
      <c r="D49" s="94">
        <f>+E49-E49*0.03</f>
        <v>654750000</v>
      </c>
      <c r="E49" s="93">
        <v>675000000</v>
      </c>
      <c r="F49" s="5"/>
      <c r="G49" s="96"/>
      <c r="K49" s="88"/>
      <c r="L49" s="88"/>
      <c r="M49" s="88"/>
      <c r="N49" s="88"/>
      <c r="AA49" s="200"/>
      <c r="AB49" s="201" t="s">
        <v>159</v>
      </c>
      <c r="AC49" s="201"/>
      <c r="AD49" s="201"/>
      <c r="AE49" s="210">
        <f>(L83/D45)*-1</f>
        <v>2.6768692305007198</v>
      </c>
      <c r="AF49" s="209">
        <f>AE49/AE40</f>
        <v>5.8471773335437613E-2</v>
      </c>
    </row>
    <row r="50" spans="1:77" ht="24" customHeight="1">
      <c r="B50" s="14"/>
      <c r="C50" s="95" t="s">
        <v>54</v>
      </c>
      <c r="D50" s="94"/>
      <c r="E50" s="93">
        <f>SUM(E48:E49)</f>
        <v>1025000000</v>
      </c>
      <c r="F50" s="92"/>
      <c r="K50" s="88"/>
      <c r="L50" s="88"/>
      <c r="M50" s="88"/>
      <c r="N50" s="88"/>
      <c r="AA50" s="211"/>
      <c r="AB50" s="212" t="s">
        <v>36</v>
      </c>
      <c r="AC50" s="212"/>
      <c r="AD50" s="212"/>
      <c r="AE50" s="213">
        <f>(L84/D45)*-1</f>
        <v>24.091823074506479</v>
      </c>
      <c r="AF50" s="214">
        <f>AE50/AE40</f>
        <v>0.52624596001893853</v>
      </c>
    </row>
    <row r="51" spans="1:77" ht="24" customHeight="1">
      <c r="B51" s="14"/>
      <c r="C51" s="91"/>
      <c r="D51" s="90"/>
      <c r="F51" s="89"/>
      <c r="K51" s="88"/>
      <c r="L51" s="88"/>
      <c r="M51" s="88"/>
      <c r="N51" s="88"/>
    </row>
    <row r="52" spans="1:77" s="8" customFormat="1" ht="24" customHeight="1" thickBot="1">
      <c r="A52" s="215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ht="29" customHeight="1">
      <c r="B53" s="87"/>
      <c r="C53" s="86"/>
      <c r="D53" s="85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3"/>
    </row>
    <row r="54" spans="1:77" ht="29" customHeight="1">
      <c r="B54" s="15"/>
      <c r="C54" s="218"/>
      <c r="D54" s="218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81"/>
    </row>
    <row r="55" spans="1:77" s="80" customFormat="1" ht="29" customHeight="1">
      <c r="A55" s="219"/>
      <c r="B55" s="222"/>
      <c r="C55" s="223"/>
      <c r="D55" s="223"/>
      <c r="E55" s="221">
        <v>1</v>
      </c>
      <c r="F55" s="221">
        <v>2</v>
      </c>
      <c r="G55" s="221">
        <v>3</v>
      </c>
      <c r="H55" s="221">
        <v>4</v>
      </c>
      <c r="I55" s="221">
        <v>5</v>
      </c>
      <c r="J55" s="221">
        <v>6</v>
      </c>
      <c r="K55" s="221">
        <v>7</v>
      </c>
      <c r="L55" s="221">
        <v>8</v>
      </c>
      <c r="M55" s="221">
        <v>9</v>
      </c>
      <c r="N55" s="221">
        <v>10</v>
      </c>
      <c r="O55" s="221">
        <v>11</v>
      </c>
      <c r="P55" s="221">
        <v>12</v>
      </c>
      <c r="Q55" s="221">
        <v>13</v>
      </c>
      <c r="R55" s="221">
        <v>14</v>
      </c>
      <c r="S55" s="221">
        <v>15</v>
      </c>
      <c r="T55" s="221">
        <v>16</v>
      </c>
      <c r="U55" s="221">
        <v>17</v>
      </c>
      <c r="V55" s="221">
        <v>18</v>
      </c>
      <c r="W55" s="221">
        <v>19</v>
      </c>
      <c r="X55" s="81">
        <v>20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ht="29" customHeight="1">
      <c r="B56" s="15"/>
      <c r="C56" s="224" t="s">
        <v>8</v>
      </c>
      <c r="D56" s="225"/>
      <c r="E56" s="225"/>
      <c r="F56" s="225"/>
      <c r="G56" s="225"/>
      <c r="H56" s="225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"/>
    </row>
    <row r="57" spans="1:77" ht="29" customHeight="1">
      <c r="B57" s="15"/>
      <c r="C57" s="226" t="s">
        <v>158</v>
      </c>
      <c r="D57" s="218"/>
      <c r="E57" s="43">
        <f t="shared" ref="E57:X57" si="11">E102*$D$10</f>
        <v>0</v>
      </c>
      <c r="F57" s="43">
        <f t="shared" si="11"/>
        <v>0</v>
      </c>
      <c r="G57" s="43">
        <f t="shared" si="11"/>
        <v>0</v>
      </c>
      <c r="H57" s="43">
        <f t="shared" si="11"/>
        <v>22771875</v>
      </c>
      <c r="I57" s="43">
        <f t="shared" si="11"/>
        <v>22771875</v>
      </c>
      <c r="J57" s="43">
        <f t="shared" si="11"/>
        <v>58419375</v>
      </c>
      <c r="K57" s="43">
        <f t="shared" si="11"/>
        <v>58419375</v>
      </c>
      <c r="L57" s="43">
        <f t="shared" si="11"/>
        <v>127168125</v>
      </c>
      <c r="M57" s="43">
        <f t="shared" si="11"/>
        <v>127168125</v>
      </c>
      <c r="N57" s="43">
        <f t="shared" si="11"/>
        <v>127168125</v>
      </c>
      <c r="O57" s="43">
        <f t="shared" si="11"/>
        <v>127168125</v>
      </c>
      <c r="P57" s="43">
        <f t="shared" si="11"/>
        <v>127168125</v>
      </c>
      <c r="Q57" s="43">
        <f t="shared" si="11"/>
        <v>127168125</v>
      </c>
      <c r="R57" s="43">
        <f t="shared" si="11"/>
        <v>127168125</v>
      </c>
      <c r="S57" s="43">
        <f t="shared" si="11"/>
        <v>127168125</v>
      </c>
      <c r="T57" s="43">
        <f t="shared" si="11"/>
        <v>127168125</v>
      </c>
      <c r="U57" s="43">
        <f t="shared" si="11"/>
        <v>127168125</v>
      </c>
      <c r="V57" s="43">
        <f t="shared" si="11"/>
        <v>127168125</v>
      </c>
      <c r="W57" s="43">
        <f t="shared" si="11"/>
        <v>127168125</v>
      </c>
      <c r="X57" s="79">
        <f t="shared" si="11"/>
        <v>127168125</v>
      </c>
    </row>
    <row r="58" spans="1:77" ht="29" customHeight="1">
      <c r="B58" s="15"/>
      <c r="C58" s="227" t="s">
        <v>157</v>
      </c>
      <c r="D58" s="218" t="s">
        <v>156</v>
      </c>
      <c r="E58" s="78">
        <v>3050000</v>
      </c>
      <c r="F58" s="78">
        <v>3300000</v>
      </c>
      <c r="G58" s="78">
        <v>3500000</v>
      </c>
      <c r="H58" s="77">
        <f t="shared" ref="H58:X58" si="12">SUM(H57:H57)</f>
        <v>22771875</v>
      </c>
      <c r="I58" s="77">
        <f t="shared" si="12"/>
        <v>22771875</v>
      </c>
      <c r="J58" s="77">
        <f t="shared" si="12"/>
        <v>58419375</v>
      </c>
      <c r="K58" s="77">
        <f t="shared" si="12"/>
        <v>58419375</v>
      </c>
      <c r="L58" s="77">
        <f t="shared" si="12"/>
        <v>127168125</v>
      </c>
      <c r="M58" s="77">
        <f t="shared" si="12"/>
        <v>127168125</v>
      </c>
      <c r="N58" s="77">
        <f t="shared" si="12"/>
        <v>127168125</v>
      </c>
      <c r="O58" s="77">
        <f t="shared" si="12"/>
        <v>127168125</v>
      </c>
      <c r="P58" s="77">
        <f t="shared" si="12"/>
        <v>127168125</v>
      </c>
      <c r="Q58" s="77">
        <f t="shared" si="12"/>
        <v>127168125</v>
      </c>
      <c r="R58" s="77">
        <f t="shared" si="12"/>
        <v>127168125</v>
      </c>
      <c r="S58" s="77">
        <f t="shared" si="12"/>
        <v>127168125</v>
      </c>
      <c r="T58" s="77">
        <f t="shared" si="12"/>
        <v>127168125</v>
      </c>
      <c r="U58" s="77">
        <f t="shared" si="12"/>
        <v>127168125</v>
      </c>
      <c r="V58" s="77">
        <f t="shared" si="12"/>
        <v>127168125</v>
      </c>
      <c r="W58" s="77">
        <f t="shared" si="12"/>
        <v>127168125</v>
      </c>
      <c r="X58" s="76">
        <f t="shared" si="12"/>
        <v>127168125</v>
      </c>
    </row>
    <row r="59" spans="1:77" ht="29" customHeight="1">
      <c r="B59" s="15"/>
      <c r="C59" s="218"/>
      <c r="D59" s="218"/>
      <c r="E59" s="225"/>
      <c r="F59" s="225"/>
      <c r="G59" s="225"/>
      <c r="H59" s="225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"/>
    </row>
    <row r="60" spans="1:77" ht="29" customHeight="1">
      <c r="B60" s="15"/>
      <c r="C60" s="224" t="s">
        <v>55</v>
      </c>
      <c r="D60" s="218"/>
      <c r="E60" s="225"/>
      <c r="F60" s="225"/>
      <c r="G60" s="225"/>
      <c r="H60" s="225"/>
      <c r="I60" s="225"/>
      <c r="J60" s="225"/>
      <c r="K60" s="225"/>
      <c r="L60" s="75"/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"/>
    </row>
    <row r="61" spans="1:77" ht="29" customHeight="1">
      <c r="B61" s="15"/>
      <c r="C61" s="228" t="s">
        <v>2</v>
      </c>
      <c r="D61" s="218"/>
      <c r="E61" s="225">
        <f>$D27*$D15</f>
        <v>2500000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74">
        <v>0</v>
      </c>
    </row>
    <row r="62" spans="1:77" ht="29" customHeight="1">
      <c r="B62" s="15"/>
      <c r="C62" s="228" t="s">
        <v>44</v>
      </c>
      <c r="D62" s="218"/>
      <c r="E62" s="225">
        <f>D39</f>
        <v>15000000</v>
      </c>
      <c r="F62" s="18">
        <v>0</v>
      </c>
      <c r="G62" s="18">
        <v>0</v>
      </c>
      <c r="H62" s="18">
        <f>D28*E48</f>
        <v>10500000</v>
      </c>
      <c r="I62" s="18">
        <v>0</v>
      </c>
      <c r="J62" s="18">
        <f>D28*E49</f>
        <v>20250000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74">
        <v>0</v>
      </c>
    </row>
    <row r="63" spans="1:77" ht="29" customHeight="1">
      <c r="B63" s="15"/>
      <c r="C63" s="228" t="s">
        <v>16</v>
      </c>
      <c r="D63" s="218"/>
      <c r="E63" s="225">
        <f t="shared" ref="E63:X63" si="13">$D19*$D15</f>
        <v>2500000</v>
      </c>
      <c r="F63" s="225">
        <f t="shared" si="13"/>
        <v>2500000</v>
      </c>
      <c r="G63" s="225">
        <f t="shared" si="13"/>
        <v>2500000</v>
      </c>
      <c r="H63" s="225">
        <f t="shared" si="13"/>
        <v>2500000</v>
      </c>
      <c r="I63" s="225">
        <f t="shared" si="13"/>
        <v>2500000</v>
      </c>
      <c r="J63" s="225">
        <f t="shared" si="13"/>
        <v>2500000</v>
      </c>
      <c r="K63" s="225">
        <f t="shared" si="13"/>
        <v>2500000</v>
      </c>
      <c r="L63" s="225">
        <f t="shared" si="13"/>
        <v>2500000</v>
      </c>
      <c r="M63" s="225">
        <f t="shared" si="13"/>
        <v>2500000</v>
      </c>
      <c r="N63" s="225">
        <f t="shared" si="13"/>
        <v>2500000</v>
      </c>
      <c r="O63" s="225">
        <f t="shared" si="13"/>
        <v>2500000</v>
      </c>
      <c r="P63" s="225">
        <f t="shared" si="13"/>
        <v>2500000</v>
      </c>
      <c r="Q63" s="225">
        <f t="shared" si="13"/>
        <v>2500000</v>
      </c>
      <c r="R63" s="225">
        <f t="shared" si="13"/>
        <v>2500000</v>
      </c>
      <c r="S63" s="225">
        <f t="shared" si="13"/>
        <v>2500000</v>
      </c>
      <c r="T63" s="225">
        <f t="shared" si="13"/>
        <v>2500000</v>
      </c>
      <c r="U63" s="225">
        <f t="shared" si="13"/>
        <v>2500000</v>
      </c>
      <c r="V63" s="225">
        <f t="shared" si="13"/>
        <v>2500000</v>
      </c>
      <c r="W63" s="225">
        <f t="shared" si="13"/>
        <v>2500000</v>
      </c>
      <c r="X63" s="22">
        <f t="shared" si="13"/>
        <v>2500000</v>
      </c>
    </row>
    <row r="64" spans="1:77" ht="29" customHeight="1">
      <c r="B64" s="15"/>
      <c r="C64" s="228" t="s">
        <v>6</v>
      </c>
      <c r="D64" s="218"/>
      <c r="E64" s="225">
        <f t="shared" ref="E64:X64" si="14">$D24</f>
        <v>500000</v>
      </c>
      <c r="F64" s="225">
        <f t="shared" si="14"/>
        <v>500000</v>
      </c>
      <c r="G64" s="225">
        <f t="shared" si="14"/>
        <v>500000</v>
      </c>
      <c r="H64" s="225">
        <f t="shared" si="14"/>
        <v>500000</v>
      </c>
      <c r="I64" s="225">
        <f t="shared" si="14"/>
        <v>500000</v>
      </c>
      <c r="J64" s="225">
        <f t="shared" si="14"/>
        <v>500000</v>
      </c>
      <c r="K64" s="225">
        <f t="shared" si="14"/>
        <v>500000</v>
      </c>
      <c r="L64" s="225">
        <f t="shared" si="14"/>
        <v>500000</v>
      </c>
      <c r="M64" s="225">
        <f t="shared" si="14"/>
        <v>500000</v>
      </c>
      <c r="N64" s="225">
        <f t="shared" si="14"/>
        <v>500000</v>
      </c>
      <c r="O64" s="225">
        <f t="shared" si="14"/>
        <v>500000</v>
      </c>
      <c r="P64" s="225">
        <f t="shared" si="14"/>
        <v>500000</v>
      </c>
      <c r="Q64" s="225">
        <f t="shared" si="14"/>
        <v>500000</v>
      </c>
      <c r="R64" s="225">
        <f t="shared" si="14"/>
        <v>500000</v>
      </c>
      <c r="S64" s="225">
        <f t="shared" si="14"/>
        <v>500000</v>
      </c>
      <c r="T64" s="225">
        <f t="shared" si="14"/>
        <v>500000</v>
      </c>
      <c r="U64" s="225">
        <f t="shared" si="14"/>
        <v>500000</v>
      </c>
      <c r="V64" s="225">
        <f t="shared" si="14"/>
        <v>500000</v>
      </c>
      <c r="W64" s="225">
        <f t="shared" si="14"/>
        <v>500000</v>
      </c>
      <c r="X64" s="22">
        <f t="shared" si="14"/>
        <v>500000</v>
      </c>
    </row>
    <row r="65" spans="1:77" ht="29" customHeight="1">
      <c r="B65" s="15"/>
      <c r="C65" s="228" t="s">
        <v>7</v>
      </c>
      <c r="D65" s="218"/>
      <c r="E65" s="225">
        <f t="shared" ref="E65:X65" si="15">+$D23</f>
        <v>450000</v>
      </c>
      <c r="F65" s="225">
        <f t="shared" si="15"/>
        <v>450000</v>
      </c>
      <c r="G65" s="225">
        <f t="shared" si="15"/>
        <v>450000</v>
      </c>
      <c r="H65" s="225">
        <f t="shared" si="15"/>
        <v>450000</v>
      </c>
      <c r="I65" s="225">
        <f t="shared" si="15"/>
        <v>450000</v>
      </c>
      <c r="J65" s="225">
        <f t="shared" si="15"/>
        <v>450000</v>
      </c>
      <c r="K65" s="225">
        <f t="shared" si="15"/>
        <v>450000</v>
      </c>
      <c r="L65" s="225">
        <f t="shared" si="15"/>
        <v>450000</v>
      </c>
      <c r="M65" s="225">
        <f t="shared" si="15"/>
        <v>450000</v>
      </c>
      <c r="N65" s="225">
        <f t="shared" si="15"/>
        <v>450000</v>
      </c>
      <c r="O65" s="225">
        <f t="shared" si="15"/>
        <v>450000</v>
      </c>
      <c r="P65" s="225">
        <f t="shared" si="15"/>
        <v>450000</v>
      </c>
      <c r="Q65" s="225">
        <f t="shared" si="15"/>
        <v>450000</v>
      </c>
      <c r="R65" s="225">
        <f t="shared" si="15"/>
        <v>450000</v>
      </c>
      <c r="S65" s="225">
        <f t="shared" si="15"/>
        <v>450000</v>
      </c>
      <c r="T65" s="225">
        <f t="shared" si="15"/>
        <v>450000</v>
      </c>
      <c r="U65" s="225">
        <f t="shared" si="15"/>
        <v>450000</v>
      </c>
      <c r="V65" s="225">
        <f t="shared" si="15"/>
        <v>450000</v>
      </c>
      <c r="W65" s="225">
        <f t="shared" si="15"/>
        <v>450000</v>
      </c>
      <c r="X65" s="22">
        <f t="shared" si="15"/>
        <v>450000</v>
      </c>
    </row>
    <row r="66" spans="1:77" ht="29" customHeight="1">
      <c r="B66" s="15"/>
      <c r="C66" s="218" t="s">
        <v>14</v>
      </c>
      <c r="D66" s="218"/>
      <c r="E66" s="73">
        <f t="shared" ref="E66:X66" si="16">SUM(E61:E65)</f>
        <v>20950000</v>
      </c>
      <c r="F66" s="73">
        <f t="shared" si="16"/>
        <v>3450000</v>
      </c>
      <c r="G66" s="73">
        <f t="shared" si="16"/>
        <v>3450000</v>
      </c>
      <c r="H66" s="73">
        <f t="shared" si="16"/>
        <v>13950000</v>
      </c>
      <c r="I66" s="73">
        <f t="shared" si="16"/>
        <v>3450000</v>
      </c>
      <c r="J66" s="73">
        <f t="shared" si="16"/>
        <v>23700000</v>
      </c>
      <c r="K66" s="73">
        <f t="shared" si="16"/>
        <v>3450000</v>
      </c>
      <c r="L66" s="73">
        <f t="shared" si="16"/>
        <v>3450000</v>
      </c>
      <c r="M66" s="73">
        <f t="shared" si="16"/>
        <v>3450000</v>
      </c>
      <c r="N66" s="73">
        <f t="shared" si="16"/>
        <v>3450000</v>
      </c>
      <c r="O66" s="73">
        <f t="shared" si="16"/>
        <v>3450000</v>
      </c>
      <c r="P66" s="73">
        <f t="shared" si="16"/>
        <v>3450000</v>
      </c>
      <c r="Q66" s="73">
        <f t="shared" si="16"/>
        <v>3450000</v>
      </c>
      <c r="R66" s="73">
        <f t="shared" si="16"/>
        <v>3450000</v>
      </c>
      <c r="S66" s="73">
        <f t="shared" si="16"/>
        <v>3450000</v>
      </c>
      <c r="T66" s="73">
        <f t="shared" si="16"/>
        <v>3450000</v>
      </c>
      <c r="U66" s="73">
        <f t="shared" si="16"/>
        <v>3450000</v>
      </c>
      <c r="V66" s="73">
        <f t="shared" si="16"/>
        <v>3450000</v>
      </c>
      <c r="W66" s="73">
        <f t="shared" si="16"/>
        <v>3450000</v>
      </c>
      <c r="X66" s="72">
        <f t="shared" si="16"/>
        <v>3450000</v>
      </c>
    </row>
    <row r="67" spans="1:77" ht="29" customHeight="1">
      <c r="B67" s="15"/>
      <c r="C67" s="218"/>
      <c r="D67" s="218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  <c r="X67" s="59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</row>
    <row r="68" spans="1:77" s="57" customFormat="1" ht="29" customHeight="1">
      <c r="A68" s="216"/>
      <c r="B68" s="63"/>
      <c r="C68" s="227" t="s">
        <v>155</v>
      </c>
      <c r="D68" s="230"/>
      <c r="E68" s="71">
        <f>+E57-E66</f>
        <v>-20950000</v>
      </c>
      <c r="F68" s="71">
        <f>+F57-F66</f>
        <v>-3450000</v>
      </c>
      <c r="G68" s="71">
        <f>+G57-G66</f>
        <v>-3450000</v>
      </c>
      <c r="H68" s="71">
        <f t="shared" ref="H68:X68" si="17">+H58-H66</f>
        <v>8821875</v>
      </c>
      <c r="I68" s="71">
        <f t="shared" si="17"/>
        <v>19321875</v>
      </c>
      <c r="J68" s="71">
        <f t="shared" si="17"/>
        <v>34719375</v>
      </c>
      <c r="K68" s="71">
        <f t="shared" si="17"/>
        <v>54969375</v>
      </c>
      <c r="L68" s="71">
        <f t="shared" si="17"/>
        <v>123718125</v>
      </c>
      <c r="M68" s="71">
        <f t="shared" si="17"/>
        <v>123718125</v>
      </c>
      <c r="N68" s="71">
        <f t="shared" si="17"/>
        <v>123718125</v>
      </c>
      <c r="O68" s="71">
        <f t="shared" si="17"/>
        <v>123718125</v>
      </c>
      <c r="P68" s="71">
        <f t="shared" si="17"/>
        <v>123718125</v>
      </c>
      <c r="Q68" s="71">
        <f t="shared" si="17"/>
        <v>123718125</v>
      </c>
      <c r="R68" s="71">
        <f t="shared" si="17"/>
        <v>123718125</v>
      </c>
      <c r="S68" s="71">
        <f t="shared" si="17"/>
        <v>123718125</v>
      </c>
      <c r="T68" s="71">
        <f t="shared" si="17"/>
        <v>123718125</v>
      </c>
      <c r="U68" s="71">
        <f t="shared" si="17"/>
        <v>123718125</v>
      </c>
      <c r="V68" s="71">
        <f t="shared" si="17"/>
        <v>123718125</v>
      </c>
      <c r="W68" s="71">
        <f t="shared" si="17"/>
        <v>123718125</v>
      </c>
      <c r="X68" s="70">
        <f t="shared" si="17"/>
        <v>123718125</v>
      </c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s="57" customFormat="1" ht="29" customHeight="1">
      <c r="A69" s="216"/>
      <c r="B69" s="63"/>
      <c r="C69" s="227" t="s">
        <v>154</v>
      </c>
      <c r="D69" s="230"/>
      <c r="E69" s="69">
        <f t="shared" ref="E69:K69" si="18">(SUM(E79)*$D$30)-((E89+E92)/2*$D$29)</f>
        <v>0</v>
      </c>
      <c r="F69" s="69">
        <f t="shared" si="18"/>
        <v>78379.166666666657</v>
      </c>
      <c r="G69" s="69">
        <f t="shared" si="18"/>
        <v>40547.522916666654</v>
      </c>
      <c r="H69" s="69">
        <f t="shared" si="18"/>
        <v>-4372303.0366552081</v>
      </c>
      <c r="I69" s="69">
        <f t="shared" si="18"/>
        <v>-13119455.558057042</v>
      </c>
      <c r="J69" s="69">
        <f t="shared" si="18"/>
        <v>-25929020.437084943</v>
      </c>
      <c r="K69" s="69">
        <f t="shared" si="18"/>
        <v>-41854259.344356805</v>
      </c>
      <c r="L69" s="69">
        <f t="shared" ref="L69:X69" si="19">(SUM(L79)*$D$30)-(L89*$D$29)</f>
        <v>-49360667.195074014</v>
      </c>
      <c r="M69" s="69">
        <f t="shared" si="19"/>
        <v>-48988879.906049386</v>
      </c>
      <c r="N69" s="69">
        <f t="shared" si="19"/>
        <v>-48615233.68057964</v>
      </c>
      <c r="O69" s="69">
        <f t="shared" si="19"/>
        <v>-48239719.223982535</v>
      </c>
      <c r="P69" s="69">
        <f t="shared" si="19"/>
        <v>-47862327.194602452</v>
      </c>
      <c r="Q69" s="69">
        <f t="shared" si="19"/>
        <v>-47483048.204575464</v>
      </c>
      <c r="R69" s="69">
        <f t="shared" si="19"/>
        <v>-47101872.819098338</v>
      </c>
      <c r="S69" s="69">
        <f t="shared" si="19"/>
        <v>-46718791.556193836</v>
      </c>
      <c r="T69" s="69">
        <f t="shared" si="19"/>
        <v>-46333794.886474796</v>
      </c>
      <c r="U69" s="69">
        <f t="shared" si="19"/>
        <v>-45946873.232907176</v>
      </c>
      <c r="V69" s="69">
        <f t="shared" si="19"/>
        <v>-45558016.970571712</v>
      </c>
      <c r="W69" s="69">
        <f t="shared" si="19"/>
        <v>-45167216.426424563</v>
      </c>
      <c r="X69" s="68">
        <f t="shared" si="19"/>
        <v>-44774461.879056692</v>
      </c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s="64" customFormat="1" ht="29" customHeight="1">
      <c r="A70" s="217"/>
      <c r="B70" s="67"/>
      <c r="C70" s="231" t="s">
        <v>153</v>
      </c>
      <c r="D70" s="232"/>
      <c r="E70" s="233"/>
      <c r="F70" s="233"/>
      <c r="G70" s="233"/>
      <c r="H70" s="234">
        <f t="shared" ref="H70:X70" si="20">(H69/H92)*-1</f>
        <v>2.4984588780886902E-2</v>
      </c>
      <c r="I70" s="234">
        <f t="shared" si="20"/>
        <v>3.7484158737305831E-2</v>
      </c>
      <c r="J70" s="234">
        <f t="shared" si="20"/>
        <v>3.7714938817578099E-2</v>
      </c>
      <c r="K70" s="234">
        <f t="shared" si="20"/>
        <v>4.2395667406768506E-2</v>
      </c>
      <c r="L70" s="234">
        <f t="shared" si="20"/>
        <v>5.0378623134337885E-2</v>
      </c>
      <c r="M70" s="234">
        <f t="shared" si="20"/>
        <v>5.0383444956252722E-2</v>
      </c>
      <c r="N70" s="234">
        <f t="shared" si="20"/>
        <v>5.0388366143098329E-2</v>
      </c>
      <c r="O70" s="234">
        <f t="shared" si="20"/>
        <v>5.0393389735189184E-2</v>
      </c>
      <c r="P70" s="234">
        <f t="shared" si="20"/>
        <v>5.0398518897576718E-2</v>
      </c>
      <c r="Q70" s="234">
        <f t="shared" si="20"/>
        <v>5.0403756927602773E-2</v>
      </c>
      <c r="R70" s="234">
        <f t="shared" si="20"/>
        <v>5.0409107261317872E-2</v>
      </c>
      <c r="S70" s="234">
        <f t="shared" si="20"/>
        <v>5.0414573480853007E-2</v>
      </c>
      <c r="T70" s="234">
        <f t="shared" si="20"/>
        <v>5.0420159322266622E-2</v>
      </c>
      <c r="U70" s="234">
        <f t="shared" si="20"/>
        <v>5.0425868683903065E-2</v>
      </c>
      <c r="V70" s="234">
        <f t="shared" si="20"/>
        <v>5.0431705635301395E-2</v>
      </c>
      <c r="W70" s="234">
        <f t="shared" si="20"/>
        <v>5.0437674426697811E-2</v>
      </c>
      <c r="X70" s="66">
        <f t="shared" si="20"/>
        <v>5.0443779499168083E-2</v>
      </c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</row>
    <row r="71" spans="1:77" s="57" customFormat="1" ht="29" customHeight="1">
      <c r="A71" s="216"/>
      <c r="B71" s="63"/>
      <c r="C71" s="227"/>
      <c r="D71" s="230"/>
      <c r="E71" s="229"/>
      <c r="F71" s="229"/>
      <c r="G71" s="229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6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ht="29" customHeight="1" thickBot="1">
      <c r="B72" s="15"/>
      <c r="C72" s="226" t="s">
        <v>152</v>
      </c>
      <c r="D72" s="236"/>
      <c r="E72" s="61">
        <f t="shared" ref="E72:X72" si="21">SUM(E68:E69)</f>
        <v>-20950000</v>
      </c>
      <c r="F72" s="61">
        <f t="shared" si="21"/>
        <v>-3371620.8333333335</v>
      </c>
      <c r="G72" s="61">
        <f t="shared" si="21"/>
        <v>-3409452.4770833333</v>
      </c>
      <c r="H72" s="61">
        <f t="shared" si="21"/>
        <v>4449571.9633447919</v>
      </c>
      <c r="I72" s="61">
        <f t="shared" si="21"/>
        <v>6202419.4419429582</v>
      </c>
      <c r="J72" s="61">
        <f t="shared" si="21"/>
        <v>8790354.5629150569</v>
      </c>
      <c r="K72" s="61">
        <f t="shared" si="21"/>
        <v>13115115.655643195</v>
      </c>
      <c r="L72" s="61">
        <f t="shared" si="21"/>
        <v>74357457.804925978</v>
      </c>
      <c r="M72" s="61">
        <f t="shared" si="21"/>
        <v>74729245.093950614</v>
      </c>
      <c r="N72" s="61">
        <f t="shared" si="21"/>
        <v>75102891.319420367</v>
      </c>
      <c r="O72" s="61">
        <f t="shared" si="21"/>
        <v>75478405.776017457</v>
      </c>
      <c r="P72" s="61">
        <f t="shared" si="21"/>
        <v>75855797.80539754</v>
      </c>
      <c r="Q72" s="61">
        <f t="shared" si="21"/>
        <v>76235076.795424536</v>
      </c>
      <c r="R72" s="61">
        <f t="shared" si="21"/>
        <v>76616252.180901662</v>
      </c>
      <c r="S72" s="61">
        <f t="shared" si="21"/>
        <v>76999333.443806171</v>
      </c>
      <c r="T72" s="61">
        <f t="shared" si="21"/>
        <v>77384330.113525212</v>
      </c>
      <c r="U72" s="61">
        <f t="shared" si="21"/>
        <v>77771251.767092824</v>
      </c>
      <c r="V72" s="61">
        <f t="shared" si="21"/>
        <v>78160108.029428288</v>
      </c>
      <c r="W72" s="61">
        <f t="shared" si="21"/>
        <v>78550908.573575437</v>
      </c>
      <c r="X72" s="60">
        <f t="shared" si="21"/>
        <v>78943663.120943308</v>
      </c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</row>
    <row r="73" spans="1:77" ht="29" customHeight="1" thickTop="1">
      <c r="B73" s="15"/>
      <c r="C73" s="226"/>
      <c r="D73" s="236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59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</row>
    <row r="74" spans="1:77" ht="29" customHeight="1">
      <c r="B74" s="15"/>
      <c r="C74" s="237" t="s">
        <v>39</v>
      </c>
      <c r="D74" s="218"/>
      <c r="E74" s="238" t="s">
        <v>56</v>
      </c>
      <c r="F74" s="238" t="s">
        <v>56</v>
      </c>
      <c r="G74" s="238" t="s">
        <v>56</v>
      </c>
      <c r="H74" s="238">
        <f t="shared" ref="H74:X74" si="22">H68/H69*-1</f>
        <v>2.0176723630639963</v>
      </c>
      <c r="I74" s="238">
        <f t="shared" si="22"/>
        <v>1.4727650026706993</v>
      </c>
      <c r="J74" s="238">
        <f t="shared" si="22"/>
        <v>1.3390160682793348</v>
      </c>
      <c r="K74" s="238">
        <f t="shared" si="22"/>
        <v>1.3133519947811836</v>
      </c>
      <c r="L74" s="238">
        <f t="shared" si="22"/>
        <v>2.5064111169945154</v>
      </c>
      <c r="M74" s="238">
        <f t="shared" si="22"/>
        <v>2.5254328173509166</v>
      </c>
      <c r="N74" s="238">
        <f t="shared" si="22"/>
        <v>2.5448427505846127</v>
      </c>
      <c r="O74" s="238">
        <f t="shared" si="22"/>
        <v>2.5646526760564794</v>
      </c>
      <c r="P74" s="238">
        <f t="shared" si="22"/>
        <v>2.5848748327045823</v>
      </c>
      <c r="Q74" s="238">
        <f t="shared" si="22"/>
        <v>2.6055219636905815</v>
      </c>
      <c r="R74" s="238">
        <f t="shared" si="22"/>
        <v>2.6266073426667691</v>
      </c>
      <c r="S74" s="238">
        <f t="shared" si="22"/>
        <v>2.6481448016734461</v>
      </c>
      <c r="T74" s="238">
        <f t="shared" si="22"/>
        <v>2.6701487608154952</v>
      </c>
      <c r="U74" s="238">
        <f t="shared" si="22"/>
        <v>2.6926342598519417</v>
      </c>
      <c r="V74" s="238">
        <f t="shared" si="22"/>
        <v>2.7156169918439592</v>
      </c>
      <c r="W74" s="238">
        <f t="shared" si="22"/>
        <v>2.7391133390194957</v>
      </c>
      <c r="X74" s="58">
        <f t="shared" si="22"/>
        <v>2.763140411026789</v>
      </c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</row>
    <row r="75" spans="1:77" ht="29" customHeight="1">
      <c r="B75" s="15"/>
      <c r="C75" s="237" t="s">
        <v>40</v>
      </c>
      <c r="D75" s="218"/>
      <c r="E75" s="238" t="s">
        <v>56</v>
      </c>
      <c r="F75" s="238" t="s">
        <v>56</v>
      </c>
      <c r="G75" s="238" t="s">
        <v>56</v>
      </c>
      <c r="H75" s="238">
        <f t="shared" ref="H75:X75" si="23">+H68/(-H69-H91)</f>
        <v>2.0176723630639963</v>
      </c>
      <c r="I75" s="238">
        <f t="shared" si="23"/>
        <v>1.4727650026706993</v>
      </c>
      <c r="J75" s="238">
        <f t="shared" si="23"/>
        <v>1.3390160682793348</v>
      </c>
      <c r="K75" s="238">
        <f t="shared" si="23"/>
        <v>1.3133519947811836</v>
      </c>
      <c r="L75" s="238">
        <f t="shared" si="23"/>
        <v>2.1782735655017968</v>
      </c>
      <c r="M75" s="238">
        <f t="shared" si="23"/>
        <v>2.1911826283426108</v>
      </c>
      <c r="N75" s="238">
        <f t="shared" si="23"/>
        <v>2.2043113150724776</v>
      </c>
      <c r="O75" s="238">
        <f t="shared" si="23"/>
        <v>2.2176651110035932</v>
      </c>
      <c r="P75" s="238">
        <f t="shared" si="23"/>
        <v>2.2312496855014552</v>
      </c>
      <c r="Q75" s="238">
        <f t="shared" si="23"/>
        <v>2.2450708997340261</v>
      </c>
      <c r="R75" s="238">
        <f t="shared" si="23"/>
        <v>2.2591348148722377</v>
      </c>
      <c r="S75" s="238">
        <f t="shared" si="23"/>
        <v>2.2734477006956482</v>
      </c>
      <c r="T75" s="238">
        <f t="shared" si="23"/>
        <v>2.2880160446462967</v>
      </c>
      <c r="U75" s="238">
        <f t="shared" si="23"/>
        <v>2.302846561358225</v>
      </c>
      <c r="V75" s="238">
        <f t="shared" si="23"/>
        <v>2.3179462026920867</v>
      </c>
      <c r="W75" s="238">
        <f t="shared" si="23"/>
        <v>2.3333221683063492</v>
      </c>
      <c r="X75" s="58">
        <f t="shared" si="23"/>
        <v>2.3489819167988646</v>
      </c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</row>
    <row r="76" spans="1:77" ht="29" customHeight="1">
      <c r="B76" s="15"/>
      <c r="C76" s="218" t="s">
        <v>57</v>
      </c>
      <c r="D76" s="218"/>
      <c r="E76" s="239" t="s">
        <v>56</v>
      </c>
      <c r="F76" s="239" t="s">
        <v>56</v>
      </c>
      <c r="G76" s="239" t="s">
        <v>56</v>
      </c>
      <c r="H76" s="240">
        <f t="shared" ref="H76:X76" si="24">H68/H58</f>
        <v>0.38740222313709344</v>
      </c>
      <c r="I76" s="240">
        <f t="shared" si="24"/>
        <v>0.84849732400164679</v>
      </c>
      <c r="J76" s="240">
        <f t="shared" si="24"/>
        <v>0.59431267451936964</v>
      </c>
      <c r="K76" s="240">
        <f t="shared" si="24"/>
        <v>0.94094425008826266</v>
      </c>
      <c r="L76" s="240">
        <f t="shared" si="24"/>
        <v>0.97287056013446771</v>
      </c>
      <c r="M76" s="240">
        <f t="shared" si="24"/>
        <v>0.97287056013446771</v>
      </c>
      <c r="N76" s="240">
        <f t="shared" si="24"/>
        <v>0.97287056013446771</v>
      </c>
      <c r="O76" s="240">
        <f t="shared" si="24"/>
        <v>0.97287056013446771</v>
      </c>
      <c r="P76" s="240">
        <f t="shared" si="24"/>
        <v>0.97287056013446771</v>
      </c>
      <c r="Q76" s="240">
        <f t="shared" si="24"/>
        <v>0.97287056013446771</v>
      </c>
      <c r="R76" s="240">
        <f t="shared" si="24"/>
        <v>0.97287056013446771</v>
      </c>
      <c r="S76" s="240">
        <f t="shared" si="24"/>
        <v>0.97287056013446771</v>
      </c>
      <c r="T76" s="240">
        <f t="shared" si="24"/>
        <v>0.97287056013446771</v>
      </c>
      <c r="U76" s="240">
        <f t="shared" si="24"/>
        <v>0.97287056013446771</v>
      </c>
      <c r="V76" s="240">
        <f t="shared" si="24"/>
        <v>0.97287056013446771</v>
      </c>
      <c r="W76" s="240">
        <f t="shared" si="24"/>
        <v>0.97287056013446771</v>
      </c>
      <c r="X76" s="56">
        <f t="shared" si="24"/>
        <v>0.97287056013446771</v>
      </c>
    </row>
    <row r="77" spans="1:77" ht="29" customHeight="1">
      <c r="B77" s="15"/>
      <c r="C77" s="218"/>
      <c r="D77" s="218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241"/>
      <c r="Q77" s="241"/>
      <c r="R77" s="241"/>
      <c r="S77" s="241"/>
      <c r="T77" s="241"/>
      <c r="U77" s="241"/>
      <c r="V77" s="241"/>
      <c r="W77" s="241"/>
      <c r="X77" s="37"/>
    </row>
    <row r="78" spans="1:77" s="8" customFormat="1" ht="29" customHeight="1" thickBot="1">
      <c r="A78" s="215"/>
      <c r="B78" s="29"/>
      <c r="C78" s="28" t="s">
        <v>17</v>
      </c>
      <c r="D78" s="27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5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ht="29" customHeight="1">
      <c r="B79" s="15"/>
      <c r="C79" s="218" t="s">
        <v>18</v>
      </c>
      <c r="D79" s="218"/>
      <c r="E79" s="242">
        <v>0</v>
      </c>
      <c r="F79" s="242">
        <f t="shared" ref="F79:X79" si="25">E86</f>
        <v>156758333.33333331</v>
      </c>
      <c r="G79" s="242">
        <f t="shared" si="25"/>
        <v>81095045.833333313</v>
      </c>
      <c r="H79" s="242">
        <f t="shared" si="25"/>
        <v>5393926.6895833239</v>
      </c>
      <c r="I79" s="242">
        <f t="shared" si="25"/>
        <v>11088883.885917811</v>
      </c>
      <c r="J79" s="242">
        <f t="shared" si="25"/>
        <v>16959125.830112107</v>
      </c>
      <c r="K79" s="242">
        <f t="shared" si="25"/>
        <v>27963161.286403604</v>
      </c>
      <c r="L79" s="242">
        <f t="shared" si="25"/>
        <v>1629309.8519679755</v>
      </c>
      <c r="M79" s="242">
        <f t="shared" si="25"/>
        <v>1629309.8519679755</v>
      </c>
      <c r="N79" s="242">
        <f t="shared" si="25"/>
        <v>1629309.8519679755</v>
      </c>
      <c r="O79" s="242">
        <f t="shared" si="25"/>
        <v>1629309.8519679755</v>
      </c>
      <c r="P79" s="242">
        <f t="shared" si="25"/>
        <v>1629310.8519679755</v>
      </c>
      <c r="Q79" s="242">
        <f t="shared" si="25"/>
        <v>1629312.8519679755</v>
      </c>
      <c r="R79" s="242">
        <f t="shared" si="25"/>
        <v>1629315.8519679755</v>
      </c>
      <c r="S79" s="242">
        <f t="shared" si="25"/>
        <v>1629319.8519679755</v>
      </c>
      <c r="T79" s="242">
        <f t="shared" si="25"/>
        <v>1629324.8519679755</v>
      </c>
      <c r="U79" s="242">
        <f t="shared" si="25"/>
        <v>1629330.8519679755</v>
      </c>
      <c r="V79" s="242">
        <f t="shared" si="25"/>
        <v>1629337.8519679755</v>
      </c>
      <c r="W79" s="242">
        <f t="shared" si="25"/>
        <v>1629345.8519679755</v>
      </c>
      <c r="X79" s="46">
        <f t="shared" si="25"/>
        <v>1629354.8519679755</v>
      </c>
    </row>
    <row r="80" spans="1:77" ht="29" customHeight="1">
      <c r="B80" s="15"/>
      <c r="C80" s="218" t="s">
        <v>19</v>
      </c>
      <c r="D80" s="218"/>
      <c r="E80" s="243">
        <f>$D$38</f>
        <v>250000000</v>
      </c>
      <c r="F80" s="243">
        <v>0</v>
      </c>
      <c r="G80" s="243">
        <v>0</v>
      </c>
      <c r="H80" s="243">
        <v>0</v>
      </c>
      <c r="I80" s="243">
        <v>0</v>
      </c>
      <c r="J80" s="243">
        <v>0</v>
      </c>
      <c r="K80" s="243">
        <v>0</v>
      </c>
      <c r="L80" s="243">
        <v>0</v>
      </c>
      <c r="M80" s="243">
        <v>0</v>
      </c>
      <c r="N80" s="243">
        <v>0</v>
      </c>
      <c r="O80" s="243">
        <v>1</v>
      </c>
      <c r="P80" s="243">
        <v>2</v>
      </c>
      <c r="Q80" s="243">
        <v>3</v>
      </c>
      <c r="R80" s="243">
        <v>4</v>
      </c>
      <c r="S80" s="243">
        <v>5</v>
      </c>
      <c r="T80" s="243">
        <v>6</v>
      </c>
      <c r="U80" s="243">
        <v>7</v>
      </c>
      <c r="V80" s="243">
        <v>8</v>
      </c>
      <c r="W80" s="243">
        <v>9</v>
      </c>
      <c r="X80" s="50">
        <v>10</v>
      </c>
    </row>
    <row r="81" spans="1:77" ht="29" customHeight="1">
      <c r="B81" s="15"/>
      <c r="C81" s="218" t="s">
        <v>58</v>
      </c>
      <c r="D81" s="218"/>
      <c r="E81" s="243">
        <f t="shared" ref="E81:X81" si="26">E90</f>
        <v>0</v>
      </c>
      <c r="F81" s="243">
        <f t="shared" si="26"/>
        <v>0</v>
      </c>
      <c r="G81" s="243">
        <f t="shared" si="26"/>
        <v>0</v>
      </c>
      <c r="H81" s="243">
        <f t="shared" si="26"/>
        <v>175000000</v>
      </c>
      <c r="I81" s="243">
        <f t="shared" si="26"/>
        <v>175000000</v>
      </c>
      <c r="J81" s="243">
        <f t="shared" si="26"/>
        <v>337500000</v>
      </c>
      <c r="K81" s="243">
        <f>K90</f>
        <v>299729637.00000006</v>
      </c>
      <c r="L81" s="243">
        <f t="shared" si="26"/>
        <v>0</v>
      </c>
      <c r="M81" s="243">
        <f t="shared" si="26"/>
        <v>0</v>
      </c>
      <c r="N81" s="243">
        <f t="shared" si="26"/>
        <v>0</v>
      </c>
      <c r="O81" s="243">
        <f t="shared" si="26"/>
        <v>0</v>
      </c>
      <c r="P81" s="243">
        <f t="shared" si="26"/>
        <v>0</v>
      </c>
      <c r="Q81" s="243">
        <f t="shared" si="26"/>
        <v>0</v>
      </c>
      <c r="R81" s="243">
        <f t="shared" si="26"/>
        <v>0</v>
      </c>
      <c r="S81" s="243">
        <f t="shared" si="26"/>
        <v>0</v>
      </c>
      <c r="T81" s="243">
        <f t="shared" si="26"/>
        <v>0</v>
      </c>
      <c r="U81" s="243">
        <f t="shared" si="26"/>
        <v>0</v>
      </c>
      <c r="V81" s="243">
        <f t="shared" si="26"/>
        <v>0</v>
      </c>
      <c r="W81" s="243">
        <f t="shared" si="26"/>
        <v>0</v>
      </c>
      <c r="X81" s="50">
        <f t="shared" si="26"/>
        <v>0</v>
      </c>
    </row>
    <row r="82" spans="1:77" ht="29" customHeight="1">
      <c r="B82" s="15"/>
      <c r="C82" s="218" t="s">
        <v>21</v>
      </c>
      <c r="D82" s="218"/>
      <c r="E82" s="243">
        <f t="shared" ref="E82:X82" si="27">-E100+E96</f>
        <v>-72291666.666666672</v>
      </c>
      <c r="F82" s="243">
        <f t="shared" si="27"/>
        <v>-72291666.666666672</v>
      </c>
      <c r="G82" s="243">
        <f t="shared" si="27"/>
        <v>-72291666.666666657</v>
      </c>
      <c r="H82" s="243">
        <f t="shared" si="27"/>
        <v>-169750000</v>
      </c>
      <c r="I82" s="243">
        <f t="shared" si="27"/>
        <v>-169750000</v>
      </c>
      <c r="J82" s="243">
        <f t="shared" si="27"/>
        <v>-327375000</v>
      </c>
      <c r="K82" s="243">
        <f t="shared" si="27"/>
        <v>-327375000</v>
      </c>
      <c r="L82" s="243">
        <f t="shared" si="27"/>
        <v>0</v>
      </c>
      <c r="M82" s="243">
        <f t="shared" si="27"/>
        <v>0</v>
      </c>
      <c r="N82" s="243">
        <f t="shared" si="27"/>
        <v>0</v>
      </c>
      <c r="O82" s="243">
        <f t="shared" si="27"/>
        <v>0</v>
      </c>
      <c r="P82" s="243">
        <f t="shared" si="27"/>
        <v>0</v>
      </c>
      <c r="Q82" s="243">
        <f t="shared" si="27"/>
        <v>0</v>
      </c>
      <c r="R82" s="243">
        <f t="shared" si="27"/>
        <v>0</v>
      </c>
      <c r="S82" s="243">
        <f t="shared" si="27"/>
        <v>0</v>
      </c>
      <c r="T82" s="243">
        <f t="shared" si="27"/>
        <v>0</v>
      </c>
      <c r="U82" s="243">
        <f t="shared" si="27"/>
        <v>0</v>
      </c>
      <c r="V82" s="243">
        <f t="shared" si="27"/>
        <v>0</v>
      </c>
      <c r="W82" s="243">
        <f t="shared" si="27"/>
        <v>0</v>
      </c>
      <c r="X82" s="50">
        <f t="shared" si="27"/>
        <v>0</v>
      </c>
    </row>
    <row r="83" spans="1:77" ht="29" customHeight="1">
      <c r="B83" s="15"/>
      <c r="C83" s="218" t="s">
        <v>29</v>
      </c>
      <c r="D83" s="218"/>
      <c r="E83" s="243">
        <f t="shared" ref="E83:X83" si="28">E91</f>
        <v>0</v>
      </c>
      <c r="F83" s="243">
        <f t="shared" si="28"/>
        <v>0</v>
      </c>
      <c r="G83" s="243">
        <f t="shared" si="28"/>
        <v>0</v>
      </c>
      <c r="H83" s="243">
        <f t="shared" si="28"/>
        <v>0</v>
      </c>
      <c r="I83" s="243">
        <f t="shared" si="28"/>
        <v>0</v>
      </c>
      <c r="J83" s="243">
        <f t="shared" si="28"/>
        <v>0</v>
      </c>
      <c r="K83" s="243">
        <f t="shared" si="28"/>
        <v>0</v>
      </c>
      <c r="L83" s="243">
        <f t="shared" si="28"/>
        <v>-7435745.7804925982</v>
      </c>
      <c r="M83" s="243">
        <f t="shared" si="28"/>
        <v>-7472924.509395062</v>
      </c>
      <c r="N83" s="243">
        <f t="shared" si="28"/>
        <v>-7510289.1319420375</v>
      </c>
      <c r="O83" s="243">
        <f t="shared" si="28"/>
        <v>-7547840.5776017457</v>
      </c>
      <c r="P83" s="243">
        <f t="shared" si="28"/>
        <v>-7585579.7805397548</v>
      </c>
      <c r="Q83" s="243">
        <f t="shared" si="28"/>
        <v>-7623507.679542454</v>
      </c>
      <c r="R83" s="243">
        <f t="shared" si="28"/>
        <v>-7661625.2180901663</v>
      </c>
      <c r="S83" s="243">
        <f t="shared" si="28"/>
        <v>-7699933.3443806171</v>
      </c>
      <c r="T83" s="243">
        <f t="shared" si="28"/>
        <v>-7738433.0113525214</v>
      </c>
      <c r="U83" s="243">
        <f t="shared" si="28"/>
        <v>-7777125.1767092831</v>
      </c>
      <c r="V83" s="243">
        <f t="shared" si="28"/>
        <v>-7816010.8029428292</v>
      </c>
      <c r="W83" s="243">
        <f t="shared" si="28"/>
        <v>-7855090.8573575439</v>
      </c>
      <c r="X83" s="50">
        <f t="shared" si="28"/>
        <v>-7894366.3120943308</v>
      </c>
    </row>
    <row r="84" spans="1:77" ht="29" customHeight="1">
      <c r="B84" s="15"/>
      <c r="C84" s="218" t="s">
        <v>36</v>
      </c>
      <c r="D84" s="218"/>
      <c r="E84" s="243">
        <f t="shared" ref="E84:X84" si="29">-E120</f>
        <v>0</v>
      </c>
      <c r="F84" s="243">
        <f t="shared" si="29"/>
        <v>0</v>
      </c>
      <c r="G84" s="243">
        <f t="shared" si="29"/>
        <v>0</v>
      </c>
      <c r="H84" s="243">
        <f t="shared" si="29"/>
        <v>-4004614.767010313</v>
      </c>
      <c r="I84" s="243">
        <f t="shared" si="29"/>
        <v>-5582177.4977486627</v>
      </c>
      <c r="J84" s="243">
        <f t="shared" si="29"/>
        <v>-7911319.1066235518</v>
      </c>
      <c r="K84" s="243">
        <f t="shared" si="29"/>
        <v>-11803604.090078875</v>
      </c>
      <c r="L84" s="243">
        <f t="shared" si="29"/>
        <v>-66921712.024433382</v>
      </c>
      <c r="M84" s="243">
        <f t="shared" si="29"/>
        <v>-67256320.584555551</v>
      </c>
      <c r="N84" s="243">
        <f t="shared" si="29"/>
        <v>-67592602.187478334</v>
      </c>
      <c r="O84" s="243">
        <f t="shared" si="29"/>
        <v>-67930565.198415712</v>
      </c>
      <c r="P84" s="243">
        <f t="shared" si="29"/>
        <v>-68270218.024857789</v>
      </c>
      <c r="Q84" s="243">
        <f t="shared" si="29"/>
        <v>-68611569.115882084</v>
      </c>
      <c r="R84" s="243">
        <f t="shared" si="29"/>
        <v>-68954626.9628115</v>
      </c>
      <c r="S84" s="243">
        <f t="shared" si="29"/>
        <v>-69299400.099425554</v>
      </c>
      <c r="T84" s="243">
        <f t="shared" si="29"/>
        <v>-69645897.102172688</v>
      </c>
      <c r="U84" s="243">
        <f t="shared" si="29"/>
        <v>-69994126.590383545</v>
      </c>
      <c r="V84" s="243">
        <f t="shared" si="29"/>
        <v>-70344097.226485461</v>
      </c>
      <c r="W84" s="243">
        <f t="shared" si="29"/>
        <v>-70695817.71621789</v>
      </c>
      <c r="X84" s="50">
        <f t="shared" si="29"/>
        <v>-71049296.808848977</v>
      </c>
    </row>
    <row r="85" spans="1:77" ht="29" customHeight="1">
      <c r="B85" s="15"/>
      <c r="C85" s="218" t="str">
        <f>+C72</f>
        <v>Funding from operations</v>
      </c>
      <c r="D85" s="218"/>
      <c r="E85" s="243">
        <f t="shared" ref="E85:X85" si="30">E72</f>
        <v>-20950000</v>
      </c>
      <c r="F85" s="243">
        <f t="shared" si="30"/>
        <v>-3371620.8333333335</v>
      </c>
      <c r="G85" s="243">
        <f t="shared" si="30"/>
        <v>-3409452.4770833333</v>
      </c>
      <c r="H85" s="243">
        <f t="shared" si="30"/>
        <v>4449571.9633447919</v>
      </c>
      <c r="I85" s="243">
        <f t="shared" si="30"/>
        <v>6202419.4419429582</v>
      </c>
      <c r="J85" s="243">
        <f t="shared" si="30"/>
        <v>8790354.5629150569</v>
      </c>
      <c r="K85" s="243">
        <f t="shared" si="30"/>
        <v>13115115.655643195</v>
      </c>
      <c r="L85" s="243">
        <f t="shared" si="30"/>
        <v>74357457.804925978</v>
      </c>
      <c r="M85" s="243">
        <f t="shared" si="30"/>
        <v>74729245.093950614</v>
      </c>
      <c r="N85" s="243">
        <f t="shared" si="30"/>
        <v>75102891.319420367</v>
      </c>
      <c r="O85" s="243">
        <f t="shared" si="30"/>
        <v>75478405.776017457</v>
      </c>
      <c r="P85" s="243">
        <f t="shared" si="30"/>
        <v>75855797.80539754</v>
      </c>
      <c r="Q85" s="243">
        <f t="shared" si="30"/>
        <v>76235076.795424536</v>
      </c>
      <c r="R85" s="243">
        <f t="shared" si="30"/>
        <v>76616252.180901662</v>
      </c>
      <c r="S85" s="243">
        <f t="shared" si="30"/>
        <v>76999333.443806171</v>
      </c>
      <c r="T85" s="243">
        <f t="shared" si="30"/>
        <v>77384330.113525212</v>
      </c>
      <c r="U85" s="243">
        <f t="shared" si="30"/>
        <v>77771251.767092824</v>
      </c>
      <c r="V85" s="243">
        <f t="shared" si="30"/>
        <v>78160108.029428288</v>
      </c>
      <c r="W85" s="243">
        <f t="shared" si="30"/>
        <v>78550908.573575437</v>
      </c>
      <c r="X85" s="50">
        <f t="shared" si="30"/>
        <v>78943663.120943308</v>
      </c>
    </row>
    <row r="86" spans="1:77" ht="29" customHeight="1">
      <c r="B86" s="15"/>
      <c r="C86" s="49" t="s">
        <v>20</v>
      </c>
      <c r="D86" s="49"/>
      <c r="E86" s="48">
        <f t="shared" ref="E86:X86" si="31">SUM(E79:E85)</f>
        <v>156758333.33333331</v>
      </c>
      <c r="F86" s="48">
        <f t="shared" si="31"/>
        <v>81095045.833333313</v>
      </c>
      <c r="G86" s="48">
        <f t="shared" si="31"/>
        <v>5393926.6895833239</v>
      </c>
      <c r="H86" s="48">
        <f t="shared" si="31"/>
        <v>11088883.885917811</v>
      </c>
      <c r="I86" s="48">
        <f t="shared" si="31"/>
        <v>16959125.830112107</v>
      </c>
      <c r="J86" s="48">
        <f t="shared" si="31"/>
        <v>27963161.286403604</v>
      </c>
      <c r="K86" s="48">
        <f t="shared" si="31"/>
        <v>1629309.8519679755</v>
      </c>
      <c r="L86" s="48">
        <f t="shared" si="31"/>
        <v>1629309.8519679755</v>
      </c>
      <c r="M86" s="48">
        <f t="shared" si="31"/>
        <v>1629309.8519679755</v>
      </c>
      <c r="N86" s="48">
        <f t="shared" si="31"/>
        <v>1629309.8519679755</v>
      </c>
      <c r="O86" s="48">
        <f t="shared" si="31"/>
        <v>1629310.8519679755</v>
      </c>
      <c r="P86" s="48">
        <f t="shared" si="31"/>
        <v>1629312.8519679755</v>
      </c>
      <c r="Q86" s="48">
        <f t="shared" si="31"/>
        <v>1629315.8519679755</v>
      </c>
      <c r="R86" s="48">
        <f t="shared" si="31"/>
        <v>1629319.8519679755</v>
      </c>
      <c r="S86" s="48">
        <f t="shared" si="31"/>
        <v>1629324.8519679755</v>
      </c>
      <c r="T86" s="48">
        <f t="shared" si="31"/>
        <v>1629330.8519679755</v>
      </c>
      <c r="U86" s="48">
        <f t="shared" si="31"/>
        <v>1629337.8519679755</v>
      </c>
      <c r="V86" s="48">
        <f t="shared" si="31"/>
        <v>1629345.8519679755</v>
      </c>
      <c r="W86" s="48">
        <f t="shared" si="31"/>
        <v>1629354.8519679755</v>
      </c>
      <c r="X86" s="47">
        <f t="shared" si="31"/>
        <v>1629364.8519679755</v>
      </c>
    </row>
    <row r="87" spans="1:77" ht="29" customHeight="1">
      <c r="B87" s="15"/>
      <c r="C87" s="218"/>
      <c r="D87" s="218"/>
      <c r="E87" s="241"/>
      <c r="F87" s="241"/>
      <c r="G87" s="55"/>
      <c r="H87" s="241"/>
      <c r="I87" s="241"/>
      <c r="J87" s="241"/>
      <c r="K87" s="241"/>
      <c r="L87" s="241"/>
      <c r="M87" s="241"/>
      <c r="N87" s="241"/>
      <c r="O87" s="241"/>
      <c r="P87" s="241"/>
      <c r="Q87" s="241"/>
      <c r="R87" s="241"/>
      <c r="S87" s="241"/>
      <c r="T87" s="241"/>
      <c r="U87" s="241"/>
      <c r="V87" s="241"/>
      <c r="W87" s="241"/>
      <c r="X87" s="37"/>
    </row>
    <row r="88" spans="1:77" s="8" customFormat="1" ht="29" customHeight="1" thickBot="1">
      <c r="A88" s="215"/>
      <c r="B88" s="29"/>
      <c r="C88" s="28" t="s">
        <v>41</v>
      </c>
      <c r="D88" s="27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5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1:77" ht="29" customHeight="1">
      <c r="B89" s="15"/>
      <c r="C89" s="218" t="s">
        <v>22</v>
      </c>
      <c r="D89" s="218"/>
      <c r="E89" s="45">
        <v>0</v>
      </c>
      <c r="F89" s="45">
        <f t="shared" ref="F89:X89" si="32">E92</f>
        <v>0</v>
      </c>
      <c r="G89" s="45">
        <f t="shared" si="32"/>
        <v>0</v>
      </c>
      <c r="H89" s="45">
        <f t="shared" si="32"/>
        <v>0</v>
      </c>
      <c r="I89" s="45">
        <f t="shared" si="32"/>
        <v>175000000</v>
      </c>
      <c r="J89" s="45">
        <f t="shared" si="32"/>
        <v>350000000</v>
      </c>
      <c r="K89" s="45">
        <f t="shared" si="32"/>
        <v>687500000</v>
      </c>
      <c r="L89" s="45">
        <f t="shared" si="32"/>
        <v>987229637</v>
      </c>
      <c r="M89" s="45">
        <f t="shared" si="32"/>
        <v>979793891.21950746</v>
      </c>
      <c r="N89" s="45">
        <f t="shared" si="32"/>
        <v>972320966.71011245</v>
      </c>
      <c r="O89" s="45">
        <f t="shared" si="32"/>
        <v>964810677.57817042</v>
      </c>
      <c r="P89" s="45">
        <f t="shared" si="32"/>
        <v>957262837.00056863</v>
      </c>
      <c r="Q89" s="45">
        <f t="shared" si="32"/>
        <v>949677257.22002888</v>
      </c>
      <c r="R89" s="45">
        <f t="shared" si="32"/>
        <v>942053749.54048645</v>
      </c>
      <c r="S89" s="45">
        <f t="shared" si="32"/>
        <v>934392124.32239628</v>
      </c>
      <c r="T89" s="45">
        <f t="shared" si="32"/>
        <v>926692190.97801566</v>
      </c>
      <c r="U89" s="45">
        <f t="shared" si="32"/>
        <v>918953757.96666312</v>
      </c>
      <c r="V89" s="45">
        <f t="shared" si="32"/>
        <v>911176632.78995383</v>
      </c>
      <c r="W89" s="45">
        <f t="shared" si="32"/>
        <v>903360621.98701096</v>
      </c>
      <c r="X89" s="44">
        <f t="shared" si="32"/>
        <v>895505531.12965345</v>
      </c>
    </row>
    <row r="90" spans="1:77" ht="29" customHeight="1">
      <c r="B90" s="15"/>
      <c r="C90" s="218" t="s">
        <v>23</v>
      </c>
      <c r="D90" s="218"/>
      <c r="E90" s="243">
        <v>0</v>
      </c>
      <c r="F90" s="243">
        <v>0</v>
      </c>
      <c r="G90" s="243">
        <v>0</v>
      </c>
      <c r="H90" s="243">
        <f>+E48/2</f>
        <v>175000000</v>
      </c>
      <c r="I90" s="243">
        <f>+E48/2</f>
        <v>175000000</v>
      </c>
      <c r="J90" s="243">
        <f>+E49/2</f>
        <v>337500000</v>
      </c>
      <c r="K90" s="243">
        <f>SUM(K97:K99)-ROUND(J86,)+D33-816+(80201-12030+443)</f>
        <v>299729637.00000006</v>
      </c>
      <c r="L90" s="243">
        <v>0</v>
      </c>
      <c r="M90" s="243">
        <f t="shared" ref="M90:X90" si="33">SUM(M97:M99)</f>
        <v>0</v>
      </c>
      <c r="N90" s="243">
        <f t="shared" si="33"/>
        <v>0</v>
      </c>
      <c r="O90" s="243">
        <f t="shared" si="33"/>
        <v>0</v>
      </c>
      <c r="P90" s="243">
        <f t="shared" si="33"/>
        <v>0</v>
      </c>
      <c r="Q90" s="243">
        <f t="shared" si="33"/>
        <v>0</v>
      </c>
      <c r="R90" s="243">
        <f t="shared" si="33"/>
        <v>0</v>
      </c>
      <c r="S90" s="243">
        <f t="shared" si="33"/>
        <v>0</v>
      </c>
      <c r="T90" s="243">
        <f t="shared" si="33"/>
        <v>0</v>
      </c>
      <c r="U90" s="243">
        <f t="shared" si="33"/>
        <v>0</v>
      </c>
      <c r="V90" s="243">
        <f t="shared" si="33"/>
        <v>0</v>
      </c>
      <c r="W90" s="243">
        <f t="shared" si="33"/>
        <v>0</v>
      </c>
      <c r="X90" s="50">
        <f t="shared" si="33"/>
        <v>0</v>
      </c>
    </row>
    <row r="91" spans="1:77" ht="29" customHeight="1">
      <c r="B91" s="15"/>
      <c r="C91" s="218" t="s">
        <v>24</v>
      </c>
      <c r="D91" s="218"/>
      <c r="E91" s="243">
        <v>0</v>
      </c>
      <c r="F91" s="243">
        <v>0</v>
      </c>
      <c r="G91" s="243">
        <v>0</v>
      </c>
      <c r="H91" s="243">
        <v>0</v>
      </c>
      <c r="I91" s="225"/>
      <c r="J91" s="225"/>
      <c r="K91" s="225"/>
      <c r="L91" s="225">
        <f t="shared" ref="L91:X91" si="34">-L72*$D31</f>
        <v>-7435745.7804925982</v>
      </c>
      <c r="M91" s="225">
        <f t="shared" si="34"/>
        <v>-7472924.509395062</v>
      </c>
      <c r="N91" s="225">
        <f t="shared" si="34"/>
        <v>-7510289.1319420375</v>
      </c>
      <c r="O91" s="225">
        <f t="shared" si="34"/>
        <v>-7547840.5776017457</v>
      </c>
      <c r="P91" s="225">
        <f t="shared" si="34"/>
        <v>-7585579.7805397548</v>
      </c>
      <c r="Q91" s="225">
        <f t="shared" si="34"/>
        <v>-7623507.679542454</v>
      </c>
      <c r="R91" s="225">
        <f t="shared" si="34"/>
        <v>-7661625.2180901663</v>
      </c>
      <c r="S91" s="225">
        <f t="shared" si="34"/>
        <v>-7699933.3443806171</v>
      </c>
      <c r="T91" s="225">
        <f t="shared" si="34"/>
        <v>-7738433.0113525214</v>
      </c>
      <c r="U91" s="225">
        <f t="shared" si="34"/>
        <v>-7777125.1767092831</v>
      </c>
      <c r="V91" s="225">
        <f t="shared" si="34"/>
        <v>-7816010.8029428292</v>
      </c>
      <c r="W91" s="225">
        <f t="shared" si="34"/>
        <v>-7855090.8573575439</v>
      </c>
      <c r="X91" s="54">
        <f t="shared" si="34"/>
        <v>-7894366.3120943308</v>
      </c>
    </row>
    <row r="92" spans="1:77" s="51" customFormat="1" ht="29" customHeight="1">
      <c r="A92" s="215"/>
      <c r="B92" s="53"/>
      <c r="C92" s="52" t="s">
        <v>25</v>
      </c>
      <c r="D92" s="52"/>
      <c r="E92" s="48">
        <f t="shared" ref="E92:X92" si="35">SUM(E89:E91)</f>
        <v>0</v>
      </c>
      <c r="F92" s="48">
        <f t="shared" si="35"/>
        <v>0</v>
      </c>
      <c r="G92" s="48">
        <f t="shared" si="35"/>
        <v>0</v>
      </c>
      <c r="H92" s="48">
        <f t="shared" si="35"/>
        <v>175000000</v>
      </c>
      <c r="I92" s="48">
        <f t="shared" si="35"/>
        <v>350000000</v>
      </c>
      <c r="J92" s="48">
        <f t="shared" si="35"/>
        <v>687500000</v>
      </c>
      <c r="K92" s="48">
        <f t="shared" si="35"/>
        <v>987229637</v>
      </c>
      <c r="L92" s="48">
        <f t="shared" si="35"/>
        <v>979793891.21950746</v>
      </c>
      <c r="M92" s="48">
        <f t="shared" si="35"/>
        <v>972320966.71011245</v>
      </c>
      <c r="N92" s="48">
        <f t="shared" si="35"/>
        <v>964810677.57817042</v>
      </c>
      <c r="O92" s="48">
        <f t="shared" si="35"/>
        <v>957262837.00056863</v>
      </c>
      <c r="P92" s="48">
        <f t="shared" si="35"/>
        <v>949677257.22002888</v>
      </c>
      <c r="Q92" s="48">
        <f t="shared" si="35"/>
        <v>942053749.54048645</v>
      </c>
      <c r="R92" s="48">
        <f t="shared" si="35"/>
        <v>934392124.32239628</v>
      </c>
      <c r="S92" s="48">
        <f t="shared" si="35"/>
        <v>926692190.97801566</v>
      </c>
      <c r="T92" s="48">
        <f t="shared" si="35"/>
        <v>918953757.96666312</v>
      </c>
      <c r="U92" s="48">
        <f t="shared" si="35"/>
        <v>911176632.78995383</v>
      </c>
      <c r="V92" s="48">
        <f t="shared" si="35"/>
        <v>903360621.98701096</v>
      </c>
      <c r="W92" s="48">
        <f t="shared" si="35"/>
        <v>895505531.12965345</v>
      </c>
      <c r="X92" s="44">
        <f t="shared" si="35"/>
        <v>887611164.81755912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1:77" ht="29" customHeight="1">
      <c r="B93" s="15"/>
      <c r="C93" s="218"/>
      <c r="D93" s="218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4"/>
    </row>
    <row r="94" spans="1:77" ht="29" customHeight="1">
      <c r="B94" s="15"/>
      <c r="C94" s="218"/>
      <c r="D94" s="218"/>
      <c r="E94" s="241"/>
      <c r="F94" s="241"/>
      <c r="G94" s="241"/>
      <c r="H94" s="241"/>
      <c r="I94" s="241"/>
      <c r="J94" s="241"/>
      <c r="K94" s="241"/>
      <c r="L94" s="241"/>
      <c r="M94" s="241"/>
      <c r="N94" s="241"/>
      <c r="O94" s="241"/>
      <c r="P94" s="241"/>
      <c r="Q94" s="241"/>
      <c r="R94" s="241"/>
      <c r="S94" s="241"/>
      <c r="T94" s="241"/>
      <c r="U94" s="241"/>
      <c r="V94" s="241"/>
      <c r="W94" s="241"/>
      <c r="X94" s="37"/>
    </row>
    <row r="95" spans="1:77" s="8" customFormat="1" ht="29" customHeight="1" thickBot="1">
      <c r="A95" s="215"/>
      <c r="B95" s="29"/>
      <c r="C95" s="28" t="s">
        <v>30</v>
      </c>
      <c r="D95" s="27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5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1:77" ht="29" customHeight="1">
      <c r="B96" s="15"/>
      <c r="C96" s="218" t="s">
        <v>26</v>
      </c>
      <c r="D96" s="218"/>
      <c r="E96" s="243">
        <v>0</v>
      </c>
      <c r="F96" s="243">
        <f t="shared" ref="F96:X96" si="36">E100</f>
        <v>72291666.666666672</v>
      </c>
      <c r="G96" s="243">
        <f t="shared" si="36"/>
        <v>144583333.33333334</v>
      </c>
      <c r="H96" s="243">
        <f t="shared" si="36"/>
        <v>216875000</v>
      </c>
      <c r="I96" s="243">
        <f t="shared" si="36"/>
        <v>386625000</v>
      </c>
      <c r="J96" s="243">
        <f t="shared" si="36"/>
        <v>556375000</v>
      </c>
      <c r="K96" s="243">
        <f t="shared" si="36"/>
        <v>883750000</v>
      </c>
      <c r="L96" s="243">
        <f t="shared" si="36"/>
        <v>1211125000</v>
      </c>
      <c r="M96" s="243">
        <f t="shared" si="36"/>
        <v>1211125000</v>
      </c>
      <c r="N96" s="243">
        <f t="shared" si="36"/>
        <v>1211125000</v>
      </c>
      <c r="O96" s="243">
        <f t="shared" si="36"/>
        <v>1211125000</v>
      </c>
      <c r="P96" s="243">
        <f t="shared" si="36"/>
        <v>1211125000</v>
      </c>
      <c r="Q96" s="243">
        <f t="shared" si="36"/>
        <v>1211125000</v>
      </c>
      <c r="R96" s="243">
        <f t="shared" si="36"/>
        <v>1211125000</v>
      </c>
      <c r="S96" s="243">
        <f t="shared" si="36"/>
        <v>1211125000</v>
      </c>
      <c r="T96" s="243">
        <f t="shared" si="36"/>
        <v>1211125000</v>
      </c>
      <c r="U96" s="243">
        <f t="shared" si="36"/>
        <v>1211125000</v>
      </c>
      <c r="V96" s="243">
        <f t="shared" si="36"/>
        <v>1211125000</v>
      </c>
      <c r="W96" s="243">
        <f t="shared" si="36"/>
        <v>1211125000</v>
      </c>
      <c r="X96" s="50">
        <f t="shared" si="36"/>
        <v>1211125000</v>
      </c>
    </row>
    <row r="97" spans="1:77" ht="29" customHeight="1">
      <c r="B97" s="15"/>
      <c r="C97" s="218" t="str">
        <f>+C6</f>
        <v>Phase 1 - initial funding for capital assets</v>
      </c>
      <c r="D97" s="218"/>
      <c r="E97" s="243">
        <f>($F$6*$E$6)/$D6</f>
        <v>72291666.666666672</v>
      </c>
      <c r="F97" s="243">
        <f>($F$6*$E$6)/$D6</f>
        <v>72291666.666666672</v>
      </c>
      <c r="G97" s="243">
        <f>($F$6*$E$6)/$D6</f>
        <v>72291666.666666672</v>
      </c>
      <c r="H97" s="243">
        <v>0</v>
      </c>
      <c r="I97" s="243">
        <v>0</v>
      </c>
      <c r="J97" s="243">
        <v>0</v>
      </c>
      <c r="K97" s="243">
        <v>0</v>
      </c>
      <c r="L97" s="243">
        <v>0</v>
      </c>
      <c r="M97" s="243">
        <v>0</v>
      </c>
      <c r="N97" s="243">
        <v>0</v>
      </c>
      <c r="O97" s="243">
        <v>0</v>
      </c>
      <c r="P97" s="243">
        <v>0</v>
      </c>
      <c r="Q97" s="243">
        <v>0</v>
      </c>
      <c r="R97" s="243">
        <v>0</v>
      </c>
      <c r="S97" s="243">
        <v>0</v>
      </c>
      <c r="T97" s="243">
        <v>0</v>
      </c>
      <c r="U97" s="243">
        <v>0</v>
      </c>
      <c r="V97" s="243">
        <v>0</v>
      </c>
      <c r="W97" s="243">
        <v>0</v>
      </c>
      <c r="X97" s="50">
        <v>0</v>
      </c>
    </row>
    <row r="98" spans="1:77" ht="29" customHeight="1">
      <c r="B98" s="15"/>
      <c r="C98" s="218" t="str">
        <f>+C7</f>
        <v>Phase 2 - first financing</v>
      </c>
      <c r="D98" s="218"/>
      <c r="E98" s="243">
        <v>0</v>
      </c>
      <c r="F98" s="243">
        <v>0</v>
      </c>
      <c r="G98" s="243">
        <v>0</v>
      </c>
      <c r="H98" s="243">
        <f>($F$7*$E$7)/$D7</f>
        <v>169750000</v>
      </c>
      <c r="I98" s="243">
        <f>($F$7*$E$7)/$D7</f>
        <v>169750000</v>
      </c>
      <c r="J98" s="243">
        <v>0</v>
      </c>
      <c r="K98" s="243">
        <v>0</v>
      </c>
      <c r="L98" s="243">
        <v>0</v>
      </c>
      <c r="M98" s="243">
        <v>0</v>
      </c>
      <c r="N98" s="243">
        <v>0</v>
      </c>
      <c r="O98" s="243">
        <v>0</v>
      </c>
      <c r="P98" s="243">
        <v>0</v>
      </c>
      <c r="Q98" s="243">
        <v>0</v>
      </c>
      <c r="R98" s="243">
        <v>0</v>
      </c>
      <c r="S98" s="243">
        <v>0</v>
      </c>
      <c r="T98" s="243">
        <v>0</v>
      </c>
      <c r="U98" s="243">
        <v>0</v>
      </c>
      <c r="V98" s="243">
        <v>0</v>
      </c>
      <c r="W98" s="243">
        <v>0</v>
      </c>
      <c r="X98" s="50">
        <v>0</v>
      </c>
    </row>
    <row r="99" spans="1:77" ht="29" customHeight="1">
      <c r="B99" s="15"/>
      <c r="C99" s="218" t="str">
        <f>+C8</f>
        <v>Phase 3 - second financing</v>
      </c>
      <c r="D99" s="218"/>
      <c r="E99" s="243">
        <v>0</v>
      </c>
      <c r="F99" s="243">
        <v>0</v>
      </c>
      <c r="G99" s="243">
        <v>0</v>
      </c>
      <c r="H99" s="243">
        <v>0</v>
      </c>
      <c r="I99" s="243">
        <v>0</v>
      </c>
      <c r="J99" s="243">
        <f>($F8*$E8)/$D8</f>
        <v>327375000.00000006</v>
      </c>
      <c r="K99" s="243">
        <f>($F8*$E8)/$D8</f>
        <v>327375000.00000006</v>
      </c>
      <c r="L99" s="243">
        <v>0</v>
      </c>
      <c r="M99" s="243">
        <v>0</v>
      </c>
      <c r="N99" s="243">
        <v>0</v>
      </c>
      <c r="O99" s="243">
        <v>0</v>
      </c>
      <c r="P99" s="243">
        <v>0</v>
      </c>
      <c r="Q99" s="243">
        <v>0</v>
      </c>
      <c r="R99" s="243">
        <v>0</v>
      </c>
      <c r="S99" s="243">
        <v>0</v>
      </c>
      <c r="T99" s="243">
        <v>0</v>
      </c>
      <c r="U99" s="243">
        <v>0</v>
      </c>
      <c r="V99" s="243">
        <v>0</v>
      </c>
      <c r="W99" s="243">
        <v>0</v>
      </c>
      <c r="X99" s="50">
        <v>0</v>
      </c>
    </row>
    <row r="100" spans="1:77" ht="29" customHeight="1">
      <c r="B100" s="15"/>
      <c r="C100" s="49" t="s">
        <v>27</v>
      </c>
      <c r="D100" s="49"/>
      <c r="E100" s="48">
        <f t="shared" ref="E100:X100" si="37">SUM(E96:E99)</f>
        <v>72291666.666666672</v>
      </c>
      <c r="F100" s="48">
        <f t="shared" si="37"/>
        <v>144583333.33333334</v>
      </c>
      <c r="G100" s="48">
        <f t="shared" si="37"/>
        <v>216875000</v>
      </c>
      <c r="H100" s="48">
        <f t="shared" si="37"/>
        <v>386625000</v>
      </c>
      <c r="I100" s="48">
        <f t="shared" si="37"/>
        <v>556375000</v>
      </c>
      <c r="J100" s="48">
        <f t="shared" si="37"/>
        <v>883750000</v>
      </c>
      <c r="K100" s="48">
        <f t="shared" si="37"/>
        <v>1211125000</v>
      </c>
      <c r="L100" s="48">
        <f t="shared" si="37"/>
        <v>1211125000</v>
      </c>
      <c r="M100" s="48">
        <f t="shared" si="37"/>
        <v>1211125000</v>
      </c>
      <c r="N100" s="48">
        <f t="shared" si="37"/>
        <v>1211125000</v>
      </c>
      <c r="O100" s="48">
        <f t="shared" si="37"/>
        <v>1211125000</v>
      </c>
      <c r="P100" s="48">
        <f t="shared" si="37"/>
        <v>1211125000</v>
      </c>
      <c r="Q100" s="48">
        <f t="shared" si="37"/>
        <v>1211125000</v>
      </c>
      <c r="R100" s="48">
        <f t="shared" si="37"/>
        <v>1211125000</v>
      </c>
      <c r="S100" s="48">
        <f t="shared" si="37"/>
        <v>1211125000</v>
      </c>
      <c r="T100" s="48">
        <f t="shared" si="37"/>
        <v>1211125000</v>
      </c>
      <c r="U100" s="48">
        <f t="shared" si="37"/>
        <v>1211125000</v>
      </c>
      <c r="V100" s="48">
        <f t="shared" si="37"/>
        <v>1211125000</v>
      </c>
      <c r="W100" s="48">
        <f t="shared" si="37"/>
        <v>1211125000</v>
      </c>
      <c r="X100" s="47">
        <f t="shared" si="37"/>
        <v>1211125000</v>
      </c>
    </row>
    <row r="101" spans="1:77" ht="29" customHeight="1">
      <c r="B101" s="15"/>
      <c r="C101" s="43"/>
      <c r="D101" s="43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4"/>
    </row>
    <row r="102" spans="1:77" ht="29" customHeight="1">
      <c r="B102" s="15"/>
      <c r="C102" s="218" t="s">
        <v>37</v>
      </c>
      <c r="D102" s="218"/>
      <c r="E102" s="242">
        <v>0</v>
      </c>
      <c r="F102" s="242">
        <v>0</v>
      </c>
      <c r="G102" s="242">
        <v>0</v>
      </c>
      <c r="H102" s="242">
        <f>G100</f>
        <v>216875000</v>
      </c>
      <c r="I102" s="242">
        <f>H102</f>
        <v>216875000</v>
      </c>
      <c r="J102" s="242">
        <f>I100</f>
        <v>556375000</v>
      </c>
      <c r="K102" s="242">
        <f>J102</f>
        <v>556375000</v>
      </c>
      <c r="L102" s="242">
        <f>K100</f>
        <v>1211125000</v>
      </c>
      <c r="M102" s="242">
        <f t="shared" ref="M102:X102" si="38">L102</f>
        <v>1211125000</v>
      </c>
      <c r="N102" s="242">
        <f t="shared" si="38"/>
        <v>1211125000</v>
      </c>
      <c r="O102" s="242">
        <f t="shared" si="38"/>
        <v>1211125000</v>
      </c>
      <c r="P102" s="242">
        <f t="shared" si="38"/>
        <v>1211125000</v>
      </c>
      <c r="Q102" s="242">
        <f t="shared" si="38"/>
        <v>1211125000</v>
      </c>
      <c r="R102" s="242">
        <f t="shared" si="38"/>
        <v>1211125000</v>
      </c>
      <c r="S102" s="242">
        <f t="shared" si="38"/>
        <v>1211125000</v>
      </c>
      <c r="T102" s="242">
        <f t="shared" si="38"/>
        <v>1211125000</v>
      </c>
      <c r="U102" s="242">
        <f t="shared" si="38"/>
        <v>1211125000</v>
      </c>
      <c r="V102" s="242">
        <f t="shared" si="38"/>
        <v>1211125000</v>
      </c>
      <c r="W102" s="242">
        <f t="shared" si="38"/>
        <v>1211125000</v>
      </c>
      <c r="X102" s="46">
        <f t="shared" si="38"/>
        <v>1211125000</v>
      </c>
    </row>
    <row r="103" spans="1:77" ht="29" customHeight="1">
      <c r="B103" s="15"/>
      <c r="C103" s="43"/>
      <c r="D103" s="43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4"/>
    </row>
    <row r="104" spans="1:77" ht="29" customHeight="1">
      <c r="B104" s="15"/>
      <c r="C104" s="43" t="s">
        <v>151</v>
      </c>
      <c r="D104" s="43"/>
      <c r="E104" s="45">
        <f t="shared" ref="E104:X104" si="39">E100-E102</f>
        <v>72291666.666666672</v>
      </c>
      <c r="F104" s="45">
        <f t="shared" si="39"/>
        <v>144583333.33333334</v>
      </c>
      <c r="G104" s="45">
        <f t="shared" si="39"/>
        <v>216875000</v>
      </c>
      <c r="H104" s="45">
        <f t="shared" si="39"/>
        <v>169750000</v>
      </c>
      <c r="I104" s="45">
        <f t="shared" si="39"/>
        <v>339500000</v>
      </c>
      <c r="J104" s="45">
        <f t="shared" si="39"/>
        <v>327375000</v>
      </c>
      <c r="K104" s="45">
        <f t="shared" si="39"/>
        <v>654750000</v>
      </c>
      <c r="L104" s="45">
        <f t="shared" si="39"/>
        <v>0</v>
      </c>
      <c r="M104" s="45">
        <f t="shared" si="39"/>
        <v>0</v>
      </c>
      <c r="N104" s="45">
        <f t="shared" si="39"/>
        <v>0</v>
      </c>
      <c r="O104" s="45">
        <f t="shared" si="39"/>
        <v>0</v>
      </c>
      <c r="P104" s="45">
        <f t="shared" si="39"/>
        <v>0</v>
      </c>
      <c r="Q104" s="45">
        <f t="shared" si="39"/>
        <v>0</v>
      </c>
      <c r="R104" s="45">
        <f t="shared" si="39"/>
        <v>0</v>
      </c>
      <c r="S104" s="45">
        <f t="shared" si="39"/>
        <v>0</v>
      </c>
      <c r="T104" s="45">
        <f t="shared" si="39"/>
        <v>0</v>
      </c>
      <c r="U104" s="45">
        <f t="shared" si="39"/>
        <v>0</v>
      </c>
      <c r="V104" s="45">
        <f t="shared" si="39"/>
        <v>0</v>
      </c>
      <c r="W104" s="45">
        <f t="shared" si="39"/>
        <v>0</v>
      </c>
      <c r="X104" s="44">
        <f t="shared" si="39"/>
        <v>0</v>
      </c>
    </row>
    <row r="105" spans="1:77" ht="29" customHeight="1">
      <c r="B105" s="15"/>
      <c r="C105" s="43" t="s">
        <v>150</v>
      </c>
      <c r="D105" s="43"/>
      <c r="E105" s="45">
        <f t="shared" ref="E105:X105" si="40">E104*(1-$D$25)</f>
        <v>72291666.666666672</v>
      </c>
      <c r="F105" s="45">
        <f t="shared" si="40"/>
        <v>144583333.33333334</v>
      </c>
      <c r="G105" s="45">
        <f t="shared" si="40"/>
        <v>216875000</v>
      </c>
      <c r="H105" s="45">
        <f t="shared" si="40"/>
        <v>169750000</v>
      </c>
      <c r="I105" s="45">
        <f t="shared" si="40"/>
        <v>339500000</v>
      </c>
      <c r="J105" s="45">
        <f t="shared" si="40"/>
        <v>327375000</v>
      </c>
      <c r="K105" s="45">
        <f t="shared" si="40"/>
        <v>654750000</v>
      </c>
      <c r="L105" s="45">
        <f t="shared" si="40"/>
        <v>0</v>
      </c>
      <c r="M105" s="45">
        <f t="shared" si="40"/>
        <v>0</v>
      </c>
      <c r="N105" s="45">
        <f t="shared" si="40"/>
        <v>0</v>
      </c>
      <c r="O105" s="45">
        <f t="shared" si="40"/>
        <v>0</v>
      </c>
      <c r="P105" s="45">
        <f t="shared" si="40"/>
        <v>0</v>
      </c>
      <c r="Q105" s="45">
        <f t="shared" si="40"/>
        <v>0</v>
      </c>
      <c r="R105" s="45">
        <f t="shared" si="40"/>
        <v>0</v>
      </c>
      <c r="S105" s="45">
        <f t="shared" si="40"/>
        <v>0</v>
      </c>
      <c r="T105" s="45">
        <f t="shared" si="40"/>
        <v>0</v>
      </c>
      <c r="U105" s="45">
        <f t="shared" si="40"/>
        <v>0</v>
      </c>
      <c r="V105" s="45">
        <f t="shared" si="40"/>
        <v>0</v>
      </c>
      <c r="W105" s="45">
        <f t="shared" si="40"/>
        <v>0</v>
      </c>
      <c r="X105" s="44">
        <f t="shared" si="40"/>
        <v>0</v>
      </c>
    </row>
    <row r="106" spans="1:77" ht="29" customHeight="1">
      <c r="B106" s="15"/>
      <c r="C106" s="43" t="s">
        <v>149</v>
      </c>
      <c r="D106" s="218"/>
      <c r="E106" s="42">
        <f t="shared" ref="E106:X106" si="41">E92/E100</f>
        <v>0</v>
      </c>
      <c r="F106" s="42">
        <f t="shared" si="41"/>
        <v>0</v>
      </c>
      <c r="G106" s="42">
        <f t="shared" si="41"/>
        <v>0</v>
      </c>
      <c r="H106" s="42">
        <f t="shared" si="41"/>
        <v>0.45263498221791143</v>
      </c>
      <c r="I106" s="42">
        <f t="shared" si="41"/>
        <v>0.6290721186250281</v>
      </c>
      <c r="J106" s="42">
        <f t="shared" si="41"/>
        <v>0.77793493635077793</v>
      </c>
      <c r="K106" s="42">
        <f t="shared" si="41"/>
        <v>0.81513438910104241</v>
      </c>
      <c r="L106" s="42">
        <f t="shared" si="41"/>
        <v>0.80899485290082152</v>
      </c>
      <c r="M106" s="42">
        <f t="shared" si="41"/>
        <v>0.80282461901959956</v>
      </c>
      <c r="N106" s="42">
        <f t="shared" si="41"/>
        <v>0.79662353396897134</v>
      </c>
      <c r="O106" s="42">
        <f t="shared" si="41"/>
        <v>0.79039144349308998</v>
      </c>
      <c r="P106" s="42">
        <f t="shared" si="41"/>
        <v>0.78412819256478805</v>
      </c>
      <c r="Q106" s="42">
        <f t="shared" si="41"/>
        <v>0.77783362538176193</v>
      </c>
      <c r="R106" s="42">
        <f t="shared" si="41"/>
        <v>0.77150758536269692</v>
      </c>
      <c r="S106" s="42">
        <f t="shared" si="41"/>
        <v>0.76514991514337138</v>
      </c>
      <c r="T106" s="42">
        <f t="shared" si="41"/>
        <v>0.75876045657274283</v>
      </c>
      <c r="U106" s="42">
        <f t="shared" si="41"/>
        <v>0.75233905070901341</v>
      </c>
      <c r="V106" s="42">
        <f t="shared" si="41"/>
        <v>0.74588553781567635</v>
      </c>
      <c r="W106" s="42">
        <f t="shared" si="41"/>
        <v>0.73939975735754238</v>
      </c>
      <c r="X106" s="244">
        <f t="shared" si="41"/>
        <v>0.7328815479967461</v>
      </c>
    </row>
    <row r="107" spans="1:77" ht="29" customHeight="1">
      <c r="B107" s="15"/>
      <c r="C107" s="218"/>
      <c r="D107" s="218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241"/>
      <c r="R107" s="241"/>
      <c r="S107" s="241"/>
      <c r="T107" s="241"/>
      <c r="U107" s="241"/>
      <c r="V107" s="241"/>
      <c r="W107" s="241"/>
      <c r="X107" s="37"/>
    </row>
    <row r="108" spans="1:77" s="8" customFormat="1" ht="29" customHeight="1" thickBot="1">
      <c r="A108" s="215"/>
      <c r="B108" s="29"/>
      <c r="C108" s="28" t="s">
        <v>15</v>
      </c>
      <c r="D108" s="27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5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</row>
    <row r="109" spans="1:77" ht="29" customHeight="1">
      <c r="B109" s="15"/>
      <c r="C109" s="226" t="s">
        <v>148</v>
      </c>
      <c r="D109" s="218"/>
      <c r="E109" s="245">
        <f>(E58/$D12)+$E104+$E86</f>
        <v>277850000</v>
      </c>
      <c r="F109" s="245">
        <f>(F58/$D12)+$F105+$F86</f>
        <v>278478379.16666663</v>
      </c>
      <c r="G109" s="245">
        <f>(G58/$D12)+$G104+$G86</f>
        <v>278268926.6895833</v>
      </c>
      <c r="H109" s="245">
        <f>(H58/$D12)+$H104+$H86</f>
        <v>545188883.88591778</v>
      </c>
      <c r="I109" s="245">
        <f>(I58/$D12)+$I104+$I86</f>
        <v>720809125.8301121</v>
      </c>
      <c r="J109" s="245">
        <f>(J58/$D12)+$J104+$J86</f>
        <v>1290048161.2864037</v>
      </c>
      <c r="K109" s="245">
        <f>(K58/$D12)+$K104+$K86</f>
        <v>1591089309.8519681</v>
      </c>
      <c r="L109" s="245">
        <f>(L58/$D12)+$L104+$L86</f>
        <v>2036319309.8519681</v>
      </c>
      <c r="M109" s="245">
        <f>(M58/$D12)+$M104+$M86</f>
        <v>2036319309.8519681</v>
      </c>
      <c r="N109" s="245">
        <f>(N58/$D12)+$N104+$N86</f>
        <v>2036319309.8519681</v>
      </c>
      <c r="O109" s="245">
        <f t="shared" ref="O109:X109" si="42">(O58/$D12)+$H104+$H86</f>
        <v>2215528883.8859177</v>
      </c>
      <c r="P109" s="245">
        <f t="shared" si="42"/>
        <v>2215528883.8859177</v>
      </c>
      <c r="Q109" s="245">
        <f t="shared" si="42"/>
        <v>2215528883.8859177</v>
      </c>
      <c r="R109" s="245">
        <f t="shared" si="42"/>
        <v>2215528883.8859177</v>
      </c>
      <c r="S109" s="245">
        <f t="shared" si="42"/>
        <v>2215528883.8859177</v>
      </c>
      <c r="T109" s="245">
        <f t="shared" si="42"/>
        <v>2215528883.8859177</v>
      </c>
      <c r="U109" s="245">
        <f t="shared" si="42"/>
        <v>2215528883.8859177</v>
      </c>
      <c r="V109" s="245">
        <f t="shared" si="42"/>
        <v>2215528883.8859177</v>
      </c>
      <c r="W109" s="245">
        <f t="shared" si="42"/>
        <v>2215528883.8859177</v>
      </c>
      <c r="X109" s="40">
        <f t="shared" si="42"/>
        <v>2215528883.8859177</v>
      </c>
    </row>
    <row r="110" spans="1:77" ht="29" customHeight="1">
      <c r="B110" s="15"/>
      <c r="C110" s="228" t="s">
        <v>59</v>
      </c>
      <c r="D110" s="218"/>
      <c r="E110" s="246">
        <f t="shared" ref="E110:K110" si="43">+E109/$D$45</f>
        <v>100.02602800728785</v>
      </c>
      <c r="F110" s="246">
        <f t="shared" si="43"/>
        <v>100.25224457062846</v>
      </c>
      <c r="G110" s="246">
        <f t="shared" si="43"/>
        <v>100.17684165776565</v>
      </c>
      <c r="H110" s="246">
        <f t="shared" si="43"/>
        <v>196.26805315398528</v>
      </c>
      <c r="I110" s="246">
        <f t="shared" si="43"/>
        <v>259.49135795642059</v>
      </c>
      <c r="J110" s="246">
        <f t="shared" si="43"/>
        <v>464.41746809999637</v>
      </c>
      <c r="K110" s="246">
        <f t="shared" si="43"/>
        <v>572.79231192855582</v>
      </c>
      <c r="L110" s="246">
        <f t="shared" ref="L110:X110" si="44">L109/$D$45</f>
        <v>733.07515680775236</v>
      </c>
      <c r="M110" s="246">
        <f t="shared" si="44"/>
        <v>733.07515680775236</v>
      </c>
      <c r="N110" s="246">
        <f t="shared" si="44"/>
        <v>733.07515680775236</v>
      </c>
      <c r="O110" s="246">
        <f t="shared" si="44"/>
        <v>797.59062152430442</v>
      </c>
      <c r="P110" s="246">
        <f t="shared" si="44"/>
        <v>797.59062152430442</v>
      </c>
      <c r="Q110" s="246">
        <f t="shared" si="44"/>
        <v>797.59062152430442</v>
      </c>
      <c r="R110" s="246">
        <f t="shared" si="44"/>
        <v>797.59062152430442</v>
      </c>
      <c r="S110" s="246">
        <f t="shared" si="44"/>
        <v>797.59062152430442</v>
      </c>
      <c r="T110" s="246">
        <f t="shared" si="44"/>
        <v>797.59062152430442</v>
      </c>
      <c r="U110" s="246">
        <f t="shared" si="44"/>
        <v>797.59062152430442</v>
      </c>
      <c r="V110" s="246">
        <f t="shared" si="44"/>
        <v>797.59062152430442</v>
      </c>
      <c r="W110" s="246">
        <f t="shared" si="44"/>
        <v>797.59062152430442</v>
      </c>
      <c r="X110" s="39">
        <f t="shared" si="44"/>
        <v>797.59062152430442</v>
      </c>
    </row>
    <row r="111" spans="1:77" ht="29" customHeight="1">
      <c r="B111" s="15"/>
      <c r="C111" s="228"/>
      <c r="D111" s="218"/>
      <c r="E111" s="246"/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39"/>
    </row>
    <row r="112" spans="1:77" ht="29" customHeight="1" thickBot="1">
      <c r="B112" s="29"/>
      <c r="C112" s="28" t="s">
        <v>113</v>
      </c>
      <c r="D112" s="27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5"/>
    </row>
    <row r="113" spans="1:77" ht="29" customHeight="1">
      <c r="B113" s="15"/>
      <c r="C113" s="247"/>
      <c r="D113" s="218"/>
      <c r="E113" s="241"/>
      <c r="F113" s="241"/>
      <c r="G113" s="241"/>
      <c r="H113" s="241"/>
      <c r="I113" s="241"/>
      <c r="J113" s="241"/>
      <c r="K113" s="241"/>
      <c r="L113" s="241"/>
      <c r="M113" s="241"/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  <c r="X113" s="37"/>
    </row>
    <row r="114" spans="1:77" ht="29" customHeight="1">
      <c r="B114" s="15"/>
      <c r="C114" s="226" t="s">
        <v>148</v>
      </c>
      <c r="D114" s="215"/>
      <c r="E114" s="248">
        <f t="shared" ref="E114:X114" si="45">E109-E92</f>
        <v>277850000</v>
      </c>
      <c r="F114" s="248">
        <f t="shared" si="45"/>
        <v>278478379.16666663</v>
      </c>
      <c r="G114" s="248">
        <f t="shared" si="45"/>
        <v>278268926.6895833</v>
      </c>
      <c r="H114" s="248">
        <f t="shared" si="45"/>
        <v>370188883.88591778</v>
      </c>
      <c r="I114" s="248">
        <f t="shared" si="45"/>
        <v>370809125.8301121</v>
      </c>
      <c r="J114" s="248">
        <f t="shared" si="45"/>
        <v>602548161.28640366</v>
      </c>
      <c r="K114" s="248">
        <f t="shared" si="45"/>
        <v>603859672.85196805</v>
      </c>
      <c r="L114" s="248">
        <f t="shared" si="45"/>
        <v>1056525418.6324606</v>
      </c>
      <c r="M114" s="248">
        <f t="shared" si="45"/>
        <v>1063998343.1418556</v>
      </c>
      <c r="N114" s="248">
        <f t="shared" si="45"/>
        <v>1071508632.2737976</v>
      </c>
      <c r="O114" s="248">
        <f t="shared" si="45"/>
        <v>1258266046.885349</v>
      </c>
      <c r="P114" s="248">
        <f t="shared" si="45"/>
        <v>1265851626.6658888</v>
      </c>
      <c r="Q114" s="248">
        <f t="shared" si="45"/>
        <v>1273475134.3454313</v>
      </c>
      <c r="R114" s="248">
        <f t="shared" si="45"/>
        <v>1281136759.5635214</v>
      </c>
      <c r="S114" s="248">
        <f t="shared" si="45"/>
        <v>1288836692.907902</v>
      </c>
      <c r="T114" s="248">
        <f t="shared" si="45"/>
        <v>1296575125.9192545</v>
      </c>
      <c r="U114" s="248">
        <f t="shared" si="45"/>
        <v>1304352251.095964</v>
      </c>
      <c r="V114" s="248">
        <f t="shared" si="45"/>
        <v>1312168261.8989067</v>
      </c>
      <c r="W114" s="248">
        <f t="shared" si="45"/>
        <v>1320023352.7562642</v>
      </c>
      <c r="X114" s="36">
        <f t="shared" si="45"/>
        <v>1327917719.0683584</v>
      </c>
    </row>
    <row r="115" spans="1:77" ht="29" customHeight="1">
      <c r="B115" s="15"/>
      <c r="C115" s="228" t="s">
        <v>59</v>
      </c>
      <c r="D115" s="215"/>
      <c r="E115" s="249">
        <f t="shared" ref="E115:X115" si="46">E114/$D45</f>
        <v>100.02602800728785</v>
      </c>
      <c r="F115" s="249">
        <f t="shared" si="46"/>
        <v>100.25224457062846</v>
      </c>
      <c r="G115" s="249">
        <f t="shared" si="46"/>
        <v>100.17684165776565</v>
      </c>
      <c r="H115" s="249">
        <f t="shared" si="46"/>
        <v>133.26803551398035</v>
      </c>
      <c r="I115" s="249">
        <f t="shared" si="46"/>
        <v>133.4913226764107</v>
      </c>
      <c r="J115" s="249">
        <f t="shared" si="46"/>
        <v>216.91739879997698</v>
      </c>
      <c r="K115" s="249">
        <f t="shared" si="46"/>
        <v>217.38954309578057</v>
      </c>
      <c r="L115" s="249">
        <f t="shared" si="46"/>
        <v>380.34925720547784</v>
      </c>
      <c r="M115" s="249">
        <f t="shared" si="46"/>
        <v>383.03951078213106</v>
      </c>
      <c r="N115" s="249">
        <f t="shared" si="46"/>
        <v>385.74321562666751</v>
      </c>
      <c r="O115" s="249">
        <f t="shared" si="46"/>
        <v>452.97590371197867</v>
      </c>
      <c r="P115" s="249">
        <f t="shared" si="46"/>
        <v>455.70671319759964</v>
      </c>
      <c r="Q115" s="249">
        <f t="shared" si="46"/>
        <v>458.45117673068478</v>
      </c>
      <c r="R115" s="249">
        <f t="shared" si="46"/>
        <v>461.20936258148924</v>
      </c>
      <c r="S115" s="249">
        <f t="shared" si="46"/>
        <v>463.98133936161975</v>
      </c>
      <c r="T115" s="249">
        <f t="shared" si="46"/>
        <v>466.76717602574092</v>
      </c>
      <c r="U115" s="249">
        <f t="shared" si="46"/>
        <v>469.56694187329077</v>
      </c>
      <c r="V115" s="249">
        <f t="shared" si="46"/>
        <v>472.38070655020425</v>
      </c>
      <c r="W115" s="249">
        <f t="shared" si="46"/>
        <v>475.20854005064632</v>
      </c>
      <c r="X115" s="35">
        <f t="shared" si="46"/>
        <v>478.0505127187526</v>
      </c>
    </row>
    <row r="116" spans="1:77" ht="29" customHeight="1">
      <c r="B116" s="15"/>
      <c r="C116" s="228" t="s">
        <v>114</v>
      </c>
      <c r="D116" s="215"/>
      <c r="E116" s="250">
        <f t="shared" ref="E116:X116" si="47">E122/E115</f>
        <v>0</v>
      </c>
      <c r="F116" s="250">
        <f t="shared" si="47"/>
        <v>0</v>
      </c>
      <c r="G116" s="250">
        <f t="shared" si="47"/>
        <v>0</v>
      </c>
      <c r="H116" s="250">
        <f t="shared" si="47"/>
        <v>1.08177607198071E-2</v>
      </c>
      <c r="I116" s="250">
        <f t="shared" si="47"/>
        <v>1.5054045623208754E-2</v>
      </c>
      <c r="J116" s="250">
        <f t="shared" si="47"/>
        <v>1.312977055598903E-2</v>
      </c>
      <c r="K116" s="250">
        <f t="shared" si="47"/>
        <v>1.9546932210809258E-2</v>
      </c>
      <c r="L116" s="250">
        <f t="shared" si="47"/>
        <v>6.3341317534087477E-2</v>
      </c>
      <c r="M116" s="250">
        <f t="shared" si="47"/>
        <v>6.3210926048959767E-2</v>
      </c>
      <c r="N116" s="250">
        <f t="shared" si="47"/>
        <v>6.3081715024584803E-2</v>
      </c>
      <c r="O116" s="250">
        <f t="shared" si="47"/>
        <v>5.3987441977448057E-2</v>
      </c>
      <c r="P116" s="250">
        <f t="shared" si="47"/>
        <v>5.3932243389909679E-2</v>
      </c>
      <c r="Q116" s="250">
        <f t="shared" si="47"/>
        <v>5.3877431341561727E-2</v>
      </c>
      <c r="R116" s="250">
        <f t="shared" si="47"/>
        <v>5.3823002460958252E-2</v>
      </c>
      <c r="S116" s="250">
        <f t="shared" si="47"/>
        <v>5.3768953414160409E-2</v>
      </c>
      <c r="T116" s="250">
        <f t="shared" si="47"/>
        <v>5.3715280904216539E-2</v>
      </c>
      <c r="U116" s="250">
        <f t="shared" si="47"/>
        <v>5.3661981670650657E-2</v>
      </c>
      <c r="V116" s="250">
        <f t="shared" si="47"/>
        <v>5.3609052488959662E-2</v>
      </c>
      <c r="W116" s="250">
        <f t="shared" si="47"/>
        <v>5.3556490170118626E-2</v>
      </c>
      <c r="X116" s="33">
        <f t="shared" si="47"/>
        <v>5.3504291560094404E-2</v>
      </c>
    </row>
    <row r="117" spans="1:77" ht="29" customHeight="1">
      <c r="B117" s="15"/>
      <c r="C117" s="226" t="s">
        <v>147</v>
      </c>
      <c r="D117" s="215"/>
      <c r="E117" s="31">
        <f t="shared" ref="E117:X117" si="48">SUM(E63:E65)/E114</f>
        <v>1.2416771639373762E-2</v>
      </c>
      <c r="F117" s="31">
        <f t="shared" si="48"/>
        <v>1.2388753519479543E-2</v>
      </c>
      <c r="G117" s="31">
        <f t="shared" si="48"/>
        <v>1.2398078510032745E-2</v>
      </c>
      <c r="H117" s="31">
        <f t="shared" si="48"/>
        <v>9.3195667135785656E-3</v>
      </c>
      <c r="I117" s="31">
        <f t="shared" si="48"/>
        <v>9.3039781377458157E-3</v>
      </c>
      <c r="J117" s="31">
        <f t="shared" si="48"/>
        <v>5.7256833920702041E-3</v>
      </c>
      <c r="K117" s="31">
        <f t="shared" si="48"/>
        <v>5.7132478870562751E-3</v>
      </c>
      <c r="L117" s="31">
        <f t="shared" si="48"/>
        <v>3.2654207264275681E-3</v>
      </c>
      <c r="M117" s="31">
        <f t="shared" si="48"/>
        <v>3.2424862521990179E-3</v>
      </c>
      <c r="N117" s="31">
        <f t="shared" si="48"/>
        <v>3.2197594084509788E-3</v>
      </c>
      <c r="O117" s="31">
        <f t="shared" si="48"/>
        <v>2.7418684693431596E-3</v>
      </c>
      <c r="P117" s="31">
        <f t="shared" si="48"/>
        <v>2.7254379007174111E-3</v>
      </c>
      <c r="Q117" s="31">
        <f t="shared" si="48"/>
        <v>2.7091223903427898E-3</v>
      </c>
      <c r="R117" s="31">
        <f t="shared" si="48"/>
        <v>2.6929209346669611E-3</v>
      </c>
      <c r="S117" s="31">
        <f t="shared" si="48"/>
        <v>2.6768325413020584E-3</v>
      </c>
      <c r="T117" s="31">
        <f t="shared" si="48"/>
        <v>2.6608562288698819E-3</v>
      </c>
      <c r="U117" s="31">
        <f t="shared" si="48"/>
        <v>2.6449910268496759E-3</v>
      </c>
      <c r="V117" s="31">
        <f t="shared" si="48"/>
        <v>2.6292359754284305E-3</v>
      </c>
      <c r="W117" s="31">
        <f t="shared" si="48"/>
        <v>2.6135901253536578E-3</v>
      </c>
      <c r="X117" s="30">
        <f t="shared" si="48"/>
        <v>2.5980525377886018E-3</v>
      </c>
    </row>
    <row r="118" spans="1:77" ht="29" customHeight="1">
      <c r="B118" s="15"/>
      <c r="C118" s="226"/>
      <c r="D118" s="215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0"/>
    </row>
    <row r="119" spans="1:77" s="8" customFormat="1" ht="29" customHeight="1" thickBot="1">
      <c r="A119" s="215"/>
      <c r="B119" s="29"/>
      <c r="C119" s="28" t="s">
        <v>31</v>
      </c>
      <c r="D119" s="27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5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</row>
    <row r="120" spans="1:77" ht="29" customHeight="1">
      <c r="B120" s="15"/>
      <c r="C120" s="227" t="s">
        <v>60</v>
      </c>
      <c r="D120" s="218"/>
      <c r="E120" s="23">
        <v>0</v>
      </c>
      <c r="F120" s="23">
        <v>0</v>
      </c>
      <c r="G120" s="23">
        <v>0</v>
      </c>
      <c r="H120" s="225">
        <f>+H72*0.9+H91</f>
        <v>4004614.767010313</v>
      </c>
      <c r="I120" s="225">
        <f>+I72*0.9+I91</f>
        <v>5582177.4977486627</v>
      </c>
      <c r="J120" s="225">
        <f>+J72*0.9+J91</f>
        <v>7911319.1066235518</v>
      </c>
      <c r="K120" s="225">
        <f>+K72*0.9+K91</f>
        <v>11803604.090078875</v>
      </c>
      <c r="L120" s="225">
        <f>+L72+L91+L90</f>
        <v>66921712.024433382</v>
      </c>
      <c r="M120" s="225">
        <f t="shared" ref="M120:X120" si="49">+M72+M91</f>
        <v>67256320.584555551</v>
      </c>
      <c r="N120" s="225">
        <f t="shared" si="49"/>
        <v>67592602.187478334</v>
      </c>
      <c r="O120" s="225">
        <f t="shared" si="49"/>
        <v>67930565.198415712</v>
      </c>
      <c r="P120" s="225">
        <f t="shared" si="49"/>
        <v>68270218.024857789</v>
      </c>
      <c r="Q120" s="225">
        <f t="shared" si="49"/>
        <v>68611569.115882084</v>
      </c>
      <c r="R120" s="225">
        <f t="shared" si="49"/>
        <v>68954626.9628115</v>
      </c>
      <c r="S120" s="225">
        <f t="shared" si="49"/>
        <v>69299400.099425554</v>
      </c>
      <c r="T120" s="225">
        <f t="shared" si="49"/>
        <v>69645897.102172688</v>
      </c>
      <c r="U120" s="225">
        <f t="shared" si="49"/>
        <v>69994126.590383545</v>
      </c>
      <c r="V120" s="225">
        <f t="shared" si="49"/>
        <v>70344097.226485461</v>
      </c>
      <c r="W120" s="225">
        <f t="shared" si="49"/>
        <v>70695817.71621789</v>
      </c>
      <c r="X120" s="22">
        <f t="shared" si="49"/>
        <v>71049296.808848977</v>
      </c>
    </row>
    <row r="121" spans="1:77" ht="29" customHeight="1">
      <c r="B121" s="15"/>
      <c r="C121" s="227"/>
      <c r="D121" s="218"/>
      <c r="E121" s="23"/>
      <c r="F121" s="23"/>
      <c r="G121" s="23"/>
      <c r="H121" s="225"/>
      <c r="I121" s="225"/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"/>
    </row>
    <row r="122" spans="1:77" ht="29" customHeight="1">
      <c r="B122" s="15"/>
      <c r="C122" s="228" t="s">
        <v>12</v>
      </c>
      <c r="D122" s="218"/>
      <c r="E122" s="21">
        <v>0</v>
      </c>
      <c r="F122" s="21">
        <v>0</v>
      </c>
      <c r="G122" s="21">
        <v>0</v>
      </c>
      <c r="H122" s="251">
        <f t="shared" ref="H122:X122" si="50">H120/$D45</f>
        <v>1.4416617197889943</v>
      </c>
      <c r="I122" s="251">
        <f t="shared" si="50"/>
        <v>2.009584461873168</v>
      </c>
      <c r="J122" s="251">
        <f t="shared" si="50"/>
        <v>2.848075675845668</v>
      </c>
      <c r="K122" s="251">
        <f t="shared" si="50"/>
        <v>4.2492986622320208</v>
      </c>
      <c r="L122" s="251">
        <f t="shared" si="50"/>
        <v>24.091823074506479</v>
      </c>
      <c r="M122" s="251">
        <f t="shared" si="50"/>
        <v>24.212282189879012</v>
      </c>
      <c r="N122" s="251">
        <f t="shared" si="50"/>
        <v>24.333343600828407</v>
      </c>
      <c r="O122" s="251">
        <f t="shared" si="50"/>
        <v>24.455010318832546</v>
      </c>
      <c r="P122" s="251">
        <f t="shared" si="50"/>
        <v>24.577285370588708</v>
      </c>
      <c r="Q122" s="251">
        <f t="shared" si="50"/>
        <v>24.700171797765652</v>
      </c>
      <c r="R122" s="251">
        <f t="shared" si="50"/>
        <v>24.823672657240483</v>
      </c>
      <c r="S122" s="251">
        <f t="shared" si="50"/>
        <v>24.947791021174684</v>
      </c>
      <c r="T122" s="251">
        <f t="shared" si="50"/>
        <v>25.072529977090561</v>
      </c>
      <c r="U122" s="251">
        <f t="shared" si="50"/>
        <v>25.197892627948011</v>
      </c>
      <c r="V122" s="251">
        <f t="shared" si="50"/>
        <v>25.323882092221751</v>
      </c>
      <c r="W122" s="251">
        <f t="shared" si="50"/>
        <v>25.450501503978863</v>
      </c>
      <c r="X122" s="20">
        <f t="shared" si="50"/>
        <v>25.577754012956756</v>
      </c>
    </row>
    <row r="123" spans="1:77" ht="29" customHeight="1">
      <c r="B123" s="15"/>
      <c r="C123" s="228" t="s">
        <v>38</v>
      </c>
      <c r="D123" s="218"/>
      <c r="E123" s="252">
        <f t="shared" ref="E123:X123" si="51">E122/$D16</f>
        <v>0</v>
      </c>
      <c r="F123" s="252">
        <f t="shared" si="51"/>
        <v>0</v>
      </c>
      <c r="G123" s="252">
        <f t="shared" si="51"/>
        <v>0</v>
      </c>
      <c r="H123" s="252">
        <f t="shared" si="51"/>
        <v>1.4416617197889942E-2</v>
      </c>
      <c r="I123" s="252">
        <f t="shared" si="51"/>
        <v>2.0095844618731679E-2</v>
      </c>
      <c r="J123" s="252">
        <f t="shared" si="51"/>
        <v>2.8480756758456679E-2</v>
      </c>
      <c r="K123" s="252">
        <f t="shared" si="51"/>
        <v>4.2492986622320206E-2</v>
      </c>
      <c r="L123" s="252">
        <f t="shared" si="51"/>
        <v>0.2409182307450648</v>
      </c>
      <c r="M123" s="252">
        <f t="shared" si="51"/>
        <v>0.24212282189879011</v>
      </c>
      <c r="N123" s="252">
        <f t="shared" si="51"/>
        <v>0.24333343600828405</v>
      </c>
      <c r="O123" s="252">
        <f t="shared" si="51"/>
        <v>0.24455010318832546</v>
      </c>
      <c r="P123" s="252">
        <f t="shared" si="51"/>
        <v>0.24577285370588708</v>
      </c>
      <c r="Q123" s="252">
        <f t="shared" si="51"/>
        <v>0.24700171797765652</v>
      </c>
      <c r="R123" s="252">
        <f t="shared" si="51"/>
        <v>0.24823672657240484</v>
      </c>
      <c r="S123" s="252">
        <f t="shared" si="51"/>
        <v>0.24947791021174684</v>
      </c>
      <c r="T123" s="252">
        <f t="shared" si="51"/>
        <v>0.25072529977090563</v>
      </c>
      <c r="U123" s="252">
        <f t="shared" si="51"/>
        <v>0.2519789262794801</v>
      </c>
      <c r="V123" s="252">
        <f t="shared" si="51"/>
        <v>0.2532388209222175</v>
      </c>
      <c r="W123" s="252">
        <f t="shared" si="51"/>
        <v>0.25450501503978862</v>
      </c>
      <c r="X123" s="16">
        <f t="shared" si="51"/>
        <v>0.25577754012956755</v>
      </c>
    </row>
    <row r="124" spans="1:77" ht="29" customHeight="1">
      <c r="B124" s="15"/>
      <c r="C124" s="228"/>
      <c r="D124" s="218"/>
      <c r="E124" s="18"/>
      <c r="F124" s="18"/>
      <c r="G124" s="252"/>
      <c r="H124" s="252"/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16"/>
    </row>
    <row r="125" spans="1:77" ht="29" customHeight="1">
      <c r="B125" s="15"/>
      <c r="C125" s="228" t="s">
        <v>146</v>
      </c>
      <c r="D125" s="218"/>
      <c r="E125" s="252">
        <v>0</v>
      </c>
      <c r="F125" s="252">
        <v>0</v>
      </c>
      <c r="G125" s="252">
        <v>0</v>
      </c>
      <c r="H125" s="252">
        <v>0</v>
      </c>
      <c r="I125" s="252">
        <f t="shared" ref="I125:S125" si="52">(I122-H122)/H122</f>
        <v>0.39393620173760074</v>
      </c>
      <c r="J125" s="252">
        <f t="shared" si="52"/>
        <v>0.41724606747353532</v>
      </c>
      <c r="K125" s="252">
        <f t="shared" si="52"/>
        <v>0.49198938015237009</v>
      </c>
      <c r="L125" s="252">
        <f t="shared" si="52"/>
        <v>4.669599853885491</v>
      </c>
      <c r="M125" s="252">
        <f t="shared" si="52"/>
        <v>5.0000000000000322E-3</v>
      </c>
      <c r="N125" s="252">
        <f t="shared" si="52"/>
        <v>4.999999999999981E-3</v>
      </c>
      <c r="O125" s="252">
        <f t="shared" si="52"/>
        <v>4.9999999999998787E-3</v>
      </c>
      <c r="P125" s="252">
        <f t="shared" si="52"/>
        <v>5.000000006624386E-3</v>
      </c>
      <c r="Q125" s="252">
        <f t="shared" si="52"/>
        <v>5.0000000131829175E-3</v>
      </c>
      <c r="R125" s="252">
        <f t="shared" si="52"/>
        <v>5.0000000196760794E-3</v>
      </c>
      <c r="S125" s="252">
        <f t="shared" si="52"/>
        <v>5.0000000261040643E-3</v>
      </c>
      <c r="T125" s="252">
        <f>+(T122-S122)/S122</f>
        <v>5.0000000324679442E-3</v>
      </c>
      <c r="U125" s="252">
        <f>+(U122-T122)/T122</f>
        <v>5.000000038767439E-3</v>
      </c>
      <c r="V125" s="252">
        <f>+(V122-U122)/U122</f>
        <v>5.0000000450037621E-3</v>
      </c>
      <c r="W125" s="252">
        <f>+(W122-V122)/V122</f>
        <v>5.0000000511771069E-3</v>
      </c>
      <c r="X125" s="16">
        <f>+(X122-W122)/W122</f>
        <v>5.0000000572876244E-3</v>
      </c>
    </row>
    <row r="126" spans="1:77" ht="29" customHeight="1">
      <c r="B126" s="15"/>
      <c r="C126" s="228"/>
      <c r="D126" s="218"/>
      <c r="E126" s="18"/>
      <c r="F126" s="18"/>
      <c r="G126" s="252"/>
      <c r="H126" s="252"/>
      <c r="I126" s="252"/>
      <c r="J126" s="252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16"/>
    </row>
    <row r="127" spans="1:77" ht="29" customHeight="1">
      <c r="B127" s="15"/>
      <c r="C127" s="218" t="s">
        <v>61</v>
      </c>
      <c r="D127" s="218"/>
      <c r="E127" s="13">
        <f t="shared" ref="E127:X127" si="53">E68/$D$45</f>
        <v>-7.5420021117605911</v>
      </c>
      <c r="F127" s="13">
        <f t="shared" si="53"/>
        <v>-1.2420003477600974</v>
      </c>
      <c r="G127" s="13">
        <f t="shared" si="53"/>
        <v>-1.2420003477600974</v>
      </c>
      <c r="H127" s="13">
        <f t="shared" si="53"/>
        <v>3.175875889245249</v>
      </c>
      <c r="I127" s="13">
        <f t="shared" si="53"/>
        <v>6.9558769476455451</v>
      </c>
      <c r="J127" s="13">
        <f t="shared" si="53"/>
        <v>12.49897849971398</v>
      </c>
      <c r="K127" s="13">
        <f t="shared" si="53"/>
        <v>19.788980540914551</v>
      </c>
      <c r="L127" s="13">
        <f t="shared" si="53"/>
        <v>44.538537470790494</v>
      </c>
      <c r="M127" s="13">
        <f t="shared" si="53"/>
        <v>44.538537470790494</v>
      </c>
      <c r="N127" s="13">
        <f t="shared" si="53"/>
        <v>44.538537470790494</v>
      </c>
      <c r="O127" s="13">
        <f t="shared" si="53"/>
        <v>44.538537470790494</v>
      </c>
      <c r="P127" s="13">
        <f t="shared" si="53"/>
        <v>44.538537470790494</v>
      </c>
      <c r="Q127" s="13">
        <f t="shared" si="53"/>
        <v>44.538537470790494</v>
      </c>
      <c r="R127" s="13">
        <f t="shared" si="53"/>
        <v>44.538537470790494</v>
      </c>
      <c r="S127" s="13">
        <f t="shared" si="53"/>
        <v>44.538537470790494</v>
      </c>
      <c r="T127" s="13">
        <f t="shared" si="53"/>
        <v>44.538537470790494</v>
      </c>
      <c r="U127" s="13">
        <f t="shared" si="53"/>
        <v>44.538537470790494</v>
      </c>
      <c r="V127" s="13">
        <f t="shared" si="53"/>
        <v>44.538537470790494</v>
      </c>
      <c r="W127" s="13">
        <f t="shared" si="53"/>
        <v>44.538537470790494</v>
      </c>
      <c r="X127" s="12">
        <f t="shared" si="53"/>
        <v>44.538537470790494</v>
      </c>
    </row>
    <row r="128" spans="1:77" s="6" customFormat="1" ht="22" thickBot="1">
      <c r="A128" s="220"/>
      <c r="B128" s="11"/>
      <c r="C128" s="10"/>
      <c r="D128" s="10"/>
      <c r="E128" s="9"/>
      <c r="F128" s="9"/>
      <c r="G128" s="9"/>
      <c r="H128" s="9"/>
      <c r="I128" s="9"/>
      <c r="J128" s="9"/>
      <c r="K128" s="9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7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</row>
    <row r="129" spans="2:6" ht="29.25" customHeight="1">
      <c r="B129" s="3"/>
      <c r="C129" s="3"/>
    </row>
    <row r="130" spans="2:6" ht="29.25" customHeight="1">
      <c r="B130" s="3" t="s">
        <v>145</v>
      </c>
      <c r="C130" s="3"/>
      <c r="F130" s="5"/>
    </row>
    <row r="131" spans="2:6" ht="29.25" customHeight="1">
      <c r="B131" s="3" t="s">
        <v>144</v>
      </c>
      <c r="C131" s="3"/>
      <c r="E131" s="4"/>
    </row>
    <row r="132" spans="2:6" ht="29.25" customHeight="1">
      <c r="B132" s="3"/>
      <c r="C132" s="3"/>
    </row>
    <row r="133" spans="2:6" ht="29.25" customHeight="1">
      <c r="B133" s="3"/>
      <c r="C133" s="3"/>
    </row>
    <row r="134" spans="2:6" ht="29.25" customHeight="1">
      <c r="B134" s="3"/>
      <c r="C134" s="3"/>
    </row>
    <row r="135" spans="2:6" ht="29.25" customHeight="1">
      <c r="B135" s="3"/>
      <c r="C135" s="3"/>
    </row>
    <row r="136" spans="2:6" ht="29.25" customHeight="1">
      <c r="B136" s="3"/>
      <c r="C136" s="3"/>
    </row>
    <row r="137" spans="2:6" ht="29.25" customHeight="1">
      <c r="B137" s="3"/>
      <c r="C137" s="3"/>
    </row>
    <row r="138" spans="2:6" ht="18" customHeight="1">
      <c r="B138" s="3"/>
      <c r="C138" s="3"/>
    </row>
  </sheetData>
  <printOptions horizontalCentered="1" verticalCentered="1"/>
  <pageMargins left="0.1" right="0.1" top="0.1" bottom="0.1" header="0" footer="0"/>
  <pageSetup paperSize="5" scale="1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Alert</vt:lpstr>
      <vt:lpstr>WCP_42M</vt:lpstr>
      <vt:lpstr>INPUT_PCLP 1_250M</vt:lpstr>
    </vt:vector>
  </TitlesOfParts>
  <Company>Woodfine Capital Projects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Woodfine</dc:creator>
  <cp:lastModifiedBy>Microsoft Office User</cp:lastModifiedBy>
  <cp:lastPrinted>2026-01-03T05:03:07Z</cp:lastPrinted>
  <dcterms:created xsi:type="dcterms:W3CDTF">2011-04-17T16:02:47Z</dcterms:created>
  <dcterms:modified xsi:type="dcterms:W3CDTF">2026-06-04T04:33:33Z</dcterms:modified>
</cp:coreProperties>
</file>