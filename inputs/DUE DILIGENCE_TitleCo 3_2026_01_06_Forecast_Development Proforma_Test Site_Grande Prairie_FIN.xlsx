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ffice/Foundry/vm/proforma/inputs/"/>
    </mc:Choice>
  </mc:AlternateContent>
  <xr:revisionPtr revIDLastSave="0" documentId="13_ncr:1_{83CDF553-445E-2142-B29F-38ADC16A32CD}" xr6:coauthVersionLast="45" xr6:coauthVersionMax="46" xr10:uidLastSave="{00000000-0000-0000-0000-000000000000}"/>
  <bookViews>
    <workbookView xWindow="41080" yWindow="460" windowWidth="29680" windowHeight="21580" activeTab="4" xr2:uid="{86E95E9D-7F3D-4242-B3DB-0A2D15EA7EC5}"/>
  </bookViews>
  <sheets>
    <sheet name="Test Site_Proforma" sheetId="9" r:id="rId1"/>
    <sheet name="Test Site_Report" sheetId="4" r:id="rId2"/>
    <sheet name="Test Site_CAM" sheetId="11" r:id="rId3"/>
    <sheet name="Test Site_Underground_Proforma" sheetId="10" r:id="rId4"/>
    <sheet name="Test Site_Underground_Report" sheetId="8" r:id="rId5"/>
    <sheet name="Test Site_Underground_CAM" sheetId="12" r:id="rId6"/>
  </sheets>
  <definedNames>
    <definedName name="_xlnm.Print_Area" localSheetId="2">'Test Site_CAM'!$B$2:$K$50</definedName>
    <definedName name="_xlnm.Print_Area" localSheetId="0">'Test Site_Proforma'!$B$1:$L$103</definedName>
    <definedName name="_xlnm.Print_Area" localSheetId="1">'Test Site_Report'!$B$1:$H$35</definedName>
    <definedName name="_xlnm.Print_Area" localSheetId="5">'Test Site_Underground_CAM'!$B$2:$K$50</definedName>
    <definedName name="_xlnm.Print_Area" localSheetId="3">'Test Site_Underground_Proforma'!$B$1:$L$103</definedName>
    <definedName name="_xlnm.Print_Area" localSheetId="4">'Test Site_Underground_Report'!$A$1:$H$32</definedName>
    <definedName name="_xlnm.Print_Titles" localSheetId="0">'Test Site_Proforma'!$7:$7</definedName>
    <definedName name="_xlnm.Print_Titles" localSheetId="3">'Test Site_Underground_Proforma'!$7:$7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3" i="9" l="1"/>
  <c r="F12" i="12" l="1"/>
  <c r="H12" i="12" s="1"/>
  <c r="I12" i="12" s="1"/>
  <c r="H13" i="12"/>
  <c r="I13" i="12"/>
  <c r="G31" i="12" s="1"/>
  <c r="I31" i="12" s="1"/>
  <c r="H14" i="12"/>
  <c r="I14" i="12"/>
  <c r="J14" i="12"/>
  <c r="H15" i="12"/>
  <c r="I15" i="12"/>
  <c r="J15" i="12" s="1"/>
  <c r="H16" i="12"/>
  <c r="I16" i="12"/>
  <c r="J16" i="12"/>
  <c r="H17" i="12"/>
  <c r="I17" i="12" s="1"/>
  <c r="H18" i="12"/>
  <c r="I18" i="12" s="1"/>
  <c r="J18" i="12" s="1"/>
  <c r="H19" i="12"/>
  <c r="I19" i="12" s="1"/>
  <c r="J19" i="12" s="1"/>
  <c r="E20" i="12"/>
  <c r="J23" i="12"/>
  <c r="G48" i="12"/>
  <c r="H12" i="11"/>
  <c r="I12" i="11"/>
  <c r="J12" i="11"/>
  <c r="H13" i="11"/>
  <c r="I13" i="11" s="1"/>
  <c r="H14" i="11"/>
  <c r="I14" i="11"/>
  <c r="J14" i="11"/>
  <c r="H15" i="11"/>
  <c r="I15" i="11"/>
  <c r="J15" i="11"/>
  <c r="H16" i="11"/>
  <c r="I16" i="11"/>
  <c r="J16" i="11" s="1"/>
  <c r="H17" i="11"/>
  <c r="I17" i="11" s="1"/>
  <c r="J17" i="11" s="1"/>
  <c r="H18" i="11"/>
  <c r="I18" i="11"/>
  <c r="J18" i="11"/>
  <c r="H19" i="11"/>
  <c r="I19" i="11"/>
  <c r="J19" i="11"/>
  <c r="E20" i="11"/>
  <c r="F20" i="11"/>
  <c r="G45" i="11" s="1"/>
  <c r="I45" i="11" s="1"/>
  <c r="J23" i="11"/>
  <c r="G41" i="11"/>
  <c r="I41" i="11"/>
  <c r="G42" i="11"/>
  <c r="G43" i="11"/>
  <c r="G44" i="11"/>
  <c r="I44" i="11"/>
  <c r="G48" i="11"/>
  <c r="G29" i="12" l="1"/>
  <c r="I29" i="12" s="1"/>
  <c r="I32" i="12" s="1"/>
  <c r="J32" i="12" s="1"/>
  <c r="J17" i="12"/>
  <c r="I20" i="12"/>
  <c r="J12" i="12"/>
  <c r="F20" i="12"/>
  <c r="J13" i="12"/>
  <c r="G31" i="11"/>
  <c r="I31" i="11" s="1"/>
  <c r="J13" i="11"/>
  <c r="J20" i="11" s="1"/>
  <c r="J25" i="11" s="1"/>
  <c r="I20" i="11"/>
  <c r="G29" i="11"/>
  <c r="I29" i="11" s="1"/>
  <c r="I32" i="11" s="1"/>
  <c r="J32" i="11" s="1"/>
  <c r="G40" i="11"/>
  <c r="I40" i="11" s="1"/>
  <c r="G39" i="11"/>
  <c r="I39" i="11" s="1"/>
  <c r="G38" i="11"/>
  <c r="G47" i="11"/>
  <c r="I47" i="11" s="1"/>
  <c r="G46" i="11"/>
  <c r="I46" i="11" s="1"/>
  <c r="G43" i="12" l="1"/>
  <c r="G45" i="12"/>
  <c r="I45" i="12" s="1"/>
  <c r="G47" i="12"/>
  <c r="I47" i="12" s="1"/>
  <c r="G40" i="12"/>
  <c r="I40" i="12" s="1"/>
  <c r="G46" i="12"/>
  <c r="I46" i="12" s="1"/>
  <c r="G38" i="12"/>
  <c r="G39" i="12"/>
  <c r="I39" i="12" s="1"/>
  <c r="G41" i="12"/>
  <c r="I41" i="12" s="1"/>
  <c r="G42" i="12"/>
  <c r="G44" i="12"/>
  <c r="I44" i="12" s="1"/>
  <c r="J20" i="12"/>
  <c r="J25" i="12" s="1"/>
  <c r="J35" i="11"/>
  <c r="I48" i="11"/>
  <c r="J48" i="11" s="1"/>
  <c r="J50" i="11" s="1"/>
  <c r="I48" i="12" l="1"/>
  <c r="J48" i="12" s="1"/>
  <c r="J35" i="12"/>
  <c r="J50" i="12"/>
  <c r="I88" i="10"/>
  <c r="E22" i="8" l="1"/>
  <c r="D23" i="8"/>
  <c r="D22" i="8"/>
  <c r="D21" i="8"/>
  <c r="G87" i="10"/>
  <c r="G87" i="9"/>
  <c r="D22" i="4"/>
  <c r="D16" i="8" l="1"/>
  <c r="D11" i="8"/>
  <c r="D16" i="4"/>
  <c r="D11" i="4"/>
  <c r="F70" i="10" l="1"/>
  <c r="H70" i="10" s="1"/>
  <c r="H69" i="10"/>
  <c r="F68" i="10"/>
  <c r="H68" i="10" s="1"/>
  <c r="F67" i="10"/>
  <c r="H67" i="10" s="1"/>
  <c r="F66" i="10"/>
  <c r="H66" i="10" s="1"/>
  <c r="F65" i="10"/>
  <c r="H65" i="10" s="1"/>
  <c r="F64" i="10"/>
  <c r="F71" i="10" s="1"/>
  <c r="H63" i="10"/>
  <c r="F53" i="10"/>
  <c r="F59" i="10" s="1"/>
  <c r="H59" i="10" s="1"/>
  <c r="H52" i="10"/>
  <c r="H51" i="10"/>
  <c r="H50" i="10"/>
  <c r="H49" i="10"/>
  <c r="H48" i="10"/>
  <c r="H47" i="10"/>
  <c r="H46" i="10"/>
  <c r="H45" i="10"/>
  <c r="H41" i="10"/>
  <c r="I42" i="10" s="1"/>
  <c r="I34" i="10"/>
  <c r="F20" i="10"/>
  <c r="I19" i="10"/>
  <c r="J19" i="10" s="1"/>
  <c r="K19" i="10" s="1"/>
  <c r="I18" i="10"/>
  <c r="J18" i="10" s="1"/>
  <c r="K18" i="10" s="1"/>
  <c r="I17" i="10"/>
  <c r="J17" i="10" s="1"/>
  <c r="K17" i="10" s="1"/>
  <c r="I16" i="10"/>
  <c r="J16" i="10" s="1"/>
  <c r="K16" i="10" s="1"/>
  <c r="I15" i="10"/>
  <c r="J15" i="10" s="1"/>
  <c r="K15" i="10" s="1"/>
  <c r="I14" i="10"/>
  <c r="J14" i="10" s="1"/>
  <c r="I13" i="10"/>
  <c r="J13" i="10" s="1"/>
  <c r="G12" i="10"/>
  <c r="I12" i="10" s="1"/>
  <c r="J12" i="10" s="1"/>
  <c r="F70" i="9"/>
  <c r="H69" i="9"/>
  <c r="F68" i="9"/>
  <c r="H68" i="9" s="1"/>
  <c r="F67" i="9"/>
  <c r="H67" i="9" s="1"/>
  <c r="F66" i="9"/>
  <c r="H66" i="9" s="1"/>
  <c r="F65" i="9"/>
  <c r="H65" i="9" s="1"/>
  <c r="F64" i="9"/>
  <c r="F63" i="9"/>
  <c r="H63" i="9" s="1"/>
  <c r="H52" i="9"/>
  <c r="H51" i="9"/>
  <c r="H50" i="9"/>
  <c r="H49" i="9"/>
  <c r="H48" i="9"/>
  <c r="H47" i="9"/>
  <c r="H46" i="9"/>
  <c r="H45" i="9"/>
  <c r="H41" i="9"/>
  <c r="I42" i="9" s="1"/>
  <c r="I34" i="9"/>
  <c r="G20" i="9"/>
  <c r="F85" i="9" s="1"/>
  <c r="H85" i="9" s="1"/>
  <c r="F20" i="9"/>
  <c r="I19" i="9"/>
  <c r="J19" i="9" s="1"/>
  <c r="K19" i="9" s="1"/>
  <c r="I18" i="9"/>
  <c r="J18" i="9" s="1"/>
  <c r="K18" i="9" s="1"/>
  <c r="I17" i="9"/>
  <c r="J17" i="9" s="1"/>
  <c r="K17" i="9" s="1"/>
  <c r="I16" i="9"/>
  <c r="J16" i="9" s="1"/>
  <c r="K16" i="9" s="1"/>
  <c r="I15" i="9"/>
  <c r="J15" i="9" s="1"/>
  <c r="K15" i="9" s="1"/>
  <c r="I14" i="9"/>
  <c r="J14" i="9" s="1"/>
  <c r="I13" i="9"/>
  <c r="J13" i="9" s="1"/>
  <c r="I12" i="9"/>
  <c r="J12" i="9" s="1"/>
  <c r="K12" i="9" s="1"/>
  <c r="F59" i="9" l="1"/>
  <c r="H59" i="9" s="1"/>
  <c r="G20" i="10"/>
  <c r="F85" i="10" s="1"/>
  <c r="H85" i="10" s="1"/>
  <c r="F58" i="10"/>
  <c r="H58" i="10" s="1"/>
  <c r="I60" i="10" s="1"/>
  <c r="D10" i="8"/>
  <c r="H53" i="10"/>
  <c r="F77" i="10" s="1"/>
  <c r="H77" i="10" s="1"/>
  <c r="J20" i="9"/>
  <c r="K13" i="9"/>
  <c r="F58" i="9"/>
  <c r="H58" i="9" s="1"/>
  <c r="D10" i="4"/>
  <c r="H53" i="9"/>
  <c r="H55" i="9" s="1"/>
  <c r="I56" i="9" s="1"/>
  <c r="D15" i="4" s="1"/>
  <c r="F71" i="9"/>
  <c r="I71" i="10"/>
  <c r="D20" i="8" s="1"/>
  <c r="H71" i="10"/>
  <c r="H55" i="10"/>
  <c r="I56" i="10" s="1"/>
  <c r="D15" i="8" s="1"/>
  <c r="F84" i="10"/>
  <c r="H84" i="10" s="1"/>
  <c r="I53" i="10"/>
  <c r="D14" i="8" s="1"/>
  <c r="K12" i="10"/>
  <c r="F27" i="10"/>
  <c r="G27" i="10" s="1"/>
  <c r="I28" i="10" s="1"/>
  <c r="J20" i="10"/>
  <c r="K13" i="10"/>
  <c r="F24" i="10"/>
  <c r="K14" i="10"/>
  <c r="F24" i="9"/>
  <c r="G24" i="9" s="1"/>
  <c r="I25" i="9" s="1"/>
  <c r="K14" i="9"/>
  <c r="K20" i="9" s="1"/>
  <c r="F27" i="9"/>
  <c r="G27" i="9" s="1"/>
  <c r="I28" i="9" s="1"/>
  <c r="H70" i="9"/>
  <c r="I71" i="9" s="1"/>
  <c r="D20" i="4" s="1"/>
  <c r="F78" i="10" l="1"/>
  <c r="H78" i="10" s="1"/>
  <c r="I60" i="9"/>
  <c r="F84" i="9"/>
  <c r="H84" i="9" s="1"/>
  <c r="I88" i="9" s="1"/>
  <c r="F75" i="9"/>
  <c r="H76" i="9" s="1"/>
  <c r="F78" i="9"/>
  <c r="H78" i="9" s="1"/>
  <c r="I29" i="9"/>
  <c r="I36" i="9" s="1"/>
  <c r="F77" i="9"/>
  <c r="H77" i="9" s="1"/>
  <c r="I53" i="9"/>
  <c r="D14" i="4" s="1"/>
  <c r="F76" i="9"/>
  <c r="F75" i="10"/>
  <c r="F76" i="10"/>
  <c r="K20" i="10"/>
  <c r="G24" i="10"/>
  <c r="I25" i="10" s="1"/>
  <c r="I29" i="10" s="1"/>
  <c r="I36" i="10" s="1"/>
  <c r="H75" i="10"/>
  <c r="H76" i="10"/>
  <c r="H75" i="9"/>
  <c r="H71" i="9"/>
  <c r="D21" i="4" l="1"/>
  <c r="I103" i="9"/>
  <c r="F80" i="10"/>
  <c r="H80" i="10" s="1"/>
  <c r="I81" i="10" s="1"/>
  <c r="I103" i="10"/>
  <c r="F80" i="9"/>
  <c r="H80" i="9" s="1"/>
  <c r="I81" i="9" s="1"/>
  <c r="I90" i="10" l="1"/>
  <c r="I102" i="10" s="1"/>
  <c r="D17" i="8"/>
  <c r="I90" i="9"/>
  <c r="I91" i="9" s="1"/>
  <c r="D17" i="4"/>
  <c r="D23" i="4" s="1"/>
  <c r="E22" i="4" s="1"/>
  <c r="I94" i="9"/>
  <c r="I102" i="9" l="1"/>
  <c r="I91" i="10"/>
  <c r="I94" i="10"/>
  <c r="I100" i="10" s="1"/>
  <c r="I101" i="9"/>
  <c r="F95" i="9"/>
  <c r="H95" i="9" s="1"/>
  <c r="I100" i="9"/>
  <c r="F95" i="10" l="1"/>
  <c r="H95" i="10" s="1"/>
  <c r="I101" i="10"/>
  <c r="E21" i="4"/>
  <c r="E21" i="8"/>
  <c r="E23" i="8" l="1"/>
  <c r="E15" i="8"/>
  <c r="E11" i="8"/>
  <c r="E16" i="8"/>
  <c r="E17" i="8"/>
  <c r="E10" i="8"/>
  <c r="E14" i="8"/>
  <c r="E20" i="8"/>
  <c r="E11" i="4"/>
  <c r="E15" i="4"/>
  <c r="E14" i="4"/>
  <c r="E10" i="4"/>
  <c r="E23" i="4"/>
  <c r="E20" i="4"/>
  <c r="E17" i="4"/>
  <c r="E16" i="4"/>
</calcChain>
</file>

<file path=xl/sharedStrings.xml><?xml version="1.0" encoding="utf-8"?>
<sst xmlns="http://schemas.openxmlformats.org/spreadsheetml/2006/main" count="328" uniqueCount="118">
  <si>
    <t>Office</t>
  </si>
  <si>
    <t>Retail</t>
  </si>
  <si>
    <t>Totals</t>
  </si>
  <si>
    <t>Investment valuations</t>
  </si>
  <si>
    <t>Rental area summary</t>
  </si>
  <si>
    <t>Capitalized rent</t>
  </si>
  <si>
    <t>Income from tenants</t>
  </si>
  <si>
    <t>TOTAL PROJECTED REVENUE</t>
  </si>
  <si>
    <t>ACQUISITION COSTS</t>
  </si>
  <si>
    <t>Land costs</t>
  </si>
  <si>
    <t>COSTRUCTION COSTS</t>
  </si>
  <si>
    <t>Construction</t>
  </si>
  <si>
    <t>Total</t>
  </si>
  <si>
    <t>Contingency</t>
  </si>
  <si>
    <t>Other construction</t>
  </si>
  <si>
    <t>Off site costs</t>
  </si>
  <si>
    <t>On site costs</t>
  </si>
  <si>
    <t>PROFESSIONAL FEES</t>
  </si>
  <si>
    <t>DP charges</t>
  </si>
  <si>
    <t>Builders risk insurance</t>
  </si>
  <si>
    <t>Other professionals</t>
  </si>
  <si>
    <t>Soft cost contingency</t>
  </si>
  <si>
    <t>Marketing costs</t>
  </si>
  <si>
    <t>Leasing costs</t>
  </si>
  <si>
    <t>Leasing legal fees</t>
  </si>
  <si>
    <t>PROFIT</t>
  </si>
  <si>
    <t>Equity</t>
  </si>
  <si>
    <t>Profit on cost (%)</t>
  </si>
  <si>
    <t>Profit on GDV (%)</t>
  </si>
  <si>
    <t>Development yield (% on rents)</t>
  </si>
  <si>
    <t>Net initial yield (%)</t>
  </si>
  <si>
    <t>Jennifer M. Woodfine</t>
  </si>
  <si>
    <t>V1</t>
  </si>
  <si>
    <t>Units</t>
  </si>
  <si>
    <t>Unit amount</t>
  </si>
  <si>
    <t>Rent at lease start</t>
  </si>
  <si>
    <t>Rent at sale</t>
  </si>
  <si>
    <t>Cost</t>
  </si>
  <si>
    <t>TI Costs</t>
  </si>
  <si>
    <t>TI cost area rate — Retail</t>
  </si>
  <si>
    <t>WCP TitleCo 3 Inc. — Professional Centre</t>
  </si>
  <si>
    <t>DEVELOPMENT COSTS</t>
  </si>
  <si>
    <t>REVENUE</t>
  </si>
  <si>
    <t>Office — Floor 1</t>
  </si>
  <si>
    <t>Office — Floor 2</t>
  </si>
  <si>
    <t>Office — Floor 3</t>
  </si>
  <si>
    <t>Office — Floor 4</t>
  </si>
  <si>
    <t>Office — Floor 5</t>
  </si>
  <si>
    <t>Office — Floor 6</t>
  </si>
  <si>
    <t>TI cost area rate — Office Floor 1</t>
  </si>
  <si>
    <t>TI cost area rate — Office Floor 2</t>
  </si>
  <si>
    <t>TI cost area rate — Office Floor 3</t>
  </si>
  <si>
    <t>TI cost area rate — Office Floor 4</t>
  </si>
  <si>
    <t>TI cost area rate — Office Floor 5</t>
  </si>
  <si>
    <t>TI cost area rate — Office Floor 6</t>
  </si>
  <si>
    <t>Underground</t>
  </si>
  <si>
    <t>TI cost area rate — Underground</t>
  </si>
  <si>
    <t>TOTAL COSTS ($)</t>
  </si>
  <si>
    <t>Land</t>
  </si>
  <si>
    <t>Total Indirect Costs</t>
  </si>
  <si>
    <t xml:space="preserve">Jennifer M. Woodfine </t>
  </si>
  <si>
    <t>$ per sq. ft.</t>
  </si>
  <si>
    <t>% of total</t>
  </si>
  <si>
    <t>OPTION 1: TEST SITE NO UNDERGROUND PARKING</t>
  </si>
  <si>
    <t>OPTION 2: TEST SITE WITH UNDERGROUND PARKING</t>
  </si>
  <si>
    <t>Contingency — Construction</t>
  </si>
  <si>
    <t>Sq. ft.</t>
  </si>
  <si>
    <t>5.500% non-recovery cost</t>
  </si>
  <si>
    <t>CONSTRUCTION COSTS</t>
  </si>
  <si>
    <t>Off-site costs</t>
  </si>
  <si>
    <t>On-site costs</t>
  </si>
  <si>
    <t>Property/realty taxes</t>
  </si>
  <si>
    <t>Architect and engineers</t>
  </si>
  <si>
    <t>MARKETING AND LEASING</t>
  </si>
  <si>
    <t>TOTAL COSTS ($ per sq. ft.)</t>
  </si>
  <si>
    <t>Rate per sq. ft.</t>
  </si>
  <si>
    <t>PERFORMANCE MEASURES</t>
  </si>
  <si>
    <t>Development pro forma option 1: Test site with no underground parking</t>
  </si>
  <si>
    <t>Total construction</t>
  </si>
  <si>
    <t>Contingency — construction</t>
  </si>
  <si>
    <t>Management stage</t>
  </si>
  <si>
    <t>Total inducements</t>
  </si>
  <si>
    <t>Total leasing expense</t>
  </si>
  <si>
    <t>Total project costs</t>
  </si>
  <si>
    <t>Total off-site*</t>
  </si>
  <si>
    <t>Total on-site†</t>
  </si>
  <si>
    <t>*Consists of upgrading city and municipal services, such as installing traffic lights, storm basin, etc.</t>
  </si>
  <si>
    <t>Development pro forma option 2: Test site with underground parking</t>
  </si>
  <si>
    <t>Residual percentage (100%)</t>
  </si>
  <si>
    <t>Procurement stage</t>
  </si>
  <si>
    <t>Development stage</t>
  </si>
  <si>
    <t>Total indirect costs</t>
  </si>
  <si>
    <t>TI costs</t>
  </si>
  <si>
    <t>†Consists of on-site non-construction development costs, such as levelling land; installing curbs, sidewalks, and hydrants; connecting water; etc.</t>
  </si>
  <si>
    <t>Appraisals/cost consulting</t>
  </si>
  <si>
    <t>Vacant space</t>
  </si>
  <si>
    <t>Net operating income</t>
  </si>
  <si>
    <t>Total expenses</t>
  </si>
  <si>
    <t>Structural maintenance</t>
  </si>
  <si>
    <t>Vacancy and bad debt provision</t>
  </si>
  <si>
    <t>Management</t>
  </si>
  <si>
    <t>Property taxes</t>
  </si>
  <si>
    <t>Local lawyer</t>
  </si>
  <si>
    <t>Local accountant</t>
  </si>
  <si>
    <t>Insurance</t>
  </si>
  <si>
    <t>HVAC</t>
  </si>
  <si>
    <t>Common area maintenance</t>
  </si>
  <si>
    <t>In-house property manager</t>
  </si>
  <si>
    <t>Rate ft2</t>
  </si>
  <si>
    <t>ft2</t>
  </si>
  <si>
    <t>EXPENSES</t>
  </si>
  <si>
    <t>Recoveries</t>
  </si>
  <si>
    <t>Gross rental income</t>
  </si>
  <si>
    <t>Retail pylon sign revenue — 4 panels at $250 a month</t>
  </si>
  <si>
    <t>V2</t>
  </si>
  <si>
    <t>Common area maintenance (CAM) budgeting</t>
  </si>
  <si>
    <t>January 6, 2026</t>
  </si>
  <si>
    <t>WCP TitleCo 3 Inc. — Suburban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</si>
</sst>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_);_(* \(#,##0\);_(* &quot;-&quot;?_);_(@_)"/>
    <numFmt numFmtId="166" formatCode="_-[$$-1009]* #,##0.00_-;\-[$$-1009]* #,##0.00_-;_-[$$-1009]* &quot;-&quot;??_-;_-@_-"/>
    <numFmt numFmtId="167" formatCode="_(* #,##0.00000_);_(* \(#,##0.00000\);_(* &quot;-&quot;??_);_(@_)"/>
    <numFmt numFmtId="168" formatCode="_-* #,##0_-;\-* #,##0_-;_-* &quot;-&quot;??_-;_-@_-"/>
  </numFmts>
  <fonts count="1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4" fillId="2" borderId="0" xfId="0" applyFont="1" applyFill="1"/>
    <xf numFmtId="0" fontId="3" fillId="2" borderId="0" xfId="0" applyFont="1" applyFill="1" applyAlignment="1">
      <alignment horizontal="right" vertical="center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1" fontId="4" fillId="0" borderId="0" xfId="1" applyNumberFormat="1" applyFont="1" applyAlignment="1">
      <alignment horizontal="right" vertical="center"/>
    </xf>
    <xf numFmtId="164" fontId="4" fillId="0" borderId="0" xfId="1" applyNumberFormat="1" applyFont="1" applyFill="1" applyBorder="1"/>
    <xf numFmtId="164" fontId="3" fillId="0" borderId="0" xfId="1" applyNumberFormat="1" applyFont="1" applyAlignment="1">
      <alignment horizontal="center" vertical="center"/>
    </xf>
    <xf numFmtId="164" fontId="4" fillId="0" borderId="0" xfId="0" applyNumberFormat="1" applyFont="1" applyFill="1" applyBorder="1"/>
    <xf numFmtId="0" fontId="4" fillId="0" borderId="0" xfId="0" applyFont="1" applyFill="1" applyBorder="1"/>
    <xf numFmtId="1" fontId="4" fillId="0" borderId="0" xfId="0" applyNumberFormat="1" applyFont="1" applyFill="1" applyBorder="1" applyAlignment="1">
      <alignment horizontal="right"/>
    </xf>
    <xf numFmtId="44" fontId="4" fillId="0" borderId="0" xfId="2" applyFont="1" applyFill="1" applyBorder="1"/>
    <xf numFmtId="164" fontId="4" fillId="0" borderId="0" xfId="1" applyNumberFormat="1" applyFont="1" applyAlignment="1">
      <alignment horizontal="right" vertic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right"/>
    </xf>
    <xf numFmtId="164" fontId="4" fillId="0" borderId="1" xfId="1" applyNumberFormat="1" applyFont="1" applyBorder="1" applyAlignment="1">
      <alignment horizontal="right" vertical="center"/>
    </xf>
    <xf numFmtId="44" fontId="4" fillId="0" borderId="1" xfId="2" applyFont="1" applyFill="1" applyBorder="1"/>
    <xf numFmtId="164" fontId="4" fillId="0" borderId="1" xfId="1" applyNumberFormat="1" applyFont="1" applyFill="1" applyBorder="1"/>
    <xf numFmtId="164" fontId="4" fillId="0" borderId="1" xfId="0" applyNumberFormat="1" applyFont="1" applyFill="1" applyBorder="1"/>
    <xf numFmtId="1" fontId="4" fillId="0" borderId="0" xfId="0" applyNumberFormat="1" applyFont="1" applyAlignment="1">
      <alignment horizontal="right"/>
    </xf>
    <xf numFmtId="164" fontId="4" fillId="0" borderId="0" xfId="1" applyNumberFormat="1" applyFont="1"/>
    <xf numFmtId="0" fontId="4" fillId="0" borderId="0" xfId="0" applyFont="1" applyFill="1"/>
    <xf numFmtId="43" fontId="4" fillId="0" borderId="0" xfId="1" applyFont="1"/>
    <xf numFmtId="165" fontId="4" fillId="0" borderId="0" xfId="0" applyNumberFormat="1" applyFont="1"/>
    <xf numFmtId="43" fontId="4" fillId="0" borderId="0" xfId="0" applyNumberFormat="1" applyFont="1"/>
    <xf numFmtId="10" fontId="4" fillId="0" borderId="0" xfId="0" applyNumberFormat="1" applyFont="1"/>
    <xf numFmtId="164" fontId="4" fillId="0" borderId="0" xfId="0" applyNumberFormat="1" applyFont="1"/>
    <xf numFmtId="43" fontId="4" fillId="0" borderId="0" xfId="0" applyNumberFormat="1" applyFont="1" applyBorder="1"/>
    <xf numFmtId="10" fontId="4" fillId="0" borderId="1" xfId="0" applyNumberFormat="1" applyFont="1" applyBorder="1"/>
    <xf numFmtId="164" fontId="4" fillId="0" borderId="1" xfId="0" applyNumberFormat="1" applyFont="1" applyBorder="1"/>
    <xf numFmtId="164" fontId="4" fillId="0" borderId="0" xfId="1" applyNumberFormat="1" applyFont="1" applyFill="1"/>
    <xf numFmtId="43" fontId="4" fillId="0" borderId="0" xfId="1" applyFont="1" applyFill="1"/>
    <xf numFmtId="164" fontId="4" fillId="0" borderId="0" xfId="0" applyNumberFormat="1" applyFont="1" applyFill="1"/>
    <xf numFmtId="0" fontId="3" fillId="2" borderId="0" xfId="0" applyFont="1" applyFill="1"/>
    <xf numFmtId="3" fontId="4" fillId="0" borderId="0" xfId="0" applyNumberFormat="1" applyFont="1"/>
    <xf numFmtId="43" fontId="4" fillId="0" borderId="0" xfId="0" applyNumberFormat="1" applyFont="1" applyFill="1"/>
    <xf numFmtId="0" fontId="3" fillId="0" borderId="0" xfId="0" applyFont="1" applyAlignment="1">
      <alignment horizontal="right"/>
    </xf>
    <xf numFmtId="164" fontId="3" fillId="0" borderId="0" xfId="1" applyNumberFormat="1" applyFont="1" applyAlignment="1">
      <alignment horizontal="right"/>
    </xf>
    <xf numFmtId="0" fontId="4" fillId="0" borderId="0" xfId="0" applyFont="1" applyBorder="1"/>
    <xf numFmtId="164" fontId="4" fillId="0" borderId="0" xfId="1" applyNumberFormat="1" applyFont="1" applyBorder="1"/>
    <xf numFmtId="44" fontId="4" fillId="0" borderId="0" xfId="2" applyFont="1" applyBorder="1"/>
    <xf numFmtId="164" fontId="4" fillId="0" borderId="1" xfId="1" applyNumberFormat="1" applyFont="1" applyBorder="1"/>
    <xf numFmtId="44" fontId="4" fillId="0" borderId="1" xfId="2" applyFont="1" applyBorder="1"/>
    <xf numFmtId="44" fontId="4" fillId="0" borderId="0" xfId="2" applyFont="1"/>
    <xf numFmtId="10" fontId="4" fillId="0" borderId="0" xfId="0" applyNumberFormat="1" applyFont="1" applyFill="1"/>
    <xf numFmtId="164" fontId="5" fillId="0" borderId="1" xfId="0" applyNumberFormat="1" applyFont="1" applyFill="1" applyBorder="1"/>
    <xf numFmtId="9" fontId="4" fillId="0" borderId="1" xfId="0" applyNumberFormat="1" applyFont="1" applyBorder="1"/>
    <xf numFmtId="10" fontId="4" fillId="0" borderId="0" xfId="2" applyNumberFormat="1" applyFont="1" applyFill="1"/>
    <xf numFmtId="44" fontId="4" fillId="0" borderId="0" xfId="2" applyFont="1" applyFill="1"/>
    <xf numFmtId="44" fontId="4" fillId="0" borderId="1" xfId="0" applyNumberFormat="1" applyFont="1" applyFill="1" applyBorder="1"/>
    <xf numFmtId="43" fontId="4" fillId="0" borderId="1" xfId="1" applyNumberFormat="1" applyFont="1" applyBorder="1"/>
    <xf numFmtId="166" fontId="4" fillId="0" borderId="0" xfId="1" applyNumberFormat="1" applyFont="1"/>
    <xf numFmtId="9" fontId="4" fillId="0" borderId="0" xfId="0" applyNumberFormat="1" applyFont="1"/>
    <xf numFmtId="10" fontId="4" fillId="0" borderId="0" xfId="3" applyNumberFormat="1" applyFont="1" applyFill="1"/>
    <xf numFmtId="10" fontId="4" fillId="0" borderId="0" xfId="3" applyNumberFormat="1" applyFont="1"/>
    <xf numFmtId="9" fontId="4" fillId="0" borderId="0" xfId="3" applyFont="1"/>
    <xf numFmtId="165" fontId="4" fillId="0" borderId="0" xfId="0" applyNumberFormat="1" applyFont="1" applyFill="1"/>
    <xf numFmtId="164" fontId="5" fillId="0" borderId="1" xfId="0" applyNumberFormat="1" applyFont="1" applyBorder="1"/>
    <xf numFmtId="0" fontId="4" fillId="2" borderId="0" xfId="0" applyFont="1" applyFill="1" applyAlignment="1">
      <alignment horizontal="lef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44" fontId="4" fillId="0" borderId="0" xfId="0" applyNumberFormat="1" applyFont="1" applyFill="1" applyBorder="1"/>
    <xf numFmtId="43" fontId="4" fillId="0" borderId="0" xfId="1" applyNumberFormat="1" applyFont="1" applyBorder="1"/>
    <xf numFmtId="164" fontId="4" fillId="0" borderId="0" xfId="0" applyNumberFormat="1" applyFont="1" applyBorder="1"/>
    <xf numFmtId="167" fontId="0" fillId="0" borderId="0" xfId="1" applyNumberFormat="1" applyFont="1"/>
    <xf numFmtId="43" fontId="0" fillId="0" borderId="0" xfId="1" applyFont="1"/>
    <xf numFmtId="164" fontId="0" fillId="0" borderId="0" xfId="0" applyNumberFormat="1"/>
    <xf numFmtId="164" fontId="0" fillId="0" borderId="0" xfId="1" applyNumberFormat="1" applyFont="1"/>
    <xf numFmtId="164" fontId="6" fillId="0" borderId="2" xfId="0" applyNumberFormat="1" applyFont="1" applyBorder="1"/>
    <xf numFmtId="0" fontId="0" fillId="0" borderId="2" xfId="0" applyBorder="1"/>
    <xf numFmtId="0" fontId="6" fillId="0" borderId="2" xfId="0" applyFont="1" applyBorder="1"/>
    <xf numFmtId="0" fontId="7" fillId="0" borderId="2" xfId="0" applyFont="1" applyBorder="1"/>
    <xf numFmtId="0" fontId="0" fillId="0" borderId="0" xfId="0" applyAlignment="1">
      <alignment horizontal="left"/>
    </xf>
    <xf numFmtId="164" fontId="6" fillId="0" borderId="0" xfId="0" applyNumberFormat="1" applyFont="1"/>
    <xf numFmtId="0" fontId="6" fillId="0" borderId="0" xfId="0" applyFont="1"/>
    <xf numFmtId="164" fontId="7" fillId="0" borderId="0" xfId="1" applyNumberFormat="1" applyFont="1"/>
    <xf numFmtId="44" fontId="7" fillId="0" borderId="0" xfId="2" applyFont="1"/>
    <xf numFmtId="0" fontId="7" fillId="0" borderId="0" xfId="0" applyFont="1"/>
    <xf numFmtId="0" fontId="0" fillId="0" borderId="1" xfId="0" applyBorder="1"/>
    <xf numFmtId="164" fontId="8" fillId="0" borderId="1" xfId="1" applyNumberFormat="1" applyFont="1" applyFill="1" applyBorder="1"/>
    <xf numFmtId="9" fontId="8" fillId="0" borderId="1" xfId="2" quotePrefix="1" applyNumberFormat="1" applyFont="1" applyFill="1" applyBorder="1"/>
    <xf numFmtId="164" fontId="0" fillId="0" borderId="1" xfId="0" applyNumberFormat="1" applyBorder="1"/>
    <xf numFmtId="0" fontId="8" fillId="0" borderId="1" xfId="0" applyFont="1" applyBorder="1"/>
    <xf numFmtId="164" fontId="8" fillId="0" borderId="0" xfId="1" applyNumberFormat="1" applyFont="1" applyFill="1"/>
    <xf numFmtId="9" fontId="8" fillId="0" borderId="0" xfId="2" quotePrefix="1" applyNumberFormat="1" applyFont="1" applyFill="1"/>
    <xf numFmtId="0" fontId="8" fillId="0" borderId="0" xfId="0" applyFont="1"/>
    <xf numFmtId="164" fontId="8" fillId="0" borderId="0" xfId="1" applyNumberFormat="1" applyFont="1"/>
    <xf numFmtId="9" fontId="8" fillId="0" borderId="0" xfId="2" quotePrefix="1" applyNumberFormat="1" applyFont="1"/>
    <xf numFmtId="44" fontId="8" fillId="0" borderId="0" xfId="2" applyFont="1"/>
    <xf numFmtId="0" fontId="6" fillId="0" borderId="0" xfId="0" applyFont="1" applyAlignment="1">
      <alignment horizontal="right"/>
    </xf>
    <xf numFmtId="165" fontId="0" fillId="0" borderId="0" xfId="0" applyNumberFormat="1"/>
    <xf numFmtId="10" fontId="0" fillId="0" borderId="1" xfId="0" applyNumberFormat="1" applyBorder="1"/>
    <xf numFmtId="10" fontId="0" fillId="0" borderId="0" xfId="0" applyNumberFormat="1"/>
    <xf numFmtId="168" fontId="0" fillId="0" borderId="0" xfId="0" applyNumberFormat="1"/>
    <xf numFmtId="9" fontId="0" fillId="0" borderId="0" xfId="0" applyNumberFormat="1"/>
    <xf numFmtId="164" fontId="9" fillId="0" borderId="2" xfId="1" applyNumberFormat="1" applyFont="1" applyBorder="1"/>
    <xf numFmtId="0" fontId="9" fillId="0" borderId="2" xfId="0" applyFont="1" applyBorder="1"/>
    <xf numFmtId="0" fontId="10" fillId="0" borderId="0" xfId="0" applyFont="1"/>
    <xf numFmtId="44" fontId="10" fillId="0" borderId="0" xfId="2" applyFont="1"/>
    <xf numFmtId="168" fontId="10" fillId="0" borderId="0" xfId="1" applyNumberFormat="1" applyFont="1"/>
    <xf numFmtId="0" fontId="9" fillId="0" borderId="0" xfId="0" applyFont="1"/>
    <xf numFmtId="1" fontId="0" fillId="0" borderId="0" xfId="0" applyNumberFormat="1" applyAlignment="1">
      <alignment horizontal="right"/>
    </xf>
    <xf numFmtId="164" fontId="0" fillId="0" borderId="1" xfId="1" applyNumberFormat="1" applyFont="1" applyFill="1" applyBorder="1"/>
    <xf numFmtId="44" fontId="0" fillId="0" borderId="1" xfId="2" applyFont="1" applyFill="1" applyBorder="1"/>
    <xf numFmtId="164" fontId="0" fillId="0" borderId="1" xfId="1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right"/>
    </xf>
    <xf numFmtId="164" fontId="0" fillId="0" borderId="0" xfId="1" applyNumberFormat="1" applyFont="1" applyFill="1" applyBorder="1"/>
    <xf numFmtId="44" fontId="0" fillId="0" borderId="0" xfId="2" applyFont="1" applyFill="1" applyBorder="1"/>
    <xf numFmtId="164" fontId="0" fillId="0" borderId="0" xfId="1" applyNumberFormat="1" applyFont="1" applyAlignment="1">
      <alignment horizontal="right" vertical="center"/>
    </xf>
    <xf numFmtId="1" fontId="0" fillId="0" borderId="0" xfId="1" applyNumberFormat="1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2" borderId="0" xfId="0" applyFill="1"/>
    <xf numFmtId="0" fontId="6" fillId="2" borderId="0" xfId="0" applyFont="1" applyFill="1"/>
    <xf numFmtId="0" fontId="10" fillId="2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3" fontId="0" fillId="0" borderId="0" xfId="0" applyNumberForma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694E-B2B3-0941-93C5-AEE12DA794BF}">
  <dimension ref="B2:P118"/>
  <sheetViews>
    <sheetView topLeftCell="A11" zoomScale="80" zoomScaleNormal="80" zoomScaleSheetLayoutView="75" workbookViewId="0">
      <selection activeCell="F54" sqref="F54"/>
    </sheetView>
  </sheetViews>
  <sheetFormatPr baseColWidth="10" defaultColWidth="15.33203125" defaultRowHeight="26"/>
  <cols>
    <col min="1" max="1" width="15.33203125" style="3"/>
    <col min="2" max="2" width="15.6640625" style="3" bestFit="1" customWidth="1"/>
    <col min="3" max="4" width="15.33203125" style="3" customWidth="1"/>
    <col min="5" max="5" width="38.5" style="3" customWidth="1"/>
    <col min="6" max="6" width="22.83203125" style="3" customWidth="1"/>
    <col min="7" max="7" width="22.5" style="3" customWidth="1"/>
    <col min="8" max="8" width="21.83203125" style="3" customWidth="1"/>
    <col min="9" max="9" width="21.33203125" style="3" customWidth="1"/>
    <col min="10" max="10" width="18.1640625" style="3" customWidth="1"/>
    <col min="11" max="11" width="18.33203125" style="3" customWidth="1"/>
    <col min="12" max="12" width="4" style="3" customWidth="1"/>
    <col min="13" max="13" width="15.33203125" style="3"/>
    <col min="14" max="14" width="21.1640625" style="3" bestFit="1" customWidth="1"/>
    <col min="15" max="16384" width="15.33203125" style="3"/>
  </cols>
  <sheetData>
    <row r="2" spans="2:12">
      <c r="B2" s="2" t="s">
        <v>77</v>
      </c>
    </row>
    <row r="3" spans="2:12">
      <c r="B3" s="3" t="s">
        <v>40</v>
      </c>
    </row>
    <row r="4" spans="2:12">
      <c r="B4" s="3" t="s">
        <v>31</v>
      </c>
    </row>
    <row r="5" spans="2:12">
      <c r="B5" s="4" t="s">
        <v>116</v>
      </c>
    </row>
    <row r="6" spans="2:12">
      <c r="B6" s="3" t="s">
        <v>32</v>
      </c>
    </row>
    <row r="7" spans="2:12" ht="35" customHeight="1">
      <c r="B7" s="5"/>
      <c r="C7" s="5"/>
      <c r="D7" s="5"/>
      <c r="E7" s="5"/>
      <c r="F7" s="5"/>
      <c r="G7" s="5"/>
      <c r="H7" s="5"/>
      <c r="I7" s="5"/>
      <c r="J7" s="5"/>
      <c r="K7" s="6" t="s">
        <v>63</v>
      </c>
      <c r="L7" s="5"/>
    </row>
    <row r="9" spans="2:12" ht="26" customHeight="1">
      <c r="B9" s="1">
        <v>1</v>
      </c>
      <c r="C9" s="8" t="s">
        <v>42</v>
      </c>
      <c r="D9" s="9"/>
      <c r="E9" s="9"/>
      <c r="F9" s="9"/>
      <c r="G9" s="9"/>
      <c r="H9" s="8"/>
      <c r="I9" s="8"/>
      <c r="J9" s="8"/>
      <c r="K9" s="8"/>
      <c r="L9" s="5"/>
    </row>
    <row r="10" spans="2:12">
      <c r="B10" s="1">
        <v>2</v>
      </c>
    </row>
    <row r="11" spans="2:12" ht="54">
      <c r="B11" s="1">
        <v>3</v>
      </c>
      <c r="C11" s="2" t="s">
        <v>4</v>
      </c>
      <c r="F11" s="10" t="s">
        <v>33</v>
      </c>
      <c r="G11" s="10" t="s">
        <v>66</v>
      </c>
      <c r="H11" s="10" t="s">
        <v>75</v>
      </c>
      <c r="I11" s="10" t="s">
        <v>34</v>
      </c>
      <c r="J11" s="11" t="s">
        <v>35</v>
      </c>
      <c r="K11" s="11" t="s">
        <v>36</v>
      </c>
      <c r="L11" s="12"/>
    </row>
    <row r="12" spans="2:12">
      <c r="B12" s="1">
        <v>4</v>
      </c>
      <c r="C12" s="2"/>
      <c r="D12" s="3" t="s">
        <v>55</v>
      </c>
      <c r="F12" s="13">
        <v>0</v>
      </c>
      <c r="G12" s="14"/>
      <c r="H12" s="15">
        <v>0</v>
      </c>
      <c r="I12" s="14">
        <f>G12*H12</f>
        <v>0</v>
      </c>
      <c r="J12" s="14">
        <f>I12</f>
        <v>0</v>
      </c>
      <c r="K12" s="16">
        <f>J12</f>
        <v>0</v>
      </c>
      <c r="L12" s="12"/>
    </row>
    <row r="13" spans="2:12">
      <c r="B13" s="1">
        <v>5</v>
      </c>
      <c r="C13" s="2"/>
      <c r="D13" s="17" t="s">
        <v>1</v>
      </c>
      <c r="E13" s="17"/>
      <c r="F13" s="18">
        <v>1</v>
      </c>
      <c r="G13" s="14">
        <v>10600</v>
      </c>
      <c r="H13" s="19">
        <v>45</v>
      </c>
      <c r="I13" s="14">
        <f>G13*H13</f>
        <v>477000</v>
      </c>
      <c r="J13" s="14">
        <f>I13</f>
        <v>477000</v>
      </c>
      <c r="K13" s="16">
        <f>J13</f>
        <v>477000</v>
      </c>
      <c r="L13" s="12"/>
    </row>
    <row r="14" spans="2:12">
      <c r="B14" s="1">
        <v>6</v>
      </c>
      <c r="C14" s="2"/>
      <c r="D14" s="3" t="s">
        <v>43</v>
      </c>
      <c r="F14" s="18">
        <v>1</v>
      </c>
      <c r="G14" s="20">
        <v>15700</v>
      </c>
      <c r="H14" s="19">
        <v>38</v>
      </c>
      <c r="I14" s="14">
        <f t="shared" ref="I14:I19" si="0">G14*H14</f>
        <v>596600</v>
      </c>
      <c r="J14" s="14">
        <f t="shared" ref="J14:K19" si="1">I14</f>
        <v>596600</v>
      </c>
      <c r="K14" s="16">
        <f t="shared" si="1"/>
        <v>596600</v>
      </c>
      <c r="L14" s="12"/>
    </row>
    <row r="15" spans="2:12">
      <c r="B15" s="1">
        <v>7</v>
      </c>
      <c r="C15" s="2"/>
      <c r="D15" s="3" t="s">
        <v>44</v>
      </c>
      <c r="F15" s="18">
        <v>1</v>
      </c>
      <c r="G15" s="20">
        <v>18700</v>
      </c>
      <c r="H15" s="19">
        <v>38</v>
      </c>
      <c r="I15" s="14">
        <f t="shared" si="0"/>
        <v>710600</v>
      </c>
      <c r="J15" s="14">
        <f t="shared" si="1"/>
        <v>710600</v>
      </c>
      <c r="K15" s="16">
        <f t="shared" si="1"/>
        <v>710600</v>
      </c>
      <c r="L15" s="12"/>
    </row>
    <row r="16" spans="2:12">
      <c r="B16" s="1">
        <v>8</v>
      </c>
      <c r="D16" s="3" t="s">
        <v>45</v>
      </c>
      <c r="F16" s="18">
        <v>1</v>
      </c>
      <c r="G16" s="20">
        <v>18700</v>
      </c>
      <c r="H16" s="19">
        <v>38</v>
      </c>
      <c r="I16" s="14">
        <f t="shared" si="0"/>
        <v>710600</v>
      </c>
      <c r="J16" s="14">
        <f t="shared" si="1"/>
        <v>710600</v>
      </c>
      <c r="K16" s="16">
        <f t="shared" si="1"/>
        <v>710600</v>
      </c>
    </row>
    <row r="17" spans="2:16">
      <c r="B17" s="1">
        <v>9</v>
      </c>
      <c r="D17" s="3" t="s">
        <v>46</v>
      </c>
      <c r="F17" s="18">
        <v>0</v>
      </c>
      <c r="G17" s="20">
        <v>0</v>
      </c>
      <c r="H17" s="19">
        <v>0</v>
      </c>
      <c r="I17" s="14">
        <f t="shared" si="0"/>
        <v>0</v>
      </c>
      <c r="J17" s="14">
        <f t="shared" si="1"/>
        <v>0</v>
      </c>
      <c r="K17" s="16">
        <f t="shared" si="1"/>
        <v>0</v>
      </c>
    </row>
    <row r="18" spans="2:16">
      <c r="B18" s="1">
        <v>10</v>
      </c>
      <c r="D18" s="3" t="s">
        <v>47</v>
      </c>
      <c r="F18" s="18">
        <v>0</v>
      </c>
      <c r="G18" s="20">
        <v>0</v>
      </c>
      <c r="H18" s="19">
        <v>0</v>
      </c>
      <c r="I18" s="14">
        <f t="shared" si="0"/>
        <v>0</v>
      </c>
      <c r="J18" s="14">
        <f t="shared" si="1"/>
        <v>0</v>
      </c>
      <c r="K18" s="16">
        <f t="shared" si="1"/>
        <v>0</v>
      </c>
    </row>
    <row r="19" spans="2:16">
      <c r="B19" s="1">
        <v>11</v>
      </c>
      <c r="D19" s="21" t="s">
        <v>48</v>
      </c>
      <c r="E19" s="21"/>
      <c r="F19" s="22">
        <v>0</v>
      </c>
      <c r="G19" s="23">
        <v>0</v>
      </c>
      <c r="H19" s="24">
        <v>0</v>
      </c>
      <c r="I19" s="25">
        <f t="shared" si="0"/>
        <v>0</v>
      </c>
      <c r="J19" s="25">
        <f t="shared" si="1"/>
        <v>0</v>
      </c>
      <c r="K19" s="26">
        <f t="shared" si="1"/>
        <v>0</v>
      </c>
    </row>
    <row r="20" spans="2:16">
      <c r="B20" s="1">
        <v>12</v>
      </c>
      <c r="D20" s="3" t="s">
        <v>2</v>
      </c>
      <c r="F20" s="27">
        <f>SUM(F12:F19)</f>
        <v>4</v>
      </c>
      <c r="G20" s="28">
        <f>SUM(G12:G19)</f>
        <v>63700</v>
      </c>
      <c r="H20" s="29"/>
      <c r="I20" s="28"/>
      <c r="J20" s="28">
        <f>SUM(J12:J19)</f>
        <v>2494800</v>
      </c>
      <c r="K20" s="28">
        <f>SUM(K12:K19)</f>
        <v>2494800</v>
      </c>
    </row>
    <row r="21" spans="2:16">
      <c r="B21" s="1">
        <v>13</v>
      </c>
    </row>
    <row r="22" spans="2:16">
      <c r="B22" s="1">
        <v>14</v>
      </c>
      <c r="C22" s="3" t="s">
        <v>3</v>
      </c>
      <c r="P22" s="30"/>
    </row>
    <row r="23" spans="2:16">
      <c r="B23" s="1">
        <v>15</v>
      </c>
      <c r="D23" s="3" t="s">
        <v>0</v>
      </c>
    </row>
    <row r="24" spans="2:16">
      <c r="B24" s="1">
        <v>16</v>
      </c>
      <c r="E24" s="3" t="s">
        <v>67</v>
      </c>
      <c r="F24" s="31">
        <f>SUM(J14:J19)*5.5%</f>
        <v>110979</v>
      </c>
      <c r="G24" s="31">
        <f>J20-F24</f>
        <v>2383821</v>
      </c>
      <c r="P24" s="32"/>
    </row>
    <row r="25" spans="2:16">
      <c r="B25" s="1">
        <v>17</v>
      </c>
      <c r="E25" s="3" t="s">
        <v>5</v>
      </c>
      <c r="F25" s="31"/>
      <c r="H25" s="33">
        <v>6.25E-2</v>
      </c>
      <c r="I25" s="34">
        <f>G24/H25</f>
        <v>38141136</v>
      </c>
    </row>
    <row r="26" spans="2:16">
      <c r="B26" s="1">
        <v>18</v>
      </c>
      <c r="D26" s="3" t="s">
        <v>1</v>
      </c>
      <c r="F26" s="31"/>
      <c r="G26" s="31"/>
      <c r="K26" s="31"/>
    </row>
    <row r="27" spans="2:16">
      <c r="B27" s="1">
        <v>19</v>
      </c>
      <c r="E27" s="3" t="s">
        <v>67</v>
      </c>
      <c r="F27" s="31">
        <f>SUM(J12:J13)*5.5%</f>
        <v>26235</v>
      </c>
      <c r="G27" s="35">
        <f>J13-F27</f>
        <v>450765</v>
      </c>
    </row>
    <row r="28" spans="2:16">
      <c r="B28" s="1">
        <v>20</v>
      </c>
      <c r="D28" s="21"/>
      <c r="E28" s="21" t="s">
        <v>5</v>
      </c>
      <c r="F28" s="21"/>
      <c r="G28" s="21"/>
      <c r="H28" s="36">
        <v>6.25E-2</v>
      </c>
      <c r="I28" s="37">
        <f>G27/H28</f>
        <v>7212240</v>
      </c>
    </row>
    <row r="29" spans="2:16">
      <c r="B29" s="1">
        <v>21</v>
      </c>
      <c r="D29" s="3" t="s">
        <v>2</v>
      </c>
      <c r="I29" s="34">
        <f>SUM(I25:I28)</f>
        <v>45353376</v>
      </c>
    </row>
    <row r="30" spans="2:16">
      <c r="B30" s="1">
        <v>22</v>
      </c>
      <c r="I30" s="34"/>
    </row>
    <row r="31" spans="2:16">
      <c r="B31" s="1">
        <v>23</v>
      </c>
      <c r="C31" s="3" t="s">
        <v>6</v>
      </c>
    </row>
    <row r="32" spans="2:16">
      <c r="B32" s="1">
        <v>24</v>
      </c>
      <c r="D32" s="3" t="s">
        <v>0</v>
      </c>
      <c r="G32" s="30"/>
      <c r="I32" s="38">
        <v>0</v>
      </c>
    </row>
    <row r="33" spans="2:14">
      <c r="B33" s="1">
        <v>25</v>
      </c>
      <c r="D33" s="21" t="s">
        <v>1</v>
      </c>
      <c r="E33" s="21"/>
      <c r="F33" s="21"/>
      <c r="G33" s="21"/>
      <c r="H33" s="21"/>
      <c r="I33" s="25">
        <v>0</v>
      </c>
    </row>
    <row r="34" spans="2:14">
      <c r="B34" s="1">
        <v>26</v>
      </c>
      <c r="D34" s="3" t="s">
        <v>12</v>
      </c>
      <c r="I34" s="38">
        <f>I32+I33</f>
        <v>0</v>
      </c>
    </row>
    <row r="35" spans="2:14">
      <c r="B35" s="1">
        <v>27</v>
      </c>
      <c r="K35" s="29"/>
      <c r="L35" s="29"/>
    </row>
    <row r="36" spans="2:14">
      <c r="B36" s="1">
        <v>28</v>
      </c>
      <c r="C36" s="2" t="s">
        <v>7</v>
      </c>
      <c r="I36" s="34">
        <f>I29+I34</f>
        <v>45353376</v>
      </c>
      <c r="K36" s="39"/>
      <c r="L36" s="40"/>
      <c r="N36" s="32"/>
    </row>
    <row r="37" spans="2:14">
      <c r="B37" s="1">
        <v>29</v>
      </c>
      <c r="K37" s="29"/>
      <c r="L37" s="29"/>
    </row>
    <row r="38" spans="2:14">
      <c r="B38" s="1">
        <v>30</v>
      </c>
      <c r="C38" s="41" t="s">
        <v>41</v>
      </c>
      <c r="D38" s="5"/>
      <c r="E38" s="5"/>
      <c r="F38" s="5"/>
      <c r="G38" s="5"/>
      <c r="H38" s="5"/>
      <c r="I38" s="5"/>
      <c r="J38" s="5"/>
      <c r="K38" s="5"/>
      <c r="L38" s="5"/>
    </row>
    <row r="39" spans="2:14">
      <c r="B39" s="1">
        <v>31</v>
      </c>
      <c r="K39" s="29"/>
      <c r="L39" s="29"/>
    </row>
    <row r="40" spans="2:14">
      <c r="B40" s="1">
        <v>32</v>
      </c>
      <c r="C40" s="2" t="s">
        <v>8</v>
      </c>
      <c r="H40" s="28"/>
      <c r="I40" s="28"/>
      <c r="K40" s="29"/>
      <c r="L40" s="29"/>
    </row>
    <row r="41" spans="2:14">
      <c r="B41" s="1">
        <v>33</v>
      </c>
      <c r="D41" s="3" t="s">
        <v>9</v>
      </c>
      <c r="F41" s="3">
        <v>3.47</v>
      </c>
      <c r="G41" s="42">
        <v>800000</v>
      </c>
      <c r="H41" s="38">
        <f>F41*G41</f>
        <v>2776000</v>
      </c>
      <c r="I41" s="38"/>
      <c r="K41" s="29"/>
      <c r="L41" s="29"/>
    </row>
    <row r="42" spans="2:14">
      <c r="B42" s="1">
        <v>34</v>
      </c>
      <c r="H42" s="38"/>
      <c r="I42" s="38">
        <f>H41</f>
        <v>2776000</v>
      </c>
      <c r="J42" s="33"/>
      <c r="K42" s="39"/>
      <c r="L42" s="43"/>
    </row>
    <row r="43" spans="2:14">
      <c r="B43" s="1">
        <v>35</v>
      </c>
      <c r="C43" s="2" t="s">
        <v>68</v>
      </c>
      <c r="H43" s="28"/>
      <c r="I43" s="38"/>
      <c r="K43" s="39"/>
      <c r="L43" s="43"/>
    </row>
    <row r="44" spans="2:14">
      <c r="B44" s="1">
        <v>36</v>
      </c>
      <c r="C44" s="3" t="s">
        <v>11</v>
      </c>
      <c r="F44" s="44" t="s">
        <v>66</v>
      </c>
      <c r="G44" s="44" t="s">
        <v>75</v>
      </c>
      <c r="H44" s="45" t="s">
        <v>37</v>
      </c>
      <c r="I44" s="38"/>
      <c r="K44" s="39"/>
      <c r="L44" s="43"/>
    </row>
    <row r="45" spans="2:14">
      <c r="B45" s="1">
        <v>37</v>
      </c>
      <c r="D45" s="29" t="s">
        <v>55</v>
      </c>
      <c r="E45" s="29"/>
      <c r="F45" s="14">
        <v>0</v>
      </c>
      <c r="G45" s="19">
        <v>0</v>
      </c>
      <c r="H45" s="14">
        <f>F45*G45</f>
        <v>0</v>
      </c>
      <c r="I45" s="38"/>
      <c r="J45" s="29"/>
      <c r="K45" s="39"/>
      <c r="L45" s="43"/>
      <c r="M45" s="29"/>
    </row>
    <row r="46" spans="2:14">
      <c r="B46" s="1">
        <v>38</v>
      </c>
      <c r="D46" s="46" t="s">
        <v>1</v>
      </c>
      <c r="E46" s="46"/>
      <c r="F46" s="47">
        <v>20020</v>
      </c>
      <c r="G46" s="48">
        <v>213.32</v>
      </c>
      <c r="H46" s="47">
        <f>F46*G46</f>
        <v>4270666.3999999994</v>
      </c>
      <c r="I46" s="38"/>
      <c r="J46" s="28"/>
      <c r="K46" s="29"/>
      <c r="L46" s="29"/>
    </row>
    <row r="47" spans="2:14">
      <c r="B47" s="1">
        <v>39</v>
      </c>
      <c r="D47" s="3" t="s">
        <v>43</v>
      </c>
      <c r="F47" s="28">
        <v>20020</v>
      </c>
      <c r="G47" s="48">
        <v>213.32</v>
      </c>
      <c r="H47" s="47">
        <f t="shared" ref="H47:H52" si="2">F47*G47</f>
        <v>4270666.3999999994</v>
      </c>
      <c r="I47" s="38"/>
      <c r="J47" s="28"/>
      <c r="K47" s="39"/>
      <c r="L47" s="43"/>
    </row>
    <row r="48" spans="2:14">
      <c r="B48" s="1">
        <v>40</v>
      </c>
      <c r="D48" s="3" t="s">
        <v>44</v>
      </c>
      <c r="F48" s="28">
        <v>20020</v>
      </c>
      <c r="G48" s="48">
        <v>213.32</v>
      </c>
      <c r="H48" s="47">
        <f t="shared" si="2"/>
        <v>4270666.3999999994</v>
      </c>
      <c r="I48" s="38"/>
      <c r="J48" s="28"/>
      <c r="K48" s="39"/>
      <c r="L48" s="43"/>
    </row>
    <row r="49" spans="2:13">
      <c r="B49" s="1">
        <v>41</v>
      </c>
      <c r="D49" s="3" t="s">
        <v>45</v>
      </c>
      <c r="F49" s="28">
        <v>20020</v>
      </c>
      <c r="G49" s="48">
        <v>213.32</v>
      </c>
      <c r="H49" s="47">
        <f t="shared" si="2"/>
        <v>4270666.3999999994</v>
      </c>
      <c r="I49" s="38"/>
      <c r="J49" s="28"/>
      <c r="K49" s="39"/>
      <c r="L49" s="43"/>
    </row>
    <row r="50" spans="2:13">
      <c r="B50" s="1">
        <v>42</v>
      </c>
      <c r="D50" s="3" t="s">
        <v>46</v>
      </c>
      <c r="F50" s="28">
        <v>0</v>
      </c>
      <c r="G50" s="48">
        <v>0</v>
      </c>
      <c r="H50" s="47">
        <f t="shared" si="2"/>
        <v>0</v>
      </c>
      <c r="I50" s="38"/>
      <c r="J50" s="28"/>
      <c r="K50" s="39"/>
      <c r="L50" s="43"/>
    </row>
    <row r="51" spans="2:13">
      <c r="B51" s="1">
        <v>43</v>
      </c>
      <c r="D51" s="46" t="s">
        <v>47</v>
      </c>
      <c r="E51" s="46"/>
      <c r="F51" s="28">
        <v>0</v>
      </c>
      <c r="G51" s="48">
        <v>0</v>
      </c>
      <c r="H51" s="47">
        <f t="shared" si="2"/>
        <v>0</v>
      </c>
      <c r="I51" s="14"/>
      <c r="J51" s="28"/>
      <c r="K51" s="39"/>
      <c r="L51" s="43"/>
    </row>
    <row r="52" spans="2:13">
      <c r="B52" s="1">
        <v>44</v>
      </c>
      <c r="D52" s="21" t="s">
        <v>48</v>
      </c>
      <c r="E52" s="21"/>
      <c r="F52" s="49">
        <v>0</v>
      </c>
      <c r="G52" s="50">
        <v>0</v>
      </c>
      <c r="H52" s="49">
        <f t="shared" si="2"/>
        <v>0</v>
      </c>
      <c r="I52" s="25"/>
      <c r="J52" s="28"/>
      <c r="K52" s="39"/>
      <c r="L52" s="43"/>
      <c r="M52" s="34"/>
    </row>
    <row r="53" spans="2:13">
      <c r="B53" s="1">
        <v>45</v>
      </c>
      <c r="D53" s="3" t="s">
        <v>12</v>
      </c>
      <c r="F53" s="28">
        <f>SUM(F45:F52)</f>
        <v>80080</v>
      </c>
      <c r="G53" s="30"/>
      <c r="H53" s="28">
        <f>SUM(H45:H52)</f>
        <v>17082665.599999998</v>
      </c>
      <c r="I53" s="38">
        <f>H53</f>
        <v>17082665.599999998</v>
      </c>
      <c r="J53" s="33"/>
      <c r="K53" s="39"/>
      <c r="L53" s="43"/>
    </row>
    <row r="54" spans="2:13">
      <c r="B54" s="1">
        <v>46</v>
      </c>
      <c r="H54" s="28"/>
      <c r="I54" s="38"/>
      <c r="K54" s="39"/>
      <c r="L54" s="43"/>
    </row>
    <row r="55" spans="2:13">
      <c r="B55" s="1">
        <v>47</v>
      </c>
      <c r="D55" s="3" t="s">
        <v>13</v>
      </c>
      <c r="G55" s="33">
        <v>0.05</v>
      </c>
      <c r="H55" s="28">
        <f>H53*G55</f>
        <v>854133.27999999991</v>
      </c>
      <c r="I55" s="38"/>
      <c r="K55" s="39"/>
      <c r="L55" s="43"/>
    </row>
    <row r="56" spans="2:13">
      <c r="B56" s="1">
        <v>48</v>
      </c>
      <c r="H56" s="28"/>
      <c r="I56" s="38">
        <f>H55</f>
        <v>854133.27999999991</v>
      </c>
      <c r="J56" s="33"/>
      <c r="K56" s="39"/>
      <c r="L56" s="43"/>
    </row>
    <row r="57" spans="2:13">
      <c r="B57" s="1">
        <v>49</v>
      </c>
      <c r="C57" s="3" t="s">
        <v>14</v>
      </c>
      <c r="F57" s="44" t="s">
        <v>66</v>
      </c>
      <c r="G57" s="44" t="s">
        <v>75</v>
      </c>
      <c r="H57" s="28"/>
      <c r="I57" s="38"/>
      <c r="K57" s="39"/>
      <c r="L57" s="43"/>
    </row>
    <row r="58" spans="2:13">
      <c r="B58" s="1">
        <v>50</v>
      </c>
      <c r="D58" s="3" t="s">
        <v>69</v>
      </c>
      <c r="F58" s="28">
        <f>F53</f>
        <v>80080</v>
      </c>
      <c r="G58" s="51">
        <v>1</v>
      </c>
      <c r="H58" s="28">
        <f>F58*G58</f>
        <v>80080</v>
      </c>
      <c r="I58" s="38"/>
      <c r="K58" s="39"/>
      <c r="L58" s="43"/>
    </row>
    <row r="59" spans="2:13">
      <c r="B59" s="1">
        <v>51</v>
      </c>
      <c r="D59" s="3" t="s">
        <v>70</v>
      </c>
      <c r="F59" s="28">
        <f>F53</f>
        <v>80080</v>
      </c>
      <c r="G59" s="51">
        <v>1</v>
      </c>
      <c r="H59" s="28">
        <f>F59*G59</f>
        <v>80080</v>
      </c>
      <c r="I59" s="38"/>
      <c r="K59" s="39"/>
      <c r="L59" s="43"/>
    </row>
    <row r="60" spans="2:13">
      <c r="B60" s="1">
        <v>52</v>
      </c>
      <c r="H60" s="28"/>
      <c r="I60" s="38">
        <f>SUM(H58:H59)</f>
        <v>160160</v>
      </c>
      <c r="K60" s="39"/>
      <c r="L60" s="43"/>
    </row>
    <row r="61" spans="2:13">
      <c r="B61" s="1"/>
      <c r="H61" s="28"/>
      <c r="I61" s="38"/>
      <c r="K61" s="39"/>
      <c r="L61" s="43"/>
    </row>
    <row r="62" spans="2:13">
      <c r="B62" s="1">
        <v>53</v>
      </c>
      <c r="C62" s="3" t="s">
        <v>92</v>
      </c>
      <c r="H62" s="28"/>
      <c r="I62" s="38"/>
      <c r="K62" s="39"/>
      <c r="L62" s="43"/>
    </row>
    <row r="63" spans="2:13">
      <c r="B63" s="1">
        <v>54</v>
      </c>
      <c r="D63" s="3" t="s">
        <v>56</v>
      </c>
      <c r="F63" s="34">
        <f t="shared" ref="F63:F68" si="3">G12</f>
        <v>0</v>
      </c>
      <c r="G63" s="51">
        <v>0</v>
      </c>
      <c r="H63" s="28">
        <f>F63*G63</f>
        <v>0</v>
      </c>
      <c r="I63" s="38"/>
      <c r="K63" s="39"/>
      <c r="L63" s="43"/>
    </row>
    <row r="64" spans="2:13">
      <c r="B64" s="1">
        <v>55</v>
      </c>
      <c r="D64" s="3" t="s">
        <v>39</v>
      </c>
      <c r="F64" s="34">
        <f t="shared" si="3"/>
        <v>10600</v>
      </c>
      <c r="G64" s="51">
        <v>20</v>
      </c>
      <c r="H64" s="38">
        <v>286300</v>
      </c>
      <c r="I64" s="38"/>
      <c r="K64" s="39"/>
      <c r="L64" s="43"/>
    </row>
    <row r="65" spans="2:12">
      <c r="B65" s="1">
        <v>56</v>
      </c>
      <c r="D65" s="3" t="s">
        <v>49</v>
      </c>
      <c r="F65" s="34">
        <f t="shared" si="3"/>
        <v>15700</v>
      </c>
      <c r="G65" s="51">
        <v>20</v>
      </c>
      <c r="H65" s="38">
        <f>F65*G65</f>
        <v>314000</v>
      </c>
      <c r="I65" s="38"/>
      <c r="K65" s="39"/>
      <c r="L65" s="43"/>
    </row>
    <row r="66" spans="2:12">
      <c r="B66" s="1">
        <v>57</v>
      </c>
      <c r="D66" s="3" t="s">
        <v>50</v>
      </c>
      <c r="F66" s="34">
        <f t="shared" si="3"/>
        <v>18700</v>
      </c>
      <c r="G66" s="51">
        <v>20</v>
      </c>
      <c r="H66" s="38">
        <f t="shared" ref="H66:H70" si="4">F66*G66</f>
        <v>374000</v>
      </c>
      <c r="I66" s="38"/>
      <c r="J66" s="34"/>
      <c r="K66" s="39"/>
      <c r="L66" s="43"/>
    </row>
    <row r="67" spans="2:12">
      <c r="B67" s="1">
        <v>58</v>
      </c>
      <c r="D67" s="3" t="s">
        <v>51</v>
      </c>
      <c r="F67" s="34">
        <f t="shared" si="3"/>
        <v>18700</v>
      </c>
      <c r="G67" s="51">
        <v>20</v>
      </c>
      <c r="H67" s="38">
        <f t="shared" si="4"/>
        <v>374000</v>
      </c>
      <c r="I67" s="38"/>
      <c r="K67" s="39"/>
      <c r="L67" s="43"/>
    </row>
    <row r="68" spans="2:12">
      <c r="B68" s="1">
        <v>59</v>
      </c>
      <c r="D68" s="3" t="s">
        <v>52</v>
      </c>
      <c r="F68" s="34">
        <f t="shared" si="3"/>
        <v>0</v>
      </c>
      <c r="G68" s="51">
        <v>0</v>
      </c>
      <c r="H68" s="38">
        <f t="shared" si="4"/>
        <v>0</v>
      </c>
      <c r="I68" s="38"/>
      <c r="K68" s="39"/>
      <c r="L68" s="43"/>
    </row>
    <row r="69" spans="2:12">
      <c r="B69" s="1">
        <v>60</v>
      </c>
      <c r="D69" s="3" t="s">
        <v>53</v>
      </c>
      <c r="F69" s="34">
        <v>0</v>
      </c>
      <c r="G69" s="51">
        <v>0</v>
      </c>
      <c r="H69" s="38">
        <f t="shared" si="4"/>
        <v>0</v>
      </c>
      <c r="I69" s="38"/>
      <c r="K69" s="39"/>
      <c r="L69" s="43"/>
    </row>
    <row r="70" spans="2:12">
      <c r="B70" s="1">
        <v>61</v>
      </c>
      <c r="D70" s="21" t="s">
        <v>54</v>
      </c>
      <c r="E70" s="21"/>
      <c r="F70" s="37">
        <f t="shared" ref="F70" si="5">G19</f>
        <v>0</v>
      </c>
      <c r="G70" s="50">
        <v>0</v>
      </c>
      <c r="H70" s="25">
        <f t="shared" si="4"/>
        <v>0</v>
      </c>
      <c r="I70" s="25"/>
      <c r="K70" s="39"/>
      <c r="L70" s="43"/>
    </row>
    <row r="71" spans="2:12">
      <c r="B71" s="1">
        <v>62</v>
      </c>
      <c r="D71" s="17" t="s">
        <v>12</v>
      </c>
      <c r="F71" s="34">
        <f>SUM(F63:F70)</f>
        <v>63700</v>
      </c>
      <c r="H71" s="34">
        <f>SUM(H63:H70)</f>
        <v>1348300</v>
      </c>
      <c r="I71" s="38">
        <f>SUM(H63:H70)</f>
        <v>1348300</v>
      </c>
      <c r="K71" s="39"/>
      <c r="L71" s="43"/>
    </row>
    <row r="72" spans="2:12">
      <c r="B72" s="1">
        <v>63</v>
      </c>
      <c r="H72" s="28"/>
      <c r="I72" s="29"/>
      <c r="K72" s="29"/>
      <c r="L72" s="29"/>
    </row>
    <row r="73" spans="2:12">
      <c r="B73" s="1">
        <v>64</v>
      </c>
      <c r="C73" s="2" t="s">
        <v>17</v>
      </c>
      <c r="H73" s="28"/>
      <c r="I73" s="28"/>
      <c r="K73" s="39"/>
      <c r="L73" s="43"/>
    </row>
    <row r="74" spans="2:12">
      <c r="B74" s="1">
        <v>65</v>
      </c>
      <c r="D74" s="3" t="s">
        <v>71</v>
      </c>
      <c r="H74" s="28">
        <v>115000</v>
      </c>
      <c r="I74" s="28"/>
      <c r="K74" s="39"/>
      <c r="L74" s="43"/>
    </row>
    <row r="75" spans="2:12">
      <c r="B75" s="1">
        <v>66</v>
      </c>
      <c r="D75" s="3" t="s">
        <v>18</v>
      </c>
      <c r="F75" s="34">
        <f>H53</f>
        <v>17082665.599999998</v>
      </c>
      <c r="G75" s="33">
        <v>7.0000000000000001E-3</v>
      </c>
      <c r="H75" s="28">
        <f>F75*G75</f>
        <v>119578.65919999998</v>
      </c>
      <c r="I75" s="38"/>
      <c r="J75" s="34"/>
      <c r="K75" s="39"/>
      <c r="L75" s="43"/>
    </row>
    <row r="76" spans="2:12">
      <c r="B76" s="1">
        <v>67</v>
      </c>
      <c r="D76" s="3" t="s">
        <v>19</v>
      </c>
      <c r="F76" s="34">
        <f>H53</f>
        <v>17082665.599999998</v>
      </c>
      <c r="G76" s="33">
        <v>5.0000000000000001E-3</v>
      </c>
      <c r="H76" s="28">
        <f>F75*G76</f>
        <v>85413.327999999994</v>
      </c>
      <c r="I76" s="38"/>
      <c r="J76" s="34"/>
      <c r="K76" s="39"/>
      <c r="L76" s="43"/>
    </row>
    <row r="77" spans="2:12">
      <c r="B77" s="1">
        <v>68</v>
      </c>
      <c r="D77" s="3" t="s">
        <v>72</v>
      </c>
      <c r="F77" s="34">
        <f>H53</f>
        <v>17082665.599999998</v>
      </c>
      <c r="G77" s="52">
        <v>6.5000000000000002E-2</v>
      </c>
      <c r="H77" s="28">
        <f t="shared" ref="H77:H80" si="6">F77*G77</f>
        <v>1110373.264</v>
      </c>
      <c r="I77" s="38"/>
      <c r="J77" s="34"/>
      <c r="K77" s="39"/>
      <c r="L77" s="43"/>
    </row>
    <row r="78" spans="2:12">
      <c r="B78" s="1">
        <v>69</v>
      </c>
      <c r="D78" s="3" t="s">
        <v>20</v>
      </c>
      <c r="F78" s="34">
        <f>H53</f>
        <v>17082665.599999998</v>
      </c>
      <c r="G78" s="52">
        <v>0.02</v>
      </c>
      <c r="H78" s="28">
        <f t="shared" si="6"/>
        <v>341653.31199999998</v>
      </c>
      <c r="I78" s="38"/>
      <c r="J78" s="34"/>
      <c r="K78" s="39"/>
      <c r="L78" s="43"/>
    </row>
    <row r="79" spans="2:12">
      <c r="B79" s="1">
        <v>70</v>
      </c>
      <c r="D79" s="3" t="s">
        <v>94</v>
      </c>
      <c r="F79" s="34"/>
      <c r="H79" s="28">
        <v>35000</v>
      </c>
      <c r="I79" s="38"/>
      <c r="J79" s="34"/>
      <c r="K79" s="39"/>
      <c r="L79" s="43"/>
    </row>
    <row r="80" spans="2:12">
      <c r="B80" s="1">
        <v>71</v>
      </c>
      <c r="D80" s="21" t="s">
        <v>21</v>
      </c>
      <c r="E80" s="21"/>
      <c r="F80" s="53">
        <f>SUM(H74:H79)</f>
        <v>1807018.5631999997</v>
      </c>
      <c r="G80" s="54">
        <v>0.1</v>
      </c>
      <c r="H80" s="49">
        <f t="shared" si="6"/>
        <v>180701.85631999999</v>
      </c>
      <c r="I80" s="25"/>
      <c r="J80" s="34"/>
      <c r="K80" s="39"/>
      <c r="L80" s="43"/>
    </row>
    <row r="81" spans="2:15">
      <c r="B81" s="1">
        <v>72</v>
      </c>
      <c r="D81" s="17" t="s">
        <v>12</v>
      </c>
      <c r="H81" s="28"/>
      <c r="I81" s="38">
        <f>SUM(H74:H80)</f>
        <v>1987720.4195199998</v>
      </c>
      <c r="K81" s="39"/>
      <c r="L81" s="43"/>
      <c r="N81" s="30"/>
    </row>
    <row r="82" spans="2:15">
      <c r="B82" s="1">
        <v>73</v>
      </c>
      <c r="H82" s="28"/>
      <c r="I82" s="28"/>
      <c r="K82" s="39"/>
      <c r="L82" s="43"/>
    </row>
    <row r="83" spans="2:15">
      <c r="B83" s="1">
        <v>74</v>
      </c>
      <c r="C83" s="2" t="s">
        <v>73</v>
      </c>
      <c r="H83" s="28"/>
      <c r="I83" s="28"/>
      <c r="K83" s="39"/>
      <c r="L83" s="43"/>
    </row>
    <row r="84" spans="2:15">
      <c r="B84" s="1">
        <v>75</v>
      </c>
      <c r="D84" s="3" t="s">
        <v>22</v>
      </c>
      <c r="F84" s="34">
        <f>H53</f>
        <v>17082665.599999998</v>
      </c>
      <c r="G84" s="55">
        <v>0.02</v>
      </c>
      <c r="H84" s="38">
        <f>F84*G84</f>
        <v>341653.31199999998</v>
      </c>
      <c r="I84" s="28"/>
      <c r="K84" s="39"/>
      <c r="L84" s="43"/>
      <c r="N84" s="30"/>
    </row>
    <row r="85" spans="2:15">
      <c r="B85" s="1">
        <v>76</v>
      </c>
      <c r="D85" s="3" t="s">
        <v>23</v>
      </c>
      <c r="F85" s="34">
        <f>G20</f>
        <v>63700</v>
      </c>
      <c r="G85" s="56">
        <v>3</v>
      </c>
      <c r="H85" s="38">
        <f>F85*G85</f>
        <v>191100</v>
      </c>
      <c r="I85" s="28"/>
      <c r="K85" s="39"/>
      <c r="L85" s="43"/>
    </row>
    <row r="86" spans="2:15">
      <c r="B86" s="1">
        <v>77</v>
      </c>
      <c r="D86" s="46" t="s">
        <v>24</v>
      </c>
      <c r="E86" s="46"/>
      <c r="F86" s="14"/>
      <c r="G86" s="69"/>
      <c r="H86" s="14">
        <v>75000</v>
      </c>
      <c r="I86" s="70"/>
      <c r="K86" s="39"/>
      <c r="L86" s="43"/>
      <c r="N86" s="30"/>
    </row>
    <row r="87" spans="2:15">
      <c r="B87" s="1">
        <v>78</v>
      </c>
      <c r="D87" s="21" t="s">
        <v>95</v>
      </c>
      <c r="E87" s="21"/>
      <c r="F87" s="25">
        <v>63700</v>
      </c>
      <c r="G87" s="57">
        <f>H87/F87</f>
        <v>1.4468351648351647</v>
      </c>
      <c r="H87" s="25">
        <v>92163.4</v>
      </c>
      <c r="I87" s="58"/>
      <c r="K87" s="39"/>
      <c r="L87" s="43"/>
      <c r="N87" s="30"/>
    </row>
    <row r="88" spans="2:15">
      <c r="B88" s="1">
        <v>79</v>
      </c>
      <c r="D88" s="3" t="s">
        <v>12</v>
      </c>
      <c r="H88" s="28"/>
      <c r="I88" s="28">
        <f>SUM(H84:H87)</f>
        <v>699916.71199999994</v>
      </c>
      <c r="K88" s="39"/>
      <c r="L88" s="43"/>
    </row>
    <row r="89" spans="2:15">
      <c r="B89" s="1">
        <v>80</v>
      </c>
      <c r="H89" s="28"/>
      <c r="I89" s="28"/>
      <c r="K89" s="39"/>
      <c r="L89" s="43"/>
    </row>
    <row r="90" spans="2:15">
      <c r="B90" s="1">
        <v>81</v>
      </c>
      <c r="C90" s="2" t="s">
        <v>57</v>
      </c>
      <c r="H90" s="28"/>
      <c r="I90" s="28">
        <f>I42+I53+I56+I60+I71+I81+I88</f>
        <v>24908896.011519998</v>
      </c>
      <c r="K90" s="39"/>
      <c r="L90" s="43"/>
      <c r="O90" s="30"/>
    </row>
    <row r="91" spans="2:15">
      <c r="B91" s="1">
        <v>82</v>
      </c>
      <c r="C91" s="2" t="s">
        <v>74</v>
      </c>
      <c r="H91" s="28"/>
      <c r="I91" s="59">
        <f>I90/F53</f>
        <v>311.05014999400595</v>
      </c>
      <c r="K91" s="39"/>
      <c r="L91" s="43"/>
      <c r="N91" s="32"/>
    </row>
    <row r="92" spans="2:15">
      <c r="B92" s="1">
        <v>83</v>
      </c>
      <c r="C92" s="2"/>
      <c r="H92" s="28"/>
      <c r="I92" s="28"/>
      <c r="K92" s="39"/>
      <c r="L92" s="43"/>
      <c r="N92" s="30"/>
      <c r="O92" s="32"/>
    </row>
    <row r="93" spans="2:15">
      <c r="B93" s="1">
        <v>84</v>
      </c>
      <c r="C93" s="2" t="s">
        <v>25</v>
      </c>
      <c r="H93" s="28"/>
      <c r="I93" s="28"/>
      <c r="K93" s="39"/>
      <c r="L93" s="43"/>
    </row>
    <row r="94" spans="2:15">
      <c r="B94" s="1">
        <v>85</v>
      </c>
      <c r="D94" s="3" t="s">
        <v>26</v>
      </c>
      <c r="H94" s="28"/>
      <c r="I94" s="28">
        <f>I36-I90</f>
        <v>20444479.988480002</v>
      </c>
      <c r="K94" s="39"/>
      <c r="L94" s="43"/>
    </row>
    <row r="95" spans="2:15">
      <c r="B95" s="1">
        <v>86</v>
      </c>
      <c r="D95" s="3" t="s">
        <v>88</v>
      </c>
      <c r="F95" s="34">
        <f>I94</f>
        <v>20444479.988480002</v>
      </c>
      <c r="G95" s="60">
        <v>1</v>
      </c>
      <c r="H95" s="28">
        <f>F95*G95</f>
        <v>20444479.988480002</v>
      </c>
      <c r="I95" s="28"/>
      <c r="K95" s="29"/>
      <c r="L95" s="43"/>
    </row>
    <row r="96" spans="2:15">
      <c r="B96" s="1">
        <v>87</v>
      </c>
      <c r="H96" s="28"/>
      <c r="I96" s="28"/>
      <c r="K96" s="29"/>
      <c r="L96" s="29"/>
    </row>
    <row r="97" spans="2:15">
      <c r="B97" s="1">
        <v>88</v>
      </c>
    </row>
    <row r="98" spans="2:15">
      <c r="B98" s="1">
        <v>89</v>
      </c>
      <c r="C98" s="41" t="s">
        <v>76</v>
      </c>
      <c r="D98" s="5"/>
      <c r="E98" s="5"/>
      <c r="F98" s="5"/>
      <c r="G98" s="5"/>
      <c r="H98" s="5"/>
      <c r="I98" s="5"/>
      <c r="J98" s="5"/>
      <c r="K98" s="5"/>
      <c r="L98" s="5"/>
    </row>
    <row r="99" spans="2:15">
      <c r="B99" s="1">
        <v>90</v>
      </c>
    </row>
    <row r="100" spans="2:15">
      <c r="B100" s="1">
        <v>91</v>
      </c>
      <c r="C100" s="3" t="s">
        <v>27</v>
      </c>
      <c r="I100" s="61">
        <f>I94/I90</f>
        <v>0.82077021715553877</v>
      </c>
      <c r="K100" s="61"/>
      <c r="L100" s="52"/>
    </row>
    <row r="101" spans="2:15">
      <c r="B101" s="1">
        <v>92</v>
      </c>
      <c r="C101" s="3" t="s">
        <v>28</v>
      </c>
      <c r="I101" s="61">
        <f>I94/(I94+I90)</f>
        <v>0.45078187759341226</v>
      </c>
      <c r="J101" s="62"/>
      <c r="K101" s="61"/>
      <c r="L101" s="52"/>
    </row>
    <row r="102" spans="2:15">
      <c r="B102" s="1">
        <v>93</v>
      </c>
      <c r="C102" s="3" t="s">
        <v>29</v>
      </c>
      <c r="I102" s="61">
        <f>J20/I90</f>
        <v>0.10015698804339589</v>
      </c>
      <c r="K102" s="61"/>
      <c r="L102" s="52"/>
      <c r="O102" s="63"/>
    </row>
    <row r="103" spans="2:15">
      <c r="B103" s="1">
        <v>94</v>
      </c>
      <c r="C103" s="3" t="s">
        <v>30</v>
      </c>
      <c r="I103" s="61">
        <f>J20/I29</f>
        <v>5.5008032919092946E-2</v>
      </c>
      <c r="K103" s="61"/>
      <c r="L103" s="52"/>
    </row>
    <row r="104" spans="2:15">
      <c r="B104" s="7"/>
      <c r="I104" s="61"/>
      <c r="K104" s="61"/>
      <c r="L104" s="52"/>
    </row>
    <row r="111" spans="2:15">
      <c r="E111" s="34"/>
      <c r="G111" s="34"/>
    </row>
    <row r="112" spans="2:15">
      <c r="E112" s="34"/>
    </row>
    <row r="114" spans="5:6">
      <c r="E114" s="62"/>
    </row>
    <row r="116" spans="5:6">
      <c r="F116" s="30"/>
    </row>
    <row r="118" spans="5:6">
      <c r="F118" s="32"/>
    </row>
  </sheetData>
  <printOptions horizontalCentered="1"/>
  <pageMargins left="0.25" right="0.25" top="0.75" bottom="0.75" header="0.3" footer="0.3"/>
  <pageSetup scale="44" fitToHeight="2" orientation="portrait" horizontalDpi="1200" verticalDpi="1200" r:id="rId1"/>
  <rowBreaks count="1" manualBreakCount="1">
    <brk id="60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AA10-B669-DA4B-990B-1202961A4C3B}">
  <sheetPr>
    <pageSetUpPr fitToPage="1"/>
  </sheetPr>
  <dimension ref="B2:O35"/>
  <sheetViews>
    <sheetView zoomScale="80" zoomScaleNormal="80" workbookViewId="0">
      <selection activeCell="D23" sqref="D23"/>
    </sheetView>
  </sheetViews>
  <sheetFormatPr baseColWidth="10" defaultColWidth="10.83203125" defaultRowHeight="26" customHeight="1"/>
  <cols>
    <col min="1" max="1" width="5.1640625" style="3" customWidth="1"/>
    <col min="2" max="2" width="10.83203125" style="7" customWidth="1"/>
    <col min="3" max="3" width="43" style="3" customWidth="1"/>
    <col min="4" max="4" width="16.83203125" style="3" customWidth="1"/>
    <col min="5" max="5" width="20.1640625" style="3" customWidth="1"/>
    <col min="6" max="6" width="10.83203125" style="3"/>
    <col min="7" max="7" width="6.33203125" style="3" customWidth="1"/>
    <col min="8" max="8" width="4.1640625" style="29" customWidth="1"/>
    <col min="9" max="9" width="10.83203125" style="29"/>
    <col min="10" max="16384" width="10.83203125" style="3"/>
  </cols>
  <sheetData>
    <row r="2" spans="2:15" ht="26" customHeight="1">
      <c r="B2" s="2" t="s">
        <v>77</v>
      </c>
    </row>
    <row r="3" spans="2:15" ht="26" customHeight="1">
      <c r="B3" s="3" t="s">
        <v>40</v>
      </c>
    </row>
    <row r="4" spans="2:15" ht="26" customHeight="1">
      <c r="B4" s="7" t="s">
        <v>60</v>
      </c>
    </row>
    <row r="5" spans="2:15" ht="26" customHeight="1">
      <c r="B5" s="4" t="s">
        <v>116</v>
      </c>
    </row>
    <row r="6" spans="2:15" ht="26" customHeight="1">
      <c r="B6" s="7" t="s">
        <v>32</v>
      </c>
    </row>
    <row r="7" spans="2:15" ht="26" customHeight="1">
      <c r="B7" s="6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 t="s">
        <v>63</v>
      </c>
    </row>
    <row r="9" spans="2:15" ht="26" customHeight="1">
      <c r="B9" s="1">
        <v>1</v>
      </c>
      <c r="C9" s="2" t="s">
        <v>89</v>
      </c>
      <c r="D9" s="44" t="s">
        <v>61</v>
      </c>
      <c r="E9" s="44" t="s">
        <v>62</v>
      </c>
    </row>
    <row r="10" spans="2:15" ht="26" customHeight="1">
      <c r="B10" s="1">
        <v>2</v>
      </c>
      <c r="C10" s="3" t="s">
        <v>58</v>
      </c>
      <c r="D10" s="30">
        <f>'Test Site_Proforma'!I42/'Test Site_Proforma'!F53</f>
        <v>34.665334665334669</v>
      </c>
      <c r="E10" s="62">
        <f>D10/$D$23</f>
        <v>0.11144612746852135</v>
      </c>
    </row>
    <row r="11" spans="2:15" ht="26" customHeight="1">
      <c r="B11" s="1">
        <v>3</v>
      </c>
      <c r="C11" s="3" t="s">
        <v>84</v>
      </c>
      <c r="D11" s="30">
        <f>'Test Site_Proforma'!G58</f>
        <v>1</v>
      </c>
      <c r="E11" s="62">
        <f>D11/$D$23</f>
        <v>3.214915665590486E-3</v>
      </c>
    </row>
    <row r="12" spans="2:15" ht="26" customHeight="1">
      <c r="B12" s="1">
        <v>4</v>
      </c>
      <c r="D12" s="30"/>
      <c r="E12" s="62"/>
    </row>
    <row r="13" spans="2:15" ht="26" customHeight="1">
      <c r="B13" s="1">
        <v>5</v>
      </c>
      <c r="C13" s="2" t="s">
        <v>90</v>
      </c>
      <c r="D13" s="30"/>
      <c r="E13" s="62"/>
      <c r="G13" s="29"/>
    </row>
    <row r="14" spans="2:15" ht="26" customHeight="1">
      <c r="B14" s="1">
        <v>6</v>
      </c>
      <c r="C14" s="3" t="s">
        <v>78</v>
      </c>
      <c r="D14" s="39">
        <f>'Test Site_Proforma'!I53/'Test Site_Proforma'!F53</f>
        <v>213.31999999999996</v>
      </c>
      <c r="E14" s="62">
        <f>D14/$D$23</f>
        <v>0.68580580978376238</v>
      </c>
      <c r="G14" s="29"/>
    </row>
    <row r="15" spans="2:15" ht="26" customHeight="1">
      <c r="B15" s="1">
        <v>7</v>
      </c>
      <c r="C15" s="3" t="s">
        <v>79</v>
      </c>
      <c r="D15" s="30">
        <f>'Test Site_Proforma'!I56/'Test Site_Proforma'!F53</f>
        <v>10.665999999999999</v>
      </c>
      <c r="E15" s="62">
        <f>D15/$D$23</f>
        <v>3.4290290489188122E-2</v>
      </c>
      <c r="G15" s="29"/>
    </row>
    <row r="16" spans="2:15" ht="26" customHeight="1">
      <c r="B16" s="1">
        <v>8</v>
      </c>
      <c r="C16" s="3" t="s">
        <v>85</v>
      </c>
      <c r="D16" s="30">
        <f>'Test Site_Proforma'!G59</f>
        <v>1</v>
      </c>
      <c r="E16" s="62">
        <f>D16/$D$23</f>
        <v>3.214915665590486E-3</v>
      </c>
      <c r="G16" s="29"/>
    </row>
    <row r="17" spans="2:7" ht="26" customHeight="1">
      <c r="B17" s="1">
        <v>9</v>
      </c>
      <c r="C17" s="3" t="s">
        <v>59</v>
      </c>
      <c r="D17" s="39">
        <f>'Test Site_Proforma'!I81/'Test Site_Proforma'!F53</f>
        <v>24.821683560439556</v>
      </c>
      <c r="E17" s="62">
        <f>D17/$D$23</f>
        <v>7.9799619324786963E-2</v>
      </c>
      <c r="G17" s="29"/>
    </row>
    <row r="18" spans="2:7" ht="26" customHeight="1">
      <c r="B18" s="1">
        <v>10</v>
      </c>
      <c r="D18" s="30"/>
      <c r="E18" s="62"/>
      <c r="G18" s="29"/>
    </row>
    <row r="19" spans="2:7" ht="26" customHeight="1">
      <c r="B19" s="1">
        <v>11</v>
      </c>
      <c r="C19" s="2" t="s">
        <v>80</v>
      </c>
      <c r="D19" s="30"/>
      <c r="E19" s="62"/>
      <c r="G19" s="29"/>
    </row>
    <row r="20" spans="2:7" ht="26" customHeight="1">
      <c r="B20" s="1">
        <v>12</v>
      </c>
      <c r="C20" s="3" t="s">
        <v>81</v>
      </c>
      <c r="D20" s="39">
        <f>'Test Site_Proforma'!I71/'Test Site_Proforma'!F53</f>
        <v>16.836913086913086</v>
      </c>
      <c r="E20" s="62">
        <f>D20/$D$23</f>
        <v>5.412925564330235E-2</v>
      </c>
      <c r="G20" s="29"/>
    </row>
    <row r="21" spans="2:7" ht="26" customHeight="1">
      <c r="B21" s="1">
        <v>13</v>
      </c>
      <c r="C21" s="3" t="s">
        <v>82</v>
      </c>
      <c r="D21" s="39">
        <f>('Test Site_Proforma'!H84+'Test Site_Proforma'!H85+'Test Site_Proforma'!H86)/'Test Site_Proforma'!F53</f>
        <v>7.5893270729270723</v>
      </c>
      <c r="E21" s="62">
        <f>D21/$D$23</f>
        <v>2.4399046498043236E-2</v>
      </c>
      <c r="G21" s="29"/>
    </row>
    <row r="22" spans="2:7" ht="26" customHeight="1">
      <c r="B22" s="1">
        <v>14</v>
      </c>
      <c r="C22" s="3" t="s">
        <v>95</v>
      </c>
      <c r="D22" s="39">
        <f>'Test Site_Proforma'!H87/'Test Site_Proforma'!F53</f>
        <v>1.1508916083916083</v>
      </c>
      <c r="E22" s="62">
        <f>D22/$D$23</f>
        <v>3.7000194612148126E-3</v>
      </c>
      <c r="G22" s="29"/>
    </row>
    <row r="23" spans="2:7" ht="26" customHeight="1">
      <c r="B23" s="1">
        <v>15</v>
      </c>
      <c r="C23" s="2" t="s">
        <v>83</v>
      </c>
      <c r="D23" s="30">
        <f>SUM(D10:D22)</f>
        <v>311.05014999400589</v>
      </c>
      <c r="E23" s="62">
        <f>D23/$D$23</f>
        <v>1</v>
      </c>
    </row>
    <row r="24" spans="2:7" ht="26" customHeight="1">
      <c r="B24" s="1">
        <v>16</v>
      </c>
      <c r="D24" s="30"/>
    </row>
    <row r="25" spans="2:7" ht="26" customHeight="1">
      <c r="B25" s="1">
        <v>17</v>
      </c>
    </row>
    <row r="26" spans="2:7" ht="26" customHeight="1">
      <c r="B26" s="1">
        <v>18</v>
      </c>
    </row>
    <row r="27" spans="2:7" ht="26" customHeight="1">
      <c r="B27" s="1">
        <v>19</v>
      </c>
    </row>
    <row r="28" spans="2:7" ht="26" customHeight="1">
      <c r="B28" s="1">
        <v>20</v>
      </c>
      <c r="C28" s="127" t="s">
        <v>86</v>
      </c>
      <c r="D28" s="127"/>
      <c r="E28" s="127"/>
      <c r="F28" s="127"/>
    </row>
    <row r="29" spans="2:7" ht="26" customHeight="1">
      <c r="B29" s="1">
        <v>21</v>
      </c>
      <c r="C29" s="127"/>
      <c r="D29" s="127"/>
      <c r="E29" s="127"/>
      <c r="F29" s="127"/>
    </row>
    <row r="30" spans="2:7" ht="26" customHeight="1">
      <c r="B30" s="1">
        <v>22</v>
      </c>
    </row>
    <row r="31" spans="2:7" ht="26" customHeight="1">
      <c r="B31" s="1">
        <v>23</v>
      </c>
      <c r="C31" s="128" t="s">
        <v>93</v>
      </c>
      <c r="D31" s="128"/>
      <c r="E31" s="128"/>
      <c r="F31" s="128"/>
    </row>
    <row r="32" spans="2:7">
      <c r="B32" s="1">
        <v>24</v>
      </c>
      <c r="C32" s="128"/>
      <c r="D32" s="128"/>
      <c r="E32" s="128"/>
      <c r="F32" s="128"/>
    </row>
    <row r="33" spans="2:6" ht="26" customHeight="1">
      <c r="B33" s="1">
        <v>25</v>
      </c>
      <c r="C33" s="128"/>
      <c r="D33" s="128"/>
      <c r="E33" s="128"/>
      <c r="F33" s="128"/>
    </row>
    <row r="35" spans="2:6" ht="26" customHeight="1">
      <c r="C35" s="29"/>
      <c r="D35" s="29"/>
      <c r="E35" s="29"/>
      <c r="F35" s="29"/>
    </row>
  </sheetData>
  <mergeCells count="2">
    <mergeCell ref="C28:F29"/>
    <mergeCell ref="C31:F33"/>
  </mergeCells>
  <pageMargins left="0.25" right="0.25" top="0.75" bottom="0.75" header="0.3" footer="0.3"/>
  <pageSetup scale="81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E54C-FAF4-634A-BAA4-36BD23B96499}">
  <sheetPr>
    <pageSetUpPr fitToPage="1"/>
  </sheetPr>
  <dimension ref="B2:N56"/>
  <sheetViews>
    <sheetView zoomScale="80" zoomScaleNormal="80" zoomScaleSheetLayoutView="80" workbookViewId="0"/>
  </sheetViews>
  <sheetFormatPr baseColWidth="10" defaultColWidth="10.6640625" defaultRowHeight="16"/>
  <cols>
    <col min="1" max="1" width="6.5" customWidth="1"/>
    <col min="2" max="2" width="5.83203125" customWidth="1"/>
    <col min="3" max="3" width="6.5" customWidth="1"/>
    <col min="4" max="4" width="22.1640625" bestFit="1" customWidth="1"/>
    <col min="6" max="6" width="9.6640625" customWidth="1"/>
    <col min="7" max="7" width="10.5" bestFit="1" customWidth="1"/>
    <col min="8" max="8" width="11.6640625" customWidth="1"/>
    <col min="9" max="9" width="13.1640625" customWidth="1"/>
    <col min="10" max="10" width="11.5" bestFit="1" customWidth="1"/>
    <col min="11" max="11" width="17.33203125" customWidth="1"/>
  </cols>
  <sheetData>
    <row r="2" spans="2:11">
      <c r="B2" s="125" t="s">
        <v>115</v>
      </c>
      <c r="D2" s="105"/>
    </row>
    <row r="3" spans="2:11">
      <c r="B3" s="123" t="s">
        <v>40</v>
      </c>
      <c r="D3" s="105"/>
    </row>
    <row r="4" spans="2:11">
      <c r="B4" s="123" t="s">
        <v>31</v>
      </c>
      <c r="D4" s="105"/>
    </row>
    <row r="5" spans="2:11">
      <c r="B5" s="124" t="s">
        <v>116</v>
      </c>
      <c r="D5" s="105"/>
    </row>
    <row r="6" spans="2:11">
      <c r="B6" s="123" t="s">
        <v>114</v>
      </c>
      <c r="D6" s="105"/>
    </row>
    <row r="7" spans="2:11">
      <c r="B7" s="122"/>
      <c r="C7" s="122"/>
      <c r="D7" s="122"/>
      <c r="E7" s="122"/>
      <c r="F7" s="122"/>
      <c r="G7" s="122"/>
      <c r="H7" s="122"/>
      <c r="I7" s="122"/>
      <c r="J7" s="122"/>
      <c r="K7" s="122"/>
    </row>
    <row r="9" spans="2:11">
      <c r="B9" s="80">
        <v>1</v>
      </c>
      <c r="C9" s="121" t="s">
        <v>42</v>
      </c>
      <c r="D9" s="120"/>
      <c r="E9" s="120"/>
      <c r="F9" s="120"/>
      <c r="G9" s="120"/>
      <c r="H9" s="120"/>
      <c r="I9" s="120"/>
      <c r="J9" s="120"/>
      <c r="K9" s="120"/>
    </row>
    <row r="10" spans="2:11">
      <c r="B10" s="80">
        <v>2</v>
      </c>
    </row>
    <row r="11" spans="2:11" ht="34">
      <c r="B11" s="80">
        <v>3</v>
      </c>
      <c r="C11" s="82" t="s">
        <v>4</v>
      </c>
      <c r="E11" s="119" t="s">
        <v>33</v>
      </c>
      <c r="F11" s="119" t="s">
        <v>66</v>
      </c>
      <c r="G11" s="118" t="s">
        <v>75</v>
      </c>
      <c r="H11" s="119" t="s">
        <v>34</v>
      </c>
      <c r="I11" s="118" t="s">
        <v>35</v>
      </c>
      <c r="J11" s="118" t="s">
        <v>36</v>
      </c>
    </row>
    <row r="12" spans="2:11">
      <c r="B12" s="80">
        <v>4</v>
      </c>
      <c r="C12" s="82"/>
      <c r="D12" t="s">
        <v>55</v>
      </c>
      <c r="E12" s="117">
        <v>0</v>
      </c>
      <c r="F12" s="114">
        <v>0</v>
      </c>
      <c r="G12" s="115">
        <v>0</v>
      </c>
      <c r="H12" s="114">
        <f t="shared" ref="H12:H19" si="0">F12*G12</f>
        <v>0</v>
      </c>
      <c r="I12" s="114">
        <f t="shared" ref="I12:J19" si="1">H12</f>
        <v>0</v>
      </c>
      <c r="J12" s="74">
        <f t="shared" si="1"/>
        <v>0</v>
      </c>
    </row>
    <row r="13" spans="2:11">
      <c r="B13" s="80">
        <v>5</v>
      </c>
      <c r="C13" s="82"/>
      <c r="D13" t="s">
        <v>1</v>
      </c>
      <c r="E13" s="109">
        <v>1</v>
      </c>
      <c r="F13" s="114">
        <v>10600</v>
      </c>
      <c r="G13" s="115">
        <v>45</v>
      </c>
      <c r="H13" s="114">
        <f t="shared" si="0"/>
        <v>477000</v>
      </c>
      <c r="I13" s="114">
        <f t="shared" si="1"/>
        <v>477000</v>
      </c>
      <c r="J13" s="74">
        <f t="shared" si="1"/>
        <v>477000</v>
      </c>
    </row>
    <row r="14" spans="2:11">
      <c r="B14" s="80">
        <v>6</v>
      </c>
      <c r="C14" s="82"/>
      <c r="D14" t="s">
        <v>43</v>
      </c>
      <c r="E14" s="109">
        <v>1</v>
      </c>
      <c r="F14" s="116">
        <v>15700</v>
      </c>
      <c r="G14" s="115">
        <v>38</v>
      </c>
      <c r="H14" s="114">
        <f t="shared" si="0"/>
        <v>596600</v>
      </c>
      <c r="I14" s="114">
        <f t="shared" si="1"/>
        <v>596600</v>
      </c>
      <c r="J14" s="74">
        <f t="shared" si="1"/>
        <v>596600</v>
      </c>
    </row>
    <row r="15" spans="2:11">
      <c r="B15" s="80">
        <v>7</v>
      </c>
      <c r="C15" s="82"/>
      <c r="D15" t="s">
        <v>44</v>
      </c>
      <c r="E15" s="109">
        <v>1</v>
      </c>
      <c r="F15" s="116">
        <v>18700</v>
      </c>
      <c r="G15" s="115">
        <v>38</v>
      </c>
      <c r="H15" s="114">
        <f t="shared" si="0"/>
        <v>710600</v>
      </c>
      <c r="I15" s="114">
        <f t="shared" si="1"/>
        <v>710600</v>
      </c>
      <c r="J15" s="74">
        <f t="shared" si="1"/>
        <v>710600</v>
      </c>
    </row>
    <row r="16" spans="2:11">
      <c r="B16" s="80">
        <v>8</v>
      </c>
      <c r="D16" t="s">
        <v>45</v>
      </c>
      <c r="E16" s="109">
        <v>1</v>
      </c>
      <c r="F16" s="116">
        <v>18700</v>
      </c>
      <c r="G16" s="115">
        <v>38</v>
      </c>
      <c r="H16" s="114">
        <f t="shared" si="0"/>
        <v>710600</v>
      </c>
      <c r="I16" s="114">
        <f t="shared" si="1"/>
        <v>710600</v>
      </c>
      <c r="J16" s="74">
        <f t="shared" si="1"/>
        <v>710600</v>
      </c>
    </row>
    <row r="17" spans="2:10">
      <c r="B17" s="80">
        <v>9</v>
      </c>
      <c r="D17" t="s">
        <v>46</v>
      </c>
      <c r="E17" s="109">
        <v>0</v>
      </c>
      <c r="F17" s="116">
        <v>0</v>
      </c>
      <c r="G17" s="115">
        <v>0</v>
      </c>
      <c r="H17" s="114">
        <f t="shared" si="0"/>
        <v>0</v>
      </c>
      <c r="I17" s="114">
        <f t="shared" si="1"/>
        <v>0</v>
      </c>
      <c r="J17" s="74">
        <f t="shared" si="1"/>
        <v>0</v>
      </c>
    </row>
    <row r="18" spans="2:10">
      <c r="B18" s="80">
        <v>10</v>
      </c>
      <c r="D18" t="s">
        <v>47</v>
      </c>
      <c r="E18" s="109">
        <v>0</v>
      </c>
      <c r="F18" s="116">
        <v>0</v>
      </c>
      <c r="G18" s="115">
        <v>0</v>
      </c>
      <c r="H18" s="114">
        <f t="shared" si="0"/>
        <v>0</v>
      </c>
      <c r="I18" s="114">
        <f t="shared" si="1"/>
        <v>0</v>
      </c>
      <c r="J18" s="74">
        <f t="shared" si="1"/>
        <v>0</v>
      </c>
    </row>
    <row r="19" spans="2:10">
      <c r="B19" s="80">
        <v>11</v>
      </c>
      <c r="D19" s="86" t="s">
        <v>48</v>
      </c>
      <c r="E19" s="113">
        <v>0</v>
      </c>
      <c r="F19" s="112">
        <v>0</v>
      </c>
      <c r="G19" s="111">
        <v>0</v>
      </c>
      <c r="H19" s="110">
        <f t="shared" si="0"/>
        <v>0</v>
      </c>
      <c r="I19" s="110">
        <f t="shared" si="1"/>
        <v>0</v>
      </c>
      <c r="J19" s="89">
        <f t="shared" si="1"/>
        <v>0</v>
      </c>
    </row>
    <row r="20" spans="2:10">
      <c r="B20" s="80">
        <v>12</v>
      </c>
      <c r="D20" t="s">
        <v>2</v>
      </c>
      <c r="E20" s="109">
        <f>SUM(E12:E19)</f>
        <v>4</v>
      </c>
      <c r="F20" s="75">
        <f>SUM(F12:F19)</f>
        <v>63700</v>
      </c>
      <c r="H20" s="75"/>
      <c r="I20" s="75">
        <f>SUM(I12:I19)</f>
        <v>2494800</v>
      </c>
      <c r="J20" s="75">
        <f>SUM(J12:J19)</f>
        <v>2494800</v>
      </c>
    </row>
    <row r="21" spans="2:10">
      <c r="B21" s="80">
        <v>13</v>
      </c>
      <c r="C21" s="108"/>
      <c r="D21" s="107"/>
      <c r="E21" s="107"/>
      <c r="F21" s="107"/>
      <c r="G21" s="107"/>
    </row>
    <row r="22" spans="2:10">
      <c r="B22" s="80">
        <v>14</v>
      </c>
      <c r="C22" s="105"/>
      <c r="D22" s="105"/>
      <c r="E22" s="107"/>
      <c r="F22" s="107"/>
      <c r="G22" s="107"/>
    </row>
    <row r="23" spans="2:10">
      <c r="B23" s="80">
        <v>15</v>
      </c>
      <c r="C23" s="105" t="s">
        <v>113</v>
      </c>
      <c r="D23" s="105"/>
      <c r="E23" s="107"/>
      <c r="F23" s="107"/>
      <c r="J23" s="73">
        <f>4*250*12</f>
        <v>12000</v>
      </c>
    </row>
    <row r="24" spans="2:10">
      <c r="B24" s="80">
        <v>16</v>
      </c>
      <c r="C24" s="105"/>
      <c r="D24" s="105"/>
      <c r="E24" s="105"/>
      <c r="F24" s="106"/>
      <c r="G24" s="105"/>
    </row>
    <row r="25" spans="2:10">
      <c r="B25" s="80">
        <v>17</v>
      </c>
      <c r="C25" s="104" t="s">
        <v>112</v>
      </c>
      <c r="D25" s="104"/>
      <c r="E25" s="104"/>
      <c r="F25" s="104"/>
      <c r="G25" s="103"/>
      <c r="H25" s="103"/>
      <c r="I25" s="103"/>
      <c r="J25" s="103">
        <f>J20+J23</f>
        <v>2506800</v>
      </c>
    </row>
    <row r="26" spans="2:10">
      <c r="B26" s="80">
        <v>18</v>
      </c>
    </row>
    <row r="27" spans="2:10">
      <c r="B27" s="80">
        <v>19</v>
      </c>
      <c r="C27" s="82" t="s">
        <v>111</v>
      </c>
      <c r="D27" s="102"/>
    </row>
    <row r="28" spans="2:10">
      <c r="B28" s="80">
        <v>20</v>
      </c>
      <c r="C28" t="s">
        <v>0</v>
      </c>
      <c r="G28" s="101"/>
    </row>
    <row r="29" spans="2:10">
      <c r="B29" s="80">
        <v>21</v>
      </c>
      <c r="D29" t="s">
        <v>67</v>
      </c>
      <c r="G29" s="74">
        <f>+SUM(I14:I19)</f>
        <v>2017800</v>
      </c>
      <c r="H29" s="100">
        <v>5.5E-2</v>
      </c>
      <c r="I29" s="74">
        <f>G29*H29</f>
        <v>110979</v>
      </c>
    </row>
    <row r="30" spans="2:10">
      <c r="B30" s="80">
        <v>22</v>
      </c>
      <c r="C30" t="s">
        <v>1</v>
      </c>
    </row>
    <row r="31" spans="2:10">
      <c r="B31" s="80">
        <v>23</v>
      </c>
      <c r="D31" s="86" t="s">
        <v>67</v>
      </c>
      <c r="E31" s="86"/>
      <c r="F31" s="86"/>
      <c r="G31" s="89">
        <f>I13</f>
        <v>477000</v>
      </c>
      <c r="H31" s="99">
        <v>5.5E-2</v>
      </c>
      <c r="I31" s="89">
        <f>G31*H31</f>
        <v>26235</v>
      </c>
      <c r="J31" s="86"/>
    </row>
    <row r="32" spans="2:10">
      <c r="B32" s="80">
        <v>24</v>
      </c>
      <c r="D32" t="s">
        <v>2</v>
      </c>
      <c r="I32" s="74">
        <f>SUM(I29:I31)</f>
        <v>137214</v>
      </c>
      <c r="J32" s="74">
        <f>I32</f>
        <v>137214</v>
      </c>
    </row>
    <row r="33" spans="2:14">
      <c r="B33" s="80">
        <v>25</v>
      </c>
    </row>
    <row r="34" spans="2:14">
      <c r="B34" s="80">
        <v>26</v>
      </c>
    </row>
    <row r="35" spans="2:14">
      <c r="B35" s="80">
        <v>27</v>
      </c>
      <c r="C35" s="78" t="s">
        <v>7</v>
      </c>
      <c r="D35" s="77"/>
      <c r="E35" s="77"/>
      <c r="F35" s="77"/>
      <c r="G35" s="77"/>
      <c r="H35" s="77"/>
      <c r="I35" s="77"/>
      <c r="J35" s="76">
        <f>J25-J32</f>
        <v>2369586</v>
      </c>
      <c r="K35" s="98"/>
    </row>
    <row r="36" spans="2:14">
      <c r="B36" s="80">
        <v>28</v>
      </c>
    </row>
    <row r="37" spans="2:14">
      <c r="B37" s="80">
        <v>29</v>
      </c>
      <c r="C37" s="85" t="s">
        <v>110</v>
      </c>
      <c r="D37" s="93"/>
      <c r="G37" s="97" t="s">
        <v>109</v>
      </c>
      <c r="H37" s="97" t="s">
        <v>108</v>
      </c>
      <c r="I37" s="97" t="s">
        <v>37</v>
      </c>
    </row>
    <row r="38" spans="2:14">
      <c r="B38" s="80">
        <v>30</v>
      </c>
      <c r="C38" s="93" t="s">
        <v>107</v>
      </c>
      <c r="D38" s="93"/>
      <c r="E38" s="93"/>
      <c r="G38" s="74">
        <f t="shared" ref="G38:G47" si="2">$F$20</f>
        <v>63700</v>
      </c>
      <c r="I38" s="94">
        <v>75000</v>
      </c>
    </row>
    <row r="39" spans="2:14">
      <c r="B39" s="80">
        <v>31</v>
      </c>
      <c r="C39" s="93" t="s">
        <v>106</v>
      </c>
      <c r="D39" s="93"/>
      <c r="G39" s="74">
        <f t="shared" si="2"/>
        <v>63700</v>
      </c>
      <c r="H39" s="96">
        <v>5.5</v>
      </c>
      <c r="I39" s="94">
        <f>G39*H39</f>
        <v>350350</v>
      </c>
    </row>
    <row r="40" spans="2:14">
      <c r="B40" s="80">
        <v>32</v>
      </c>
      <c r="C40" s="93" t="s">
        <v>105</v>
      </c>
      <c r="D40" s="93"/>
      <c r="G40" s="74">
        <f t="shared" si="2"/>
        <v>63700</v>
      </c>
      <c r="H40" s="96">
        <v>1.5</v>
      </c>
      <c r="I40" s="94">
        <f>G40*H40</f>
        <v>95550</v>
      </c>
    </row>
    <row r="41" spans="2:14">
      <c r="B41" s="80">
        <v>33</v>
      </c>
      <c r="C41" s="93" t="s">
        <v>104</v>
      </c>
      <c r="D41" s="93"/>
      <c r="G41" s="74">
        <f t="shared" si="2"/>
        <v>63700</v>
      </c>
      <c r="H41" s="96">
        <v>0.75</v>
      </c>
      <c r="I41" s="94">
        <f>G41*H41</f>
        <v>47775</v>
      </c>
    </row>
    <row r="42" spans="2:14">
      <c r="B42" s="80">
        <v>34</v>
      </c>
      <c r="C42" t="s">
        <v>103</v>
      </c>
      <c r="D42" s="93"/>
      <c r="G42" s="74">
        <f t="shared" si="2"/>
        <v>63700</v>
      </c>
      <c r="H42" s="96"/>
      <c r="I42" s="94">
        <v>15000</v>
      </c>
    </row>
    <row r="43" spans="2:14">
      <c r="B43" s="80">
        <v>35</v>
      </c>
      <c r="C43" t="s">
        <v>102</v>
      </c>
      <c r="D43" s="93"/>
      <c r="G43" s="74">
        <f t="shared" si="2"/>
        <v>63700</v>
      </c>
      <c r="H43" s="96"/>
      <c r="I43" s="94">
        <v>15000</v>
      </c>
    </row>
    <row r="44" spans="2:14">
      <c r="B44" s="80">
        <v>36</v>
      </c>
      <c r="C44" s="93" t="s">
        <v>101</v>
      </c>
      <c r="D44" s="93"/>
      <c r="G44" s="74">
        <f t="shared" si="2"/>
        <v>63700</v>
      </c>
      <c r="H44" s="96">
        <v>5</v>
      </c>
      <c r="I44" s="94">
        <f>G44*H44</f>
        <v>318500</v>
      </c>
    </row>
    <row r="45" spans="2:14">
      <c r="B45" s="80">
        <v>37</v>
      </c>
      <c r="C45" s="93" t="s">
        <v>100</v>
      </c>
      <c r="D45" s="93"/>
      <c r="G45" s="74">
        <f t="shared" si="2"/>
        <v>63700</v>
      </c>
      <c r="H45" s="95">
        <v>0.03</v>
      </c>
      <c r="I45" s="94">
        <f>G45*H45</f>
        <v>1911</v>
      </c>
    </row>
    <row r="46" spans="2:14">
      <c r="B46" s="80">
        <v>38</v>
      </c>
      <c r="C46" s="93" t="s">
        <v>99</v>
      </c>
      <c r="D46" s="93"/>
      <c r="G46" s="74">
        <f t="shared" si="2"/>
        <v>63700</v>
      </c>
      <c r="H46" s="92">
        <v>0.03</v>
      </c>
      <c r="I46" s="91">
        <f>G46*H46</f>
        <v>1911</v>
      </c>
    </row>
    <row r="47" spans="2:14">
      <c r="B47" s="80">
        <v>39</v>
      </c>
      <c r="C47" s="90" t="s">
        <v>98</v>
      </c>
      <c r="D47" s="90"/>
      <c r="E47" s="86"/>
      <c r="F47" s="86"/>
      <c r="G47" s="89">
        <f t="shared" si="2"/>
        <v>63700</v>
      </c>
      <c r="H47" s="88">
        <v>0.01</v>
      </c>
      <c r="I47" s="87">
        <f>G47*H47</f>
        <v>637</v>
      </c>
      <c r="J47" s="86"/>
    </row>
    <row r="48" spans="2:14">
      <c r="B48" s="80">
        <v>40</v>
      </c>
      <c r="C48" s="85" t="s">
        <v>97</v>
      </c>
      <c r="D48" s="85"/>
      <c r="E48" s="85"/>
      <c r="F48" s="84"/>
      <c r="G48" s="83">
        <f>SUM(F38:F47)</f>
        <v>0</v>
      </c>
      <c r="H48" s="82"/>
      <c r="I48" s="81">
        <f>SUM(I38:I47)</f>
        <v>921634</v>
      </c>
      <c r="J48" s="81">
        <f>I48</f>
        <v>921634</v>
      </c>
      <c r="M48" s="74"/>
      <c r="N48" s="74"/>
    </row>
    <row r="49" spans="2:10">
      <c r="B49" s="80">
        <v>41</v>
      </c>
    </row>
    <row r="50" spans="2:10">
      <c r="B50" s="80">
        <v>42</v>
      </c>
      <c r="C50" s="79" t="s">
        <v>96</v>
      </c>
      <c r="D50" s="78"/>
      <c r="E50" s="78"/>
      <c r="F50" s="78"/>
      <c r="G50" s="77"/>
      <c r="H50" s="77"/>
      <c r="I50" s="77"/>
      <c r="J50" s="76">
        <f>J25-J48</f>
        <v>1585166</v>
      </c>
    </row>
    <row r="52" spans="2:10">
      <c r="G52" s="75"/>
      <c r="H52" s="73"/>
      <c r="I52" s="73"/>
      <c r="J52" s="74"/>
    </row>
    <row r="54" spans="2:10">
      <c r="I54" s="73"/>
    </row>
    <row r="56" spans="2:10">
      <c r="I56" s="72"/>
    </row>
  </sheetData>
  <pageMargins left="0.25" right="0.25" top="0.75" bottom="0.75" header="0.3" footer="0.3"/>
  <pageSetup scale="8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687C-6D72-C845-BDBE-D5B7B0BC2056}">
  <sheetPr>
    <pageSetUpPr fitToPage="1"/>
  </sheetPr>
  <dimension ref="B2:P113"/>
  <sheetViews>
    <sheetView zoomScale="80" zoomScaleNormal="80" zoomScaleSheetLayoutView="80" workbookViewId="0"/>
  </sheetViews>
  <sheetFormatPr baseColWidth="10" defaultColWidth="10.83203125" defaultRowHeight="26"/>
  <cols>
    <col min="1" max="1" width="3.1640625" style="3" customWidth="1"/>
    <col min="2" max="2" width="15.6640625" style="3" customWidth="1"/>
    <col min="3" max="4" width="15.5" style="3" customWidth="1"/>
    <col min="5" max="5" width="38.6640625" style="3" customWidth="1"/>
    <col min="6" max="7" width="23" style="3" customWidth="1"/>
    <col min="8" max="8" width="21.83203125" style="3" customWidth="1"/>
    <col min="9" max="9" width="21.1640625" style="3" customWidth="1"/>
    <col min="10" max="11" width="17.1640625" style="3" customWidth="1"/>
    <col min="12" max="12" width="4" style="3" customWidth="1"/>
    <col min="13" max="13" width="10.83203125" style="3"/>
    <col min="14" max="14" width="13" style="3" bestFit="1" customWidth="1"/>
    <col min="15" max="15" width="12" style="3" bestFit="1" customWidth="1"/>
    <col min="16" max="16" width="13" style="3" customWidth="1"/>
    <col min="17" max="16384" width="10.83203125" style="3"/>
  </cols>
  <sheetData>
    <row r="2" spans="2:12">
      <c r="B2" s="2" t="s">
        <v>87</v>
      </c>
    </row>
    <row r="3" spans="2:12">
      <c r="B3" s="3" t="s">
        <v>117</v>
      </c>
    </row>
    <row r="4" spans="2:12">
      <c r="B4" s="3" t="s">
        <v>31</v>
      </c>
    </row>
    <row r="5" spans="2:12">
      <c r="B5" s="4" t="s">
        <v>116</v>
      </c>
    </row>
    <row r="6" spans="2:12">
      <c r="B6" s="3" t="s">
        <v>32</v>
      </c>
    </row>
    <row r="7" spans="2:12" ht="35" customHeight="1">
      <c r="B7" s="5"/>
      <c r="C7" s="5"/>
      <c r="D7" s="5"/>
      <c r="E7" s="5"/>
      <c r="F7" s="5"/>
      <c r="G7" s="5"/>
      <c r="H7" s="5"/>
      <c r="I7" s="5"/>
      <c r="J7" s="5"/>
      <c r="K7" s="6" t="s">
        <v>64</v>
      </c>
      <c r="L7" s="5"/>
    </row>
    <row r="9" spans="2:12">
      <c r="B9" s="1">
        <v>1</v>
      </c>
      <c r="C9" s="41" t="s">
        <v>42</v>
      </c>
      <c r="D9" s="5"/>
      <c r="E9" s="5"/>
      <c r="F9" s="5"/>
      <c r="G9" s="5"/>
      <c r="H9" s="5"/>
      <c r="I9" s="5"/>
      <c r="J9" s="5"/>
      <c r="K9" s="5"/>
      <c r="L9" s="5"/>
    </row>
    <row r="10" spans="2:12">
      <c r="B10" s="1">
        <v>2</v>
      </c>
    </row>
    <row r="11" spans="2:12" ht="54" customHeight="1">
      <c r="B11" s="1">
        <v>3</v>
      </c>
      <c r="C11" s="2" t="s">
        <v>4</v>
      </c>
      <c r="F11" s="10" t="s">
        <v>33</v>
      </c>
      <c r="G11" s="10" t="s">
        <v>66</v>
      </c>
      <c r="H11" s="10" t="s">
        <v>75</v>
      </c>
      <c r="I11" s="10" t="s">
        <v>34</v>
      </c>
      <c r="J11" s="11" t="s">
        <v>35</v>
      </c>
      <c r="K11" s="11" t="s">
        <v>36</v>
      </c>
      <c r="L11" s="12"/>
    </row>
    <row r="12" spans="2:12">
      <c r="B12" s="1">
        <v>4</v>
      </c>
      <c r="C12" s="2"/>
      <c r="D12" s="3" t="s">
        <v>55</v>
      </c>
      <c r="F12" s="13">
        <v>1</v>
      </c>
      <c r="G12" s="14">
        <f>91*150</f>
        <v>13650</v>
      </c>
      <c r="H12" s="19">
        <v>6</v>
      </c>
      <c r="I12" s="14">
        <f>G12*H12</f>
        <v>81900</v>
      </c>
      <c r="J12" s="14">
        <f t="shared" ref="J12:K19" si="0">I12</f>
        <v>81900</v>
      </c>
      <c r="K12" s="34">
        <f t="shared" si="0"/>
        <v>81900</v>
      </c>
      <c r="L12" s="12"/>
    </row>
    <row r="13" spans="2:12">
      <c r="B13" s="1">
        <v>5</v>
      </c>
      <c r="C13" s="2"/>
      <c r="D13" s="3" t="s">
        <v>1</v>
      </c>
      <c r="F13" s="27">
        <v>1</v>
      </c>
      <c r="G13" s="14">
        <v>10600</v>
      </c>
      <c r="H13" s="19">
        <v>45</v>
      </c>
      <c r="I13" s="14">
        <f>G13*H13</f>
        <v>477000</v>
      </c>
      <c r="J13" s="14">
        <f t="shared" si="0"/>
        <v>477000</v>
      </c>
      <c r="K13" s="34">
        <f t="shared" si="0"/>
        <v>477000</v>
      </c>
      <c r="L13" s="12"/>
    </row>
    <row r="14" spans="2:12">
      <c r="B14" s="1">
        <v>6</v>
      </c>
      <c r="C14" s="2"/>
      <c r="D14" s="3" t="s">
        <v>43</v>
      </c>
      <c r="F14" s="27">
        <v>1</v>
      </c>
      <c r="G14" s="20">
        <v>15700</v>
      </c>
      <c r="H14" s="19">
        <v>38</v>
      </c>
      <c r="I14" s="14">
        <f t="shared" ref="I14:I19" si="1">G14*H14</f>
        <v>596600</v>
      </c>
      <c r="J14" s="14">
        <f t="shared" si="0"/>
        <v>596600</v>
      </c>
      <c r="K14" s="34">
        <f t="shared" si="0"/>
        <v>596600</v>
      </c>
      <c r="L14" s="12"/>
    </row>
    <row r="15" spans="2:12">
      <c r="B15" s="1">
        <v>7</v>
      </c>
      <c r="C15" s="2"/>
      <c r="D15" s="3" t="s">
        <v>44</v>
      </c>
      <c r="F15" s="27">
        <v>1</v>
      </c>
      <c r="G15" s="20">
        <v>18700</v>
      </c>
      <c r="H15" s="19">
        <v>38</v>
      </c>
      <c r="I15" s="14">
        <f t="shared" si="1"/>
        <v>710600</v>
      </c>
      <c r="J15" s="14">
        <f t="shared" si="0"/>
        <v>710600</v>
      </c>
      <c r="K15" s="34">
        <f t="shared" si="0"/>
        <v>710600</v>
      </c>
      <c r="L15" s="12"/>
    </row>
    <row r="16" spans="2:12">
      <c r="B16" s="1">
        <v>8</v>
      </c>
      <c r="D16" s="3" t="s">
        <v>45</v>
      </c>
      <c r="F16" s="27">
        <v>1</v>
      </c>
      <c r="G16" s="20">
        <v>18700</v>
      </c>
      <c r="H16" s="19">
        <v>38</v>
      </c>
      <c r="I16" s="14">
        <f t="shared" si="1"/>
        <v>710600</v>
      </c>
      <c r="J16" s="14">
        <f t="shared" si="0"/>
        <v>710600</v>
      </c>
      <c r="K16" s="34">
        <f t="shared" si="0"/>
        <v>710600</v>
      </c>
    </row>
    <row r="17" spans="2:16">
      <c r="B17" s="1">
        <v>9</v>
      </c>
      <c r="D17" s="3" t="s">
        <v>46</v>
      </c>
      <c r="F17" s="27">
        <v>1</v>
      </c>
      <c r="G17" s="20">
        <v>18700</v>
      </c>
      <c r="H17" s="19">
        <v>38</v>
      </c>
      <c r="I17" s="14">
        <f t="shared" si="1"/>
        <v>710600</v>
      </c>
      <c r="J17" s="14">
        <f t="shared" si="0"/>
        <v>710600</v>
      </c>
      <c r="K17" s="34">
        <f t="shared" si="0"/>
        <v>710600</v>
      </c>
    </row>
    <row r="18" spans="2:16">
      <c r="B18" s="1">
        <v>10</v>
      </c>
      <c r="D18" s="3" t="s">
        <v>47</v>
      </c>
      <c r="F18" s="27">
        <v>1</v>
      </c>
      <c r="G18" s="20">
        <v>18700</v>
      </c>
      <c r="H18" s="19">
        <v>38</v>
      </c>
      <c r="I18" s="14">
        <f t="shared" si="1"/>
        <v>710600</v>
      </c>
      <c r="J18" s="14">
        <f t="shared" si="0"/>
        <v>710600</v>
      </c>
      <c r="K18" s="34">
        <f t="shared" si="0"/>
        <v>710600</v>
      </c>
    </row>
    <row r="19" spans="2:16">
      <c r="B19" s="1">
        <v>11</v>
      </c>
      <c r="D19" s="21" t="s">
        <v>48</v>
      </c>
      <c r="E19" s="21"/>
      <c r="F19" s="22">
        <v>0</v>
      </c>
      <c r="G19" s="23">
        <v>0</v>
      </c>
      <c r="H19" s="24">
        <v>0</v>
      </c>
      <c r="I19" s="25">
        <f t="shared" si="1"/>
        <v>0</v>
      </c>
      <c r="J19" s="25">
        <f t="shared" si="0"/>
        <v>0</v>
      </c>
      <c r="K19" s="37">
        <f t="shared" si="0"/>
        <v>0</v>
      </c>
    </row>
    <row r="20" spans="2:16">
      <c r="B20" s="1">
        <v>12</v>
      </c>
      <c r="D20" s="3" t="s">
        <v>2</v>
      </c>
      <c r="F20" s="27">
        <f>SUM(F12:F19)</f>
        <v>7</v>
      </c>
      <c r="G20" s="28">
        <f>SUM(G12:G19)</f>
        <v>114750</v>
      </c>
      <c r="I20" s="28"/>
      <c r="J20" s="28">
        <f>SUM(J12:J19)</f>
        <v>3997900</v>
      </c>
      <c r="K20" s="28">
        <f>SUM(K12:K19)</f>
        <v>3997900</v>
      </c>
    </row>
    <row r="21" spans="2:16">
      <c r="B21" s="1">
        <v>13</v>
      </c>
    </row>
    <row r="22" spans="2:16">
      <c r="B22" s="1">
        <v>14</v>
      </c>
      <c r="C22" s="3" t="s">
        <v>3</v>
      </c>
      <c r="P22" s="30"/>
    </row>
    <row r="23" spans="2:16">
      <c r="B23" s="1">
        <v>15</v>
      </c>
      <c r="D23" s="3" t="s">
        <v>0</v>
      </c>
    </row>
    <row r="24" spans="2:16">
      <c r="B24" s="1">
        <v>16</v>
      </c>
      <c r="E24" s="3" t="s">
        <v>67</v>
      </c>
      <c r="F24" s="31">
        <f>SUM(J14:J19)*5.5%</f>
        <v>189145</v>
      </c>
      <c r="G24" s="31">
        <f>J20-F24</f>
        <v>3808755</v>
      </c>
      <c r="P24" s="32"/>
    </row>
    <row r="25" spans="2:16">
      <c r="B25" s="1">
        <v>17</v>
      </c>
      <c r="E25" s="3" t="s">
        <v>5</v>
      </c>
      <c r="F25" s="31"/>
      <c r="H25" s="33">
        <v>6.25E-2</v>
      </c>
      <c r="I25" s="34">
        <f>G24/H25</f>
        <v>60940080</v>
      </c>
      <c r="K25" s="29"/>
      <c r="L25" s="29"/>
    </row>
    <row r="26" spans="2:16">
      <c r="B26" s="1">
        <v>18</v>
      </c>
      <c r="D26" s="3" t="s">
        <v>1</v>
      </c>
      <c r="F26" s="31"/>
      <c r="G26" s="31"/>
      <c r="K26" s="64"/>
      <c r="L26" s="39"/>
    </row>
    <row r="27" spans="2:16">
      <c r="B27" s="1">
        <v>19</v>
      </c>
      <c r="E27" s="3" t="s">
        <v>67</v>
      </c>
      <c r="F27" s="31">
        <f>SUM(J12:J13)*5.5%</f>
        <v>30739.5</v>
      </c>
      <c r="G27" s="32">
        <f>J13-F27</f>
        <v>446260.5</v>
      </c>
      <c r="K27" s="29"/>
      <c r="L27" s="29"/>
    </row>
    <row r="28" spans="2:16">
      <c r="B28" s="1">
        <v>20</v>
      </c>
      <c r="D28" s="21"/>
      <c r="E28" s="21" t="s">
        <v>5</v>
      </c>
      <c r="F28" s="21"/>
      <c r="G28" s="21"/>
      <c r="H28" s="36">
        <v>6.25E-2</v>
      </c>
      <c r="I28" s="37">
        <f>G27/H28</f>
        <v>7140168</v>
      </c>
      <c r="K28" s="29"/>
      <c r="L28" s="29"/>
    </row>
    <row r="29" spans="2:16">
      <c r="B29" s="1">
        <v>21</v>
      </c>
      <c r="D29" s="3" t="s">
        <v>2</v>
      </c>
      <c r="I29" s="34">
        <f>SUM(I25:I28)</f>
        <v>68080248</v>
      </c>
      <c r="K29" s="29"/>
      <c r="L29" s="29"/>
    </row>
    <row r="30" spans="2:16">
      <c r="B30" s="1">
        <v>22</v>
      </c>
      <c r="I30" s="34"/>
      <c r="K30" s="29"/>
      <c r="L30" s="29"/>
    </row>
    <row r="31" spans="2:16">
      <c r="B31" s="1">
        <v>23</v>
      </c>
      <c r="C31" s="3" t="s">
        <v>6</v>
      </c>
      <c r="K31" s="29"/>
      <c r="L31" s="29"/>
    </row>
    <row r="32" spans="2:16">
      <c r="B32" s="1">
        <v>24</v>
      </c>
      <c r="D32" s="3" t="s">
        <v>0</v>
      </c>
      <c r="G32" s="30"/>
      <c r="I32" s="38">
        <v>0</v>
      </c>
      <c r="K32" s="29"/>
      <c r="L32" s="29"/>
    </row>
    <row r="33" spans="2:14">
      <c r="B33" s="1">
        <v>25</v>
      </c>
      <c r="D33" s="21" t="s">
        <v>1</v>
      </c>
      <c r="E33" s="21"/>
      <c r="F33" s="21"/>
      <c r="G33" s="21"/>
      <c r="H33" s="21"/>
      <c r="I33" s="25">
        <v>0</v>
      </c>
      <c r="K33" s="29"/>
      <c r="L33" s="29"/>
    </row>
    <row r="34" spans="2:14">
      <c r="B34" s="1">
        <v>26</v>
      </c>
      <c r="D34" s="3" t="s">
        <v>12</v>
      </c>
      <c r="I34" s="28">
        <f>I32+I33</f>
        <v>0</v>
      </c>
      <c r="K34" s="29"/>
      <c r="L34" s="29"/>
    </row>
    <row r="35" spans="2:14">
      <c r="B35" s="1">
        <v>27</v>
      </c>
      <c r="K35" s="29"/>
    </row>
    <row r="36" spans="2:14">
      <c r="B36" s="1">
        <v>28</v>
      </c>
      <c r="C36" s="2" t="s">
        <v>7</v>
      </c>
      <c r="I36" s="34">
        <f>I29+I34</f>
        <v>68080248</v>
      </c>
      <c r="K36" s="39"/>
      <c r="L36" s="40"/>
      <c r="N36" s="32"/>
    </row>
    <row r="37" spans="2:14">
      <c r="B37" s="1">
        <v>29</v>
      </c>
      <c r="K37" s="29"/>
      <c r="L37" s="29"/>
    </row>
    <row r="38" spans="2:14">
      <c r="B38" s="1">
        <v>30</v>
      </c>
      <c r="C38" s="41" t="s">
        <v>41</v>
      </c>
      <c r="D38" s="5"/>
      <c r="E38" s="5"/>
      <c r="F38" s="5"/>
      <c r="G38" s="5"/>
      <c r="H38" s="5"/>
      <c r="I38" s="5"/>
      <c r="J38" s="5"/>
      <c r="K38" s="5"/>
      <c r="L38" s="5"/>
    </row>
    <row r="39" spans="2:14">
      <c r="B39" s="1">
        <v>31</v>
      </c>
      <c r="K39" s="29"/>
      <c r="L39" s="29"/>
    </row>
    <row r="40" spans="2:14">
      <c r="B40" s="1">
        <v>32</v>
      </c>
      <c r="C40" s="2" t="s">
        <v>8</v>
      </c>
      <c r="H40" s="28"/>
      <c r="I40" s="28"/>
      <c r="K40" s="29"/>
      <c r="L40" s="29"/>
    </row>
    <row r="41" spans="2:14">
      <c r="B41" s="1">
        <v>33</v>
      </c>
      <c r="D41" s="3" t="s">
        <v>9</v>
      </c>
      <c r="F41" s="3">
        <v>3.47</v>
      </c>
      <c r="G41" s="42">
        <v>800000</v>
      </c>
      <c r="H41" s="38">
        <f>F41*G41</f>
        <v>2776000</v>
      </c>
      <c r="I41" s="38"/>
      <c r="K41" s="29"/>
      <c r="L41" s="29"/>
    </row>
    <row r="42" spans="2:14">
      <c r="B42" s="1">
        <v>34</v>
      </c>
      <c r="H42" s="38"/>
      <c r="I42" s="38">
        <f>H41</f>
        <v>2776000</v>
      </c>
      <c r="J42" s="33"/>
      <c r="K42" s="39"/>
      <c r="L42" s="43"/>
    </row>
    <row r="43" spans="2:14">
      <c r="B43" s="1">
        <v>35</v>
      </c>
      <c r="C43" s="2" t="s">
        <v>10</v>
      </c>
      <c r="H43" s="28"/>
      <c r="I43" s="38"/>
      <c r="K43" s="39"/>
      <c r="L43" s="43"/>
    </row>
    <row r="44" spans="2:14">
      <c r="B44" s="1">
        <v>36</v>
      </c>
      <c r="C44" s="3" t="s">
        <v>11</v>
      </c>
      <c r="F44" s="10" t="s">
        <v>66</v>
      </c>
      <c r="G44" s="10" t="s">
        <v>75</v>
      </c>
      <c r="H44" s="45" t="s">
        <v>37</v>
      </c>
      <c r="I44" s="38"/>
      <c r="K44" s="39"/>
      <c r="L44" s="43"/>
    </row>
    <row r="45" spans="2:14">
      <c r="B45" s="1">
        <v>37</v>
      </c>
      <c r="D45" s="29" t="s">
        <v>55</v>
      </c>
      <c r="E45" s="29"/>
      <c r="F45" s="14">
        <v>20020</v>
      </c>
      <c r="G45" s="19">
        <v>100</v>
      </c>
      <c r="H45" s="14">
        <f t="shared" ref="H45:H52" si="2">F45*G45</f>
        <v>2002000</v>
      </c>
      <c r="I45" s="38"/>
      <c r="J45" s="29"/>
      <c r="K45" s="39"/>
      <c r="L45" s="43"/>
    </row>
    <row r="46" spans="2:14">
      <c r="B46" s="1">
        <v>38</v>
      </c>
      <c r="D46" s="3" t="s">
        <v>1</v>
      </c>
      <c r="F46" s="47">
        <v>20020</v>
      </c>
      <c r="G46" s="48">
        <v>213.32</v>
      </c>
      <c r="H46" s="47">
        <f t="shared" si="2"/>
        <v>4270666.3999999994</v>
      </c>
      <c r="I46" s="38"/>
      <c r="J46" s="28"/>
      <c r="K46" s="29"/>
      <c r="L46" s="29"/>
    </row>
    <row r="47" spans="2:14">
      <c r="B47" s="1">
        <v>39</v>
      </c>
      <c r="D47" s="3" t="s">
        <v>43</v>
      </c>
      <c r="F47" s="28">
        <v>20020</v>
      </c>
      <c r="G47" s="48">
        <v>213.32</v>
      </c>
      <c r="H47" s="47">
        <f t="shared" si="2"/>
        <v>4270666.3999999994</v>
      </c>
      <c r="I47" s="38"/>
      <c r="J47" s="28"/>
      <c r="K47" s="39"/>
      <c r="L47" s="43"/>
    </row>
    <row r="48" spans="2:14">
      <c r="B48" s="1">
        <v>40</v>
      </c>
      <c r="D48" s="3" t="s">
        <v>44</v>
      </c>
      <c r="F48" s="28">
        <v>20020</v>
      </c>
      <c r="G48" s="48">
        <v>213.32</v>
      </c>
      <c r="H48" s="47">
        <f t="shared" si="2"/>
        <v>4270666.3999999994</v>
      </c>
      <c r="I48" s="38"/>
      <c r="J48" s="28"/>
      <c r="K48" s="30"/>
      <c r="L48" s="32"/>
    </row>
    <row r="49" spans="2:16">
      <c r="B49" s="1">
        <v>41</v>
      </c>
      <c r="D49" s="3" t="s">
        <v>45</v>
      </c>
      <c r="F49" s="28">
        <v>20020</v>
      </c>
      <c r="G49" s="48">
        <v>213.32</v>
      </c>
      <c r="H49" s="47">
        <f t="shared" si="2"/>
        <v>4270666.3999999994</v>
      </c>
      <c r="I49" s="38"/>
      <c r="J49" s="28"/>
      <c r="K49" s="30"/>
      <c r="L49" s="32"/>
    </row>
    <row r="50" spans="2:16">
      <c r="B50" s="1">
        <v>42</v>
      </c>
      <c r="D50" s="3" t="s">
        <v>46</v>
      </c>
      <c r="F50" s="28">
        <v>20200</v>
      </c>
      <c r="G50" s="48">
        <v>213.32</v>
      </c>
      <c r="H50" s="47">
        <f t="shared" si="2"/>
        <v>4309064</v>
      </c>
      <c r="I50" s="38"/>
      <c r="J50" s="28"/>
      <c r="K50" s="30"/>
      <c r="L50" s="32"/>
      <c r="N50" s="32"/>
    </row>
    <row r="51" spans="2:16">
      <c r="B51" s="1">
        <v>43</v>
      </c>
      <c r="D51" s="3" t="s">
        <v>47</v>
      </c>
      <c r="F51" s="28">
        <v>20200</v>
      </c>
      <c r="G51" s="48">
        <v>213.32</v>
      </c>
      <c r="H51" s="47">
        <f t="shared" si="2"/>
        <v>4309064</v>
      </c>
      <c r="I51" s="14"/>
      <c r="J51" s="28"/>
      <c r="K51" s="30"/>
      <c r="L51" s="32"/>
      <c r="N51" s="32"/>
      <c r="P51" s="32"/>
    </row>
    <row r="52" spans="2:16">
      <c r="B52" s="1">
        <v>44</v>
      </c>
      <c r="D52" s="21" t="s">
        <v>48</v>
      </c>
      <c r="E52" s="21"/>
      <c r="F52" s="49">
        <v>0</v>
      </c>
      <c r="G52" s="50">
        <v>0</v>
      </c>
      <c r="H52" s="49">
        <f t="shared" si="2"/>
        <v>0</v>
      </c>
      <c r="I52" s="25"/>
      <c r="J52" s="28"/>
      <c r="K52" s="39"/>
      <c r="L52" s="43"/>
    </row>
    <row r="53" spans="2:16">
      <c r="B53" s="1">
        <v>45</v>
      </c>
      <c r="D53" s="3" t="s">
        <v>12</v>
      </c>
      <c r="F53" s="28">
        <f>SUM(F45:F52)</f>
        <v>140500</v>
      </c>
      <c r="G53" s="30"/>
      <c r="H53" s="28">
        <f>SUM(H45:H52)</f>
        <v>27702793.599999998</v>
      </c>
      <c r="I53" s="38">
        <f>H53</f>
        <v>27702793.599999998</v>
      </c>
      <c r="J53" s="33"/>
      <c r="K53" s="39"/>
      <c r="L53" s="43"/>
      <c r="N53" s="32"/>
      <c r="P53" s="32"/>
    </row>
    <row r="54" spans="2:16">
      <c r="B54" s="1">
        <v>46</v>
      </c>
      <c r="H54" s="28"/>
      <c r="I54" s="38"/>
      <c r="K54" s="39"/>
      <c r="L54" s="43"/>
    </row>
    <row r="55" spans="2:16">
      <c r="B55" s="1">
        <v>47</v>
      </c>
      <c r="D55" s="3" t="s">
        <v>13</v>
      </c>
      <c r="G55" s="60">
        <v>0.05</v>
      </c>
      <c r="H55" s="28">
        <f>H53*G55</f>
        <v>1385139.68</v>
      </c>
      <c r="I55" s="38"/>
      <c r="K55" s="39"/>
      <c r="L55" s="43"/>
    </row>
    <row r="56" spans="2:16">
      <c r="B56" s="1">
        <v>48</v>
      </c>
      <c r="H56" s="28"/>
      <c r="I56" s="38">
        <f>H55</f>
        <v>1385139.68</v>
      </c>
      <c r="J56" s="33"/>
      <c r="K56" s="39"/>
      <c r="L56" s="43"/>
    </row>
    <row r="57" spans="2:16">
      <c r="B57" s="1">
        <v>49</v>
      </c>
      <c r="C57" s="3" t="s">
        <v>14</v>
      </c>
      <c r="F57" s="10" t="s">
        <v>66</v>
      </c>
      <c r="G57" s="10" t="s">
        <v>75</v>
      </c>
      <c r="H57" s="28"/>
      <c r="I57" s="38"/>
      <c r="K57" s="39"/>
    </row>
    <row r="58" spans="2:16">
      <c r="B58" s="1">
        <v>50</v>
      </c>
      <c r="D58" s="3" t="s">
        <v>15</v>
      </c>
      <c r="F58" s="28">
        <f>F53</f>
        <v>140500</v>
      </c>
      <c r="G58" s="51">
        <v>1</v>
      </c>
      <c r="H58" s="28">
        <f>F58*G58</f>
        <v>140500</v>
      </c>
      <c r="I58" s="38"/>
      <c r="K58" s="39"/>
      <c r="L58" s="43"/>
    </row>
    <row r="59" spans="2:16">
      <c r="B59" s="1">
        <v>51</v>
      </c>
      <c r="D59" s="3" t="s">
        <v>16</v>
      </c>
      <c r="F59" s="28">
        <f>F53</f>
        <v>140500</v>
      </c>
      <c r="G59" s="51">
        <v>1</v>
      </c>
      <c r="H59" s="28">
        <f>F59*G59</f>
        <v>140500</v>
      </c>
      <c r="I59" s="38"/>
      <c r="K59" s="39"/>
      <c r="L59" s="43"/>
    </row>
    <row r="60" spans="2:16">
      <c r="B60" s="1">
        <v>52</v>
      </c>
      <c r="H60" s="28"/>
      <c r="I60" s="38">
        <f>SUM(H58:H59)</f>
        <v>281000</v>
      </c>
      <c r="K60" s="39"/>
      <c r="L60" s="43"/>
    </row>
    <row r="61" spans="2:16">
      <c r="B61" s="1"/>
      <c r="H61" s="28"/>
      <c r="I61" s="38"/>
      <c r="K61" s="39"/>
      <c r="L61" s="43"/>
    </row>
    <row r="62" spans="2:16">
      <c r="B62" s="1">
        <v>53</v>
      </c>
      <c r="C62" s="3" t="s">
        <v>38</v>
      </c>
      <c r="H62" s="28"/>
      <c r="I62" s="38"/>
      <c r="K62" s="39"/>
      <c r="L62" s="43"/>
    </row>
    <row r="63" spans="2:16">
      <c r="B63" s="1">
        <v>54</v>
      </c>
      <c r="D63" s="3" t="s">
        <v>56</v>
      </c>
      <c r="F63" s="34">
        <v>0</v>
      </c>
      <c r="G63" s="51">
        <v>0</v>
      </c>
      <c r="H63" s="28">
        <f>F63*G63</f>
        <v>0</v>
      </c>
      <c r="I63" s="38"/>
      <c r="K63" s="39"/>
      <c r="L63" s="43"/>
    </row>
    <row r="64" spans="2:16">
      <c r="B64" s="1">
        <v>55</v>
      </c>
      <c r="D64" s="3" t="s">
        <v>39</v>
      </c>
      <c r="F64" s="34">
        <f>G13</f>
        <v>10600</v>
      </c>
      <c r="G64" s="51">
        <v>20</v>
      </c>
      <c r="H64" s="38">
        <v>286300</v>
      </c>
      <c r="I64" s="38"/>
      <c r="K64" s="39"/>
      <c r="L64" s="43"/>
    </row>
    <row r="65" spans="2:12">
      <c r="B65" s="1">
        <v>56</v>
      </c>
      <c r="D65" s="3" t="s">
        <v>49</v>
      </c>
      <c r="F65" s="34">
        <f>G14</f>
        <v>15700</v>
      </c>
      <c r="G65" s="51">
        <v>20</v>
      </c>
      <c r="H65" s="38">
        <f t="shared" ref="H65:H70" si="3">F65*G65</f>
        <v>314000</v>
      </c>
      <c r="I65" s="38"/>
      <c r="K65" s="39"/>
      <c r="L65" s="43"/>
    </row>
    <row r="66" spans="2:12">
      <c r="B66" s="1">
        <v>57</v>
      </c>
      <c r="D66" s="3" t="s">
        <v>50</v>
      </c>
      <c r="F66" s="34">
        <f>G15</f>
        <v>18700</v>
      </c>
      <c r="G66" s="51">
        <v>20</v>
      </c>
      <c r="H66" s="38">
        <f t="shared" si="3"/>
        <v>374000</v>
      </c>
      <c r="I66" s="38"/>
      <c r="J66" s="34"/>
      <c r="K66" s="39"/>
      <c r="L66" s="43"/>
    </row>
    <row r="67" spans="2:12">
      <c r="B67" s="1">
        <v>58</v>
      </c>
      <c r="D67" s="3" t="s">
        <v>51</v>
      </c>
      <c r="F67" s="34">
        <f>G16</f>
        <v>18700</v>
      </c>
      <c r="G67" s="51">
        <v>20</v>
      </c>
      <c r="H67" s="38">
        <f t="shared" si="3"/>
        <v>374000</v>
      </c>
      <c r="I67" s="38"/>
      <c r="K67" s="39"/>
      <c r="L67" s="43"/>
    </row>
    <row r="68" spans="2:12">
      <c r="B68" s="1">
        <v>59</v>
      </c>
      <c r="D68" s="3" t="s">
        <v>52</v>
      </c>
      <c r="F68" s="34">
        <f>G17</f>
        <v>18700</v>
      </c>
      <c r="G68" s="51">
        <v>20</v>
      </c>
      <c r="H68" s="38">
        <f t="shared" si="3"/>
        <v>374000</v>
      </c>
      <c r="I68" s="38"/>
      <c r="K68" s="39"/>
      <c r="L68" s="43"/>
    </row>
    <row r="69" spans="2:12">
      <c r="B69" s="1">
        <v>60</v>
      </c>
      <c r="D69" s="3" t="s">
        <v>53</v>
      </c>
      <c r="F69" s="34">
        <v>18700</v>
      </c>
      <c r="G69" s="51">
        <v>20</v>
      </c>
      <c r="H69" s="38">
        <f t="shared" si="3"/>
        <v>374000</v>
      </c>
      <c r="I69" s="38"/>
      <c r="K69" s="39"/>
      <c r="L69" s="43"/>
    </row>
    <row r="70" spans="2:12">
      <c r="B70" s="1">
        <v>61</v>
      </c>
      <c r="D70" s="21" t="s">
        <v>54</v>
      </c>
      <c r="E70" s="21"/>
      <c r="F70" s="37">
        <f>G19</f>
        <v>0</v>
      </c>
      <c r="G70" s="50">
        <v>0</v>
      </c>
      <c r="H70" s="25">
        <f t="shared" si="3"/>
        <v>0</v>
      </c>
      <c r="I70" s="25"/>
      <c r="K70" s="39"/>
      <c r="L70" s="43"/>
    </row>
    <row r="71" spans="2:12">
      <c r="B71" s="1">
        <v>62</v>
      </c>
      <c r="D71" s="3" t="s">
        <v>12</v>
      </c>
      <c r="F71" s="34">
        <f>SUM(F63:F70)</f>
        <v>101100</v>
      </c>
      <c r="H71" s="34">
        <f>SUM(H63:H70)</f>
        <v>2096300</v>
      </c>
      <c r="I71" s="38">
        <f>SUM(H63:H70)</f>
        <v>2096300</v>
      </c>
      <c r="K71" s="39"/>
      <c r="L71" s="43"/>
    </row>
    <row r="72" spans="2:12">
      <c r="B72" s="1">
        <v>63</v>
      </c>
      <c r="H72" s="28"/>
      <c r="I72" s="29"/>
      <c r="K72" s="29"/>
      <c r="L72" s="29"/>
    </row>
    <row r="73" spans="2:12">
      <c r="B73" s="1">
        <v>64</v>
      </c>
      <c r="C73" s="2" t="s">
        <v>17</v>
      </c>
      <c r="H73" s="28"/>
      <c r="I73" s="38"/>
      <c r="K73" s="39"/>
      <c r="L73" s="43"/>
    </row>
    <row r="74" spans="2:12">
      <c r="B74" s="1">
        <v>65</v>
      </c>
      <c r="D74" s="3" t="s">
        <v>71</v>
      </c>
      <c r="H74" s="28">
        <v>115000</v>
      </c>
      <c r="I74" s="38"/>
      <c r="K74" s="39"/>
      <c r="L74" s="43"/>
    </row>
    <row r="75" spans="2:12">
      <c r="B75" s="1">
        <v>66</v>
      </c>
      <c r="D75" s="3" t="s">
        <v>18</v>
      </c>
      <c r="F75" s="34">
        <f>H53</f>
        <v>27702793.599999998</v>
      </c>
      <c r="G75" s="33">
        <v>7.0000000000000001E-3</v>
      </c>
      <c r="H75" s="28">
        <f>F75*G75</f>
        <v>193919.5552</v>
      </c>
      <c r="I75" s="38"/>
      <c r="J75" s="34"/>
      <c r="K75" s="39"/>
      <c r="L75" s="43"/>
    </row>
    <row r="76" spans="2:12">
      <c r="B76" s="1">
        <v>67</v>
      </c>
      <c r="D76" s="3" t="s">
        <v>19</v>
      </c>
      <c r="F76" s="34">
        <f>H53</f>
        <v>27702793.599999998</v>
      </c>
      <c r="G76" s="33">
        <v>5.0000000000000001E-3</v>
      </c>
      <c r="H76" s="28">
        <f>F75*G76</f>
        <v>138513.96799999999</v>
      </c>
      <c r="I76" s="38"/>
      <c r="J76" s="34"/>
      <c r="K76" s="39"/>
      <c r="L76" s="43"/>
    </row>
    <row r="77" spans="2:12">
      <c r="B77" s="1">
        <v>68</v>
      </c>
      <c r="D77" s="3" t="s">
        <v>72</v>
      </c>
      <c r="F77" s="34">
        <f>H53</f>
        <v>27702793.599999998</v>
      </c>
      <c r="G77" s="33">
        <v>6.5000000000000002E-2</v>
      </c>
      <c r="H77" s="28">
        <f>F77*G77</f>
        <v>1800681.584</v>
      </c>
      <c r="I77" s="38"/>
      <c r="J77" s="34"/>
      <c r="K77" s="39"/>
      <c r="L77" s="43"/>
    </row>
    <row r="78" spans="2:12">
      <c r="B78" s="1">
        <v>69</v>
      </c>
      <c r="D78" s="3" t="s">
        <v>20</v>
      </c>
      <c r="F78" s="34">
        <f>H53</f>
        <v>27702793.599999998</v>
      </c>
      <c r="G78" s="33">
        <v>0.02</v>
      </c>
      <c r="H78" s="28">
        <f>F78*G78</f>
        <v>554055.87199999997</v>
      </c>
      <c r="I78" s="38"/>
      <c r="J78" s="34"/>
      <c r="K78" s="39"/>
      <c r="L78" s="43"/>
    </row>
    <row r="79" spans="2:12">
      <c r="B79" s="1">
        <v>70</v>
      </c>
      <c r="D79" s="3" t="s">
        <v>94</v>
      </c>
      <c r="F79" s="34"/>
      <c r="H79" s="28">
        <v>35000</v>
      </c>
      <c r="I79" s="38"/>
      <c r="J79" s="34"/>
      <c r="K79" s="39"/>
      <c r="L79" s="43"/>
    </row>
    <row r="80" spans="2:12">
      <c r="B80" s="1">
        <v>71</v>
      </c>
      <c r="D80" s="21" t="s">
        <v>21</v>
      </c>
      <c r="E80" s="21"/>
      <c r="F80" s="65">
        <f>SUM(H74:H79)</f>
        <v>2837170.9791999999</v>
      </c>
      <c r="G80" s="54">
        <v>0.1</v>
      </c>
      <c r="H80" s="49">
        <f>F80*G80</f>
        <v>283717.09792000003</v>
      </c>
      <c r="I80" s="25"/>
      <c r="J80" s="34"/>
      <c r="K80" s="39"/>
      <c r="L80" s="43"/>
    </row>
    <row r="81" spans="2:15">
      <c r="B81" s="1">
        <v>72</v>
      </c>
      <c r="D81" s="3" t="s">
        <v>12</v>
      </c>
      <c r="H81" s="28"/>
      <c r="I81" s="28">
        <f>SUM(H74:H80)</f>
        <v>3120888.07712</v>
      </c>
      <c r="K81" s="39"/>
      <c r="L81" s="43"/>
      <c r="N81" s="30"/>
    </row>
    <row r="82" spans="2:15">
      <c r="B82" s="1">
        <v>73</v>
      </c>
      <c r="H82" s="28"/>
      <c r="I82" s="28"/>
      <c r="K82" s="39"/>
      <c r="L82" s="43"/>
    </row>
    <row r="83" spans="2:15">
      <c r="B83" s="1">
        <v>74</v>
      </c>
      <c r="C83" s="2" t="s">
        <v>73</v>
      </c>
      <c r="H83" s="28"/>
      <c r="I83" s="28"/>
      <c r="K83" s="39"/>
      <c r="L83" s="43"/>
    </row>
    <row r="84" spans="2:15">
      <c r="B84" s="1">
        <v>75</v>
      </c>
      <c r="D84" s="3" t="s">
        <v>22</v>
      </c>
      <c r="F84" s="34">
        <f>H53</f>
        <v>27702793.599999998</v>
      </c>
      <c r="G84" s="55">
        <v>0.02</v>
      </c>
      <c r="H84" s="38">
        <f>F84*G84</f>
        <v>554055.87199999997</v>
      </c>
      <c r="I84" s="28"/>
      <c r="K84" s="39"/>
      <c r="L84" s="43"/>
    </row>
    <row r="85" spans="2:15">
      <c r="B85" s="1">
        <v>76</v>
      </c>
      <c r="D85" s="3" t="s">
        <v>23</v>
      </c>
      <c r="F85" s="34">
        <f>G20</f>
        <v>114750</v>
      </c>
      <c r="G85" s="56">
        <v>3</v>
      </c>
      <c r="H85" s="38">
        <f>F85*G85</f>
        <v>344250</v>
      </c>
      <c r="I85" s="28"/>
      <c r="K85" s="39"/>
      <c r="L85" s="43"/>
    </row>
    <row r="86" spans="2:15">
      <c r="B86" s="1">
        <v>77</v>
      </c>
      <c r="D86" s="46" t="s">
        <v>24</v>
      </c>
      <c r="E86" s="46"/>
      <c r="F86" s="71"/>
      <c r="G86" s="19"/>
      <c r="H86" s="14">
        <v>75000</v>
      </c>
      <c r="I86" s="47"/>
      <c r="K86" s="39"/>
      <c r="L86" s="43"/>
    </row>
    <row r="87" spans="2:15">
      <c r="B87" s="1">
        <v>78</v>
      </c>
      <c r="D87" s="21" t="s">
        <v>95</v>
      </c>
      <c r="E87" s="21"/>
      <c r="F87" s="37">
        <v>114750</v>
      </c>
      <c r="G87" s="24">
        <f>H87/F87</f>
        <v>1.3735032679738561</v>
      </c>
      <c r="H87" s="25">
        <v>157609.5</v>
      </c>
      <c r="I87" s="49"/>
      <c r="K87" s="39"/>
      <c r="L87" s="43"/>
    </row>
    <row r="88" spans="2:15">
      <c r="B88" s="1">
        <v>79</v>
      </c>
      <c r="D88" s="3" t="s">
        <v>12</v>
      </c>
      <c r="H88" s="28"/>
      <c r="I88" s="28">
        <f>SUM(H84:H87)</f>
        <v>1130915.372</v>
      </c>
      <c r="K88" s="39"/>
      <c r="L88" s="43"/>
    </row>
    <row r="89" spans="2:15">
      <c r="B89" s="1">
        <v>80</v>
      </c>
      <c r="H89" s="28"/>
      <c r="I89" s="28"/>
      <c r="K89" s="39"/>
      <c r="L89" s="43"/>
    </row>
    <row r="90" spans="2:15">
      <c r="B90" s="1">
        <v>81</v>
      </c>
      <c r="C90" s="2" t="s">
        <v>57</v>
      </c>
      <c r="H90" s="28"/>
      <c r="I90" s="28">
        <f>I42+I53+I56+I60+I71+I81+I88</f>
        <v>38493036.729120001</v>
      </c>
      <c r="K90" s="39"/>
      <c r="L90" s="43"/>
      <c r="O90" s="30"/>
    </row>
    <row r="91" spans="2:15">
      <c r="B91" s="1">
        <v>82</v>
      </c>
      <c r="C91" s="2" t="s">
        <v>74</v>
      </c>
      <c r="H91" s="28"/>
      <c r="I91" s="59">
        <f>I90/F53</f>
        <v>273.97179166633452</v>
      </c>
      <c r="K91" s="39"/>
      <c r="L91" s="43"/>
    </row>
    <row r="92" spans="2:15">
      <c r="B92" s="1">
        <v>83</v>
      </c>
      <c r="C92" s="2"/>
      <c r="H92" s="28"/>
      <c r="I92" s="28"/>
      <c r="K92" s="39"/>
      <c r="L92" s="43"/>
    </row>
    <row r="93" spans="2:15">
      <c r="B93" s="1">
        <v>84</v>
      </c>
      <c r="C93" s="2" t="s">
        <v>25</v>
      </c>
      <c r="H93" s="28"/>
      <c r="I93" s="28"/>
      <c r="K93" s="39"/>
      <c r="L93" s="43"/>
    </row>
    <row r="94" spans="2:15">
      <c r="B94" s="1">
        <v>85</v>
      </c>
      <c r="D94" s="3" t="s">
        <v>26</v>
      </c>
      <c r="H94" s="28"/>
      <c r="I94" s="28">
        <f>I36-I90</f>
        <v>29587211.270879999</v>
      </c>
      <c r="K94" s="39"/>
      <c r="L94" s="43"/>
    </row>
    <row r="95" spans="2:15">
      <c r="B95" s="1">
        <v>86</v>
      </c>
      <c r="D95" s="3" t="s">
        <v>88</v>
      </c>
      <c r="F95" s="34">
        <f>I94</f>
        <v>29587211.270879999</v>
      </c>
      <c r="G95" s="60">
        <v>1</v>
      </c>
      <c r="H95" s="28">
        <f>F95*G95</f>
        <v>29587211.270879999</v>
      </c>
      <c r="I95" s="28"/>
      <c r="K95" s="29"/>
      <c r="L95" s="43"/>
    </row>
    <row r="96" spans="2:15">
      <c r="B96" s="1">
        <v>87</v>
      </c>
      <c r="H96" s="28"/>
      <c r="I96" s="28"/>
    </row>
    <row r="97" spans="2:15">
      <c r="B97" s="1">
        <v>88</v>
      </c>
    </row>
    <row r="98" spans="2:15">
      <c r="B98" s="1">
        <v>89</v>
      </c>
      <c r="C98" s="41" t="s">
        <v>76</v>
      </c>
      <c r="D98" s="5"/>
      <c r="E98" s="5"/>
      <c r="F98" s="5"/>
      <c r="G98" s="5"/>
      <c r="H98" s="5"/>
      <c r="I98" s="5"/>
      <c r="J98" s="5"/>
      <c r="K98" s="5"/>
      <c r="L98" s="5"/>
    </row>
    <row r="99" spans="2:15">
      <c r="B99" s="1">
        <v>90</v>
      </c>
    </row>
    <row r="100" spans="2:15">
      <c r="B100" s="1">
        <v>91</v>
      </c>
      <c r="C100" s="3" t="s">
        <v>27</v>
      </c>
      <c r="I100" s="62">
        <f>I94/I90</f>
        <v>0.76863801313179481</v>
      </c>
      <c r="K100" s="61"/>
      <c r="L100" s="52"/>
      <c r="M100" s="29"/>
    </row>
    <row r="101" spans="2:15">
      <c r="B101" s="1">
        <v>92</v>
      </c>
      <c r="C101" s="3" t="s">
        <v>28</v>
      </c>
      <c r="I101" s="61">
        <f>I94/(I94+I90)</f>
        <v>0.43459317702367944</v>
      </c>
      <c r="J101" s="62"/>
      <c r="K101" s="61"/>
      <c r="L101" s="52"/>
      <c r="M101" s="29"/>
    </row>
    <row r="102" spans="2:15">
      <c r="B102" s="1">
        <v>93</v>
      </c>
      <c r="C102" s="3" t="s">
        <v>29</v>
      </c>
      <c r="I102" s="61">
        <f>J20/I90</f>
        <v>0.10386034305720511</v>
      </c>
      <c r="K102" s="61"/>
      <c r="L102" s="52"/>
      <c r="M102" s="29"/>
      <c r="O102" s="63"/>
    </row>
    <row r="103" spans="2:15">
      <c r="B103" s="1">
        <v>94</v>
      </c>
      <c r="C103" s="3" t="s">
        <v>30</v>
      </c>
      <c r="I103" s="61">
        <f>J20/I29</f>
        <v>5.8723346601205095E-2</v>
      </c>
      <c r="K103" s="61"/>
      <c r="L103" s="52"/>
      <c r="M103" s="29"/>
    </row>
    <row r="110" spans="2:15">
      <c r="E110" s="34"/>
      <c r="G110" s="34"/>
    </row>
    <row r="111" spans="2:15">
      <c r="E111" s="34"/>
    </row>
    <row r="113" spans="5:5">
      <c r="E113" s="62"/>
    </row>
  </sheetData>
  <pageMargins left="0.25" right="0.25" top="0.75" bottom="0.75" header="0.3" footer="0.3"/>
  <pageSetup scale="45" fitToHeight="2" orientation="portrait" horizontalDpi="1200" verticalDpi="1200" r:id="rId1"/>
  <rowBreaks count="1" manualBreakCount="1">
    <brk id="60" min="1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CD99-61A8-8743-80D7-30F531662D02}">
  <sheetPr>
    <pageSetUpPr fitToPage="1"/>
  </sheetPr>
  <dimension ref="B2:O35"/>
  <sheetViews>
    <sheetView tabSelected="1" zoomScale="80" zoomScaleNormal="80" zoomScaleSheetLayoutView="80" workbookViewId="0">
      <selection activeCell="A2" sqref="A2"/>
    </sheetView>
  </sheetViews>
  <sheetFormatPr baseColWidth="10" defaultColWidth="10.83203125" defaultRowHeight="26" customHeight="1"/>
  <cols>
    <col min="1" max="1" width="5.1640625" style="3" customWidth="1"/>
    <col min="2" max="2" width="10.83203125" style="7" customWidth="1"/>
    <col min="3" max="3" width="43.1640625" style="3" customWidth="1"/>
    <col min="4" max="4" width="17" style="3" customWidth="1"/>
    <col min="5" max="5" width="20.33203125" style="3" customWidth="1"/>
    <col min="6" max="6" width="10.83203125" style="3"/>
    <col min="7" max="7" width="6.33203125" style="3" customWidth="1"/>
    <col min="8" max="8" width="4.1640625" style="29" customWidth="1"/>
    <col min="9" max="11" width="10.83203125" style="29"/>
    <col min="12" max="16384" width="10.83203125" style="3"/>
  </cols>
  <sheetData>
    <row r="2" spans="2:15" ht="26" customHeight="1">
      <c r="B2" s="2" t="s">
        <v>87</v>
      </c>
    </row>
    <row r="3" spans="2:15" ht="26" customHeight="1">
      <c r="B3" s="3" t="s">
        <v>117</v>
      </c>
    </row>
    <row r="4" spans="2:15" ht="26" customHeight="1">
      <c r="B4" s="7" t="s">
        <v>60</v>
      </c>
    </row>
    <row r="5" spans="2:15" ht="26" customHeight="1">
      <c r="B5" s="4" t="s">
        <v>116</v>
      </c>
    </row>
    <row r="6" spans="2:15" ht="26" customHeight="1">
      <c r="B6" s="7" t="s">
        <v>32</v>
      </c>
    </row>
    <row r="7" spans="2:15" ht="26" customHeight="1">
      <c r="B7" s="66"/>
      <c r="C7" s="5"/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6" t="s">
        <v>64</v>
      </c>
    </row>
    <row r="9" spans="2:15" ht="26" customHeight="1">
      <c r="B9" s="1">
        <v>1</v>
      </c>
      <c r="C9" s="2" t="s">
        <v>89</v>
      </c>
      <c r="D9" s="44" t="s">
        <v>61</v>
      </c>
      <c r="E9" s="44" t="s">
        <v>62</v>
      </c>
    </row>
    <row r="10" spans="2:15" ht="26" customHeight="1">
      <c r="B10" s="1">
        <v>2</v>
      </c>
      <c r="C10" s="3" t="s">
        <v>58</v>
      </c>
      <c r="D10" s="30">
        <f>'Test Site_Underground_Proforma'!I42/'Test Site_Underground_Proforma'!F53</f>
        <v>19.758007117437721</v>
      </c>
      <c r="E10" s="62">
        <f>D10/$D$23</f>
        <v>7.2116939474924702E-2</v>
      </c>
    </row>
    <row r="11" spans="2:15" ht="26" customHeight="1">
      <c r="B11" s="1">
        <v>3</v>
      </c>
      <c r="C11" s="3" t="s">
        <v>84</v>
      </c>
      <c r="D11" s="30">
        <f>'Test Site_Underground_Proforma'!G58</f>
        <v>1</v>
      </c>
      <c r="E11" s="62">
        <f>D11/$D$23</f>
        <v>3.6500108055572481E-3</v>
      </c>
    </row>
    <row r="12" spans="2:15" ht="26" customHeight="1">
      <c r="B12" s="1">
        <v>4</v>
      </c>
      <c r="D12" s="30"/>
      <c r="E12" s="62"/>
    </row>
    <row r="13" spans="2:15" ht="26" customHeight="1">
      <c r="B13" s="1">
        <v>5</v>
      </c>
      <c r="C13" s="2" t="s">
        <v>90</v>
      </c>
      <c r="D13" s="30"/>
      <c r="E13" s="62"/>
      <c r="G13" s="29"/>
    </row>
    <row r="14" spans="2:15" ht="26" customHeight="1">
      <c r="B14" s="1">
        <v>6</v>
      </c>
      <c r="C14" s="3" t="s">
        <v>78</v>
      </c>
      <c r="D14" s="39">
        <f>'Test Site_Underground_Proforma'!I53/'Test Site_Underground_Proforma'!F53</f>
        <v>197.17290818505336</v>
      </c>
      <c r="E14" s="62">
        <f>D14/$D$23</f>
        <v>0.71968324543859186</v>
      </c>
      <c r="G14" s="29"/>
    </row>
    <row r="15" spans="2:15" ht="26" customHeight="1">
      <c r="B15" s="1">
        <v>7</v>
      </c>
      <c r="C15" s="3" t="s">
        <v>65</v>
      </c>
      <c r="D15" s="30">
        <f>'Test Site_Underground_Proforma'!I56/'Test Site_Underground_Proforma'!F53</f>
        <v>9.8586454092526683</v>
      </c>
      <c r="E15" s="62">
        <f>D15/$D$23</f>
        <v>3.5984162271929597E-2</v>
      </c>
      <c r="G15" s="29"/>
    </row>
    <row r="16" spans="2:15" ht="26" customHeight="1">
      <c r="B16" s="1">
        <v>8</v>
      </c>
      <c r="C16" s="3" t="s">
        <v>85</v>
      </c>
      <c r="D16" s="30">
        <f>'Test Site_Underground_Proforma'!G59</f>
        <v>1</v>
      </c>
      <c r="E16" s="62">
        <f>D16/$D$23</f>
        <v>3.6500108055572481E-3</v>
      </c>
      <c r="G16" s="29"/>
    </row>
    <row r="17" spans="2:7" ht="26" customHeight="1">
      <c r="B17" s="1">
        <v>9</v>
      </c>
      <c r="C17" s="3" t="s">
        <v>91</v>
      </c>
      <c r="D17" s="39">
        <f>'Test Site_Underground_Proforma'!I81/'Test Site_Underground_Proforma'!F53</f>
        <v>22.212726527544483</v>
      </c>
      <c r="E17" s="62">
        <f>D17/$D$23</f>
        <v>8.1076691846425492E-2</v>
      </c>
      <c r="G17" s="29"/>
    </row>
    <row r="18" spans="2:7" ht="26" customHeight="1">
      <c r="B18" s="1">
        <v>10</v>
      </c>
      <c r="D18" s="30"/>
      <c r="E18" s="62"/>
      <c r="G18" s="29"/>
    </row>
    <row r="19" spans="2:7" ht="26" customHeight="1">
      <c r="B19" s="1">
        <v>11</v>
      </c>
      <c r="C19" s="2" t="s">
        <v>80</v>
      </c>
      <c r="D19" s="30"/>
      <c r="E19" s="62"/>
      <c r="G19" s="29"/>
    </row>
    <row r="20" spans="2:7" ht="26" customHeight="1">
      <c r="B20" s="1">
        <v>12</v>
      </c>
      <c r="C20" s="3" t="s">
        <v>81</v>
      </c>
      <c r="D20" s="39">
        <f>'Test Site_Underground_Proforma'!I71/'Test Site_Underground_Proforma'!F53</f>
        <v>14.920284697508897</v>
      </c>
      <c r="E20" s="62">
        <f>D20/$D$23</f>
        <v>5.4459200367897934E-2</v>
      </c>
      <c r="G20" s="29"/>
    </row>
    <row r="21" spans="2:7" ht="26" customHeight="1">
      <c r="B21" s="1">
        <v>13</v>
      </c>
      <c r="C21" s="3" t="s">
        <v>82</v>
      </c>
      <c r="D21" s="39">
        <f>('Test Site_Underground_Proforma'!H84+'Test Site_Underground_Proforma'!H85+'Test Site_Underground_Proforma'!H86)/'Test Site_Underground_Proforma'!F53</f>
        <v>6.9274439288256229</v>
      </c>
      <c r="E21" s="62">
        <f>D21/$D$23</f>
        <v>2.5285245195105478E-2</v>
      </c>
      <c r="G21" s="29"/>
    </row>
    <row r="22" spans="2:7" ht="26" customHeight="1">
      <c r="B22" s="1">
        <v>14</v>
      </c>
      <c r="C22" s="3" t="s">
        <v>95</v>
      </c>
      <c r="D22" s="39">
        <f>'Test Site_Underground_Proforma'!H87/'Test Site_Underground_Proforma'!F53</f>
        <v>1.1217758007117438</v>
      </c>
      <c r="E22" s="62">
        <f>D22/$D$23</f>
        <v>4.0944937940104991E-3</v>
      </c>
      <c r="G22" s="29"/>
    </row>
    <row r="23" spans="2:7" ht="26" customHeight="1">
      <c r="B23" s="1">
        <v>15</v>
      </c>
      <c r="C23" s="2" t="s">
        <v>83</v>
      </c>
      <c r="D23" s="30">
        <f>SUM(D10:D22)</f>
        <v>273.97179166633447</v>
      </c>
      <c r="E23" s="62">
        <f>D23/$D$23</f>
        <v>1</v>
      </c>
    </row>
    <row r="24" spans="2:7" ht="26" customHeight="1">
      <c r="B24" s="1">
        <v>16</v>
      </c>
      <c r="D24" s="30"/>
    </row>
    <row r="25" spans="2:7" ht="26" customHeight="1">
      <c r="B25" s="1">
        <v>17</v>
      </c>
    </row>
    <row r="26" spans="2:7" ht="26" customHeight="1">
      <c r="B26" s="1">
        <v>18</v>
      </c>
    </row>
    <row r="27" spans="2:7" ht="26" customHeight="1">
      <c r="B27" s="1">
        <v>19</v>
      </c>
    </row>
    <row r="28" spans="2:7" ht="50.5" customHeight="1">
      <c r="B28" s="68">
        <v>20</v>
      </c>
      <c r="C28" s="128" t="s">
        <v>86</v>
      </c>
      <c r="D28" s="128"/>
      <c r="E28" s="128"/>
      <c r="F28" s="128"/>
    </row>
    <row r="29" spans="2:7" ht="26" customHeight="1">
      <c r="B29" s="1">
        <v>21</v>
      </c>
      <c r="C29" s="67"/>
      <c r="D29" s="67"/>
      <c r="E29" s="67"/>
      <c r="F29" s="67"/>
    </row>
    <row r="30" spans="2:7" ht="26" customHeight="1">
      <c r="B30" s="1">
        <v>22</v>
      </c>
      <c r="C30" s="128" t="s">
        <v>93</v>
      </c>
      <c r="D30" s="128"/>
      <c r="E30" s="128"/>
      <c r="F30" s="128"/>
    </row>
    <row r="31" spans="2:7" ht="26" customHeight="1">
      <c r="B31" s="1">
        <v>23</v>
      </c>
      <c r="C31" s="128"/>
      <c r="D31" s="128"/>
      <c r="E31" s="128"/>
      <c r="F31" s="128"/>
    </row>
    <row r="32" spans="2:7" ht="26" customHeight="1">
      <c r="B32" s="1">
        <v>24</v>
      </c>
      <c r="C32" s="128"/>
      <c r="D32" s="128"/>
      <c r="E32" s="128"/>
      <c r="F32" s="128"/>
    </row>
    <row r="35" spans="3:6" ht="26" customHeight="1">
      <c r="C35" s="29"/>
      <c r="D35" s="29"/>
      <c r="E35" s="29"/>
      <c r="F35" s="29"/>
    </row>
  </sheetData>
  <mergeCells count="2">
    <mergeCell ref="C28:F28"/>
    <mergeCell ref="C30:F32"/>
  </mergeCells>
  <pageMargins left="0.25" right="0.25" top="0.75" bottom="0.75" header="0.3" footer="0.3"/>
  <pageSetup scale="81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5853-A615-EC48-92E1-3AC836CEA24B}">
  <sheetPr>
    <pageSetUpPr fitToPage="1"/>
  </sheetPr>
  <dimension ref="B2:N54"/>
  <sheetViews>
    <sheetView zoomScale="80" zoomScaleNormal="80" zoomScaleSheetLayoutView="80" workbookViewId="0"/>
  </sheetViews>
  <sheetFormatPr baseColWidth="10" defaultColWidth="10.6640625" defaultRowHeight="16"/>
  <cols>
    <col min="1" max="1" width="6.5" customWidth="1"/>
    <col min="2" max="2" width="5.83203125" customWidth="1"/>
    <col min="3" max="3" width="6.5" customWidth="1"/>
    <col min="4" max="4" width="22.1640625" bestFit="1" customWidth="1"/>
    <col min="6" max="6" width="9.6640625" customWidth="1"/>
    <col min="7" max="7" width="10.5" bestFit="1" customWidth="1"/>
    <col min="8" max="8" width="11.6640625" customWidth="1"/>
    <col min="9" max="9" width="13.1640625" customWidth="1"/>
    <col min="10" max="10" width="11.5" bestFit="1" customWidth="1"/>
    <col min="11" max="11" width="7" customWidth="1"/>
    <col min="14" max="14" width="11.5" bestFit="1" customWidth="1"/>
  </cols>
  <sheetData>
    <row r="2" spans="2:11">
      <c r="B2" s="125" t="s">
        <v>115</v>
      </c>
      <c r="D2" s="105"/>
    </row>
    <row r="3" spans="2:11">
      <c r="B3" s="123" t="s">
        <v>117</v>
      </c>
      <c r="D3" s="105"/>
    </row>
    <row r="4" spans="2:11">
      <c r="B4" s="123" t="s">
        <v>31</v>
      </c>
      <c r="D4" s="105"/>
    </row>
    <row r="5" spans="2:11">
      <c r="B5" s="124" t="s">
        <v>116</v>
      </c>
      <c r="D5" s="105"/>
    </row>
    <row r="6" spans="2:11">
      <c r="B6" s="123" t="s">
        <v>114</v>
      </c>
      <c r="D6" s="105"/>
    </row>
    <row r="7" spans="2:11">
      <c r="B7" s="122"/>
      <c r="C7" s="122"/>
      <c r="D7" s="122"/>
      <c r="E7" s="122"/>
      <c r="F7" s="122"/>
      <c r="G7" s="122"/>
      <c r="H7" s="122"/>
      <c r="I7" s="122"/>
      <c r="J7" s="122"/>
      <c r="K7" s="122"/>
    </row>
    <row r="9" spans="2:11">
      <c r="B9" s="80">
        <v>1</v>
      </c>
      <c r="C9" s="121" t="s">
        <v>42</v>
      </c>
      <c r="D9" s="120"/>
      <c r="E9" s="120"/>
      <c r="F9" s="120"/>
      <c r="G9" s="120"/>
      <c r="H9" s="120"/>
      <c r="I9" s="120"/>
      <c r="J9" s="120"/>
      <c r="K9" s="120"/>
    </row>
    <row r="10" spans="2:11">
      <c r="B10" s="80">
        <v>2</v>
      </c>
    </row>
    <row r="11" spans="2:11" ht="34">
      <c r="B11" s="80">
        <v>3</v>
      </c>
      <c r="C11" s="82" t="s">
        <v>4</v>
      </c>
      <c r="E11" s="119" t="s">
        <v>33</v>
      </c>
      <c r="F11" s="119" t="s">
        <v>66</v>
      </c>
      <c r="G11" s="118" t="s">
        <v>75</v>
      </c>
      <c r="H11" s="119" t="s">
        <v>34</v>
      </c>
      <c r="I11" s="118" t="s">
        <v>35</v>
      </c>
      <c r="J11" s="118" t="s">
        <v>36</v>
      </c>
    </row>
    <row r="12" spans="2:11">
      <c r="B12" s="80">
        <v>4</v>
      </c>
      <c r="C12" s="82"/>
      <c r="D12" t="s">
        <v>55</v>
      </c>
      <c r="E12" s="117">
        <v>1</v>
      </c>
      <c r="F12" s="114">
        <f>91*150</f>
        <v>13650</v>
      </c>
      <c r="G12" s="115">
        <v>6</v>
      </c>
      <c r="H12" s="114">
        <f t="shared" ref="H12:H19" si="0">F12*G12</f>
        <v>81900</v>
      </c>
      <c r="I12" s="114">
        <f t="shared" ref="I12:J19" si="1">H12</f>
        <v>81900</v>
      </c>
      <c r="J12" s="74">
        <f t="shared" si="1"/>
        <v>81900</v>
      </c>
    </row>
    <row r="13" spans="2:11">
      <c r="B13" s="80">
        <v>5</v>
      </c>
      <c r="C13" s="82"/>
      <c r="D13" t="s">
        <v>1</v>
      </c>
      <c r="E13" s="109">
        <v>1</v>
      </c>
      <c r="F13" s="114">
        <v>10600</v>
      </c>
      <c r="G13" s="115">
        <v>45</v>
      </c>
      <c r="H13" s="114">
        <f t="shared" si="0"/>
        <v>477000</v>
      </c>
      <c r="I13" s="114">
        <f t="shared" si="1"/>
        <v>477000</v>
      </c>
      <c r="J13" s="74">
        <f t="shared" si="1"/>
        <v>477000</v>
      </c>
    </row>
    <row r="14" spans="2:11">
      <c r="B14" s="80">
        <v>6</v>
      </c>
      <c r="C14" s="82"/>
      <c r="D14" t="s">
        <v>43</v>
      </c>
      <c r="E14" s="109">
        <v>1</v>
      </c>
      <c r="F14" s="116">
        <v>15700</v>
      </c>
      <c r="G14" s="115">
        <v>38</v>
      </c>
      <c r="H14" s="114">
        <f t="shared" si="0"/>
        <v>596600</v>
      </c>
      <c r="I14" s="114">
        <f t="shared" si="1"/>
        <v>596600</v>
      </c>
      <c r="J14" s="74">
        <f t="shared" si="1"/>
        <v>596600</v>
      </c>
    </row>
    <row r="15" spans="2:11">
      <c r="B15" s="80">
        <v>7</v>
      </c>
      <c r="C15" s="82"/>
      <c r="D15" t="s">
        <v>44</v>
      </c>
      <c r="E15" s="109">
        <v>1</v>
      </c>
      <c r="F15" s="116">
        <v>18700</v>
      </c>
      <c r="G15" s="115">
        <v>38</v>
      </c>
      <c r="H15" s="114">
        <f t="shared" si="0"/>
        <v>710600</v>
      </c>
      <c r="I15" s="114">
        <f t="shared" si="1"/>
        <v>710600</v>
      </c>
      <c r="J15" s="74">
        <f t="shared" si="1"/>
        <v>710600</v>
      </c>
    </row>
    <row r="16" spans="2:11">
      <c r="B16" s="80">
        <v>8</v>
      </c>
      <c r="D16" t="s">
        <v>45</v>
      </c>
      <c r="E16" s="109">
        <v>1</v>
      </c>
      <c r="F16" s="116">
        <v>18700</v>
      </c>
      <c r="G16" s="115">
        <v>38</v>
      </c>
      <c r="H16" s="114">
        <f t="shared" si="0"/>
        <v>710600</v>
      </c>
      <c r="I16" s="114">
        <f t="shared" si="1"/>
        <v>710600</v>
      </c>
      <c r="J16" s="74">
        <f t="shared" si="1"/>
        <v>710600</v>
      </c>
    </row>
    <row r="17" spans="2:10">
      <c r="B17" s="80">
        <v>9</v>
      </c>
      <c r="D17" t="s">
        <v>46</v>
      </c>
      <c r="E17" s="109">
        <v>1</v>
      </c>
      <c r="F17" s="116">
        <v>18700</v>
      </c>
      <c r="G17" s="115">
        <v>38</v>
      </c>
      <c r="H17" s="114">
        <f t="shared" si="0"/>
        <v>710600</v>
      </c>
      <c r="I17" s="114">
        <f t="shared" si="1"/>
        <v>710600</v>
      </c>
      <c r="J17" s="74">
        <f t="shared" si="1"/>
        <v>710600</v>
      </c>
    </row>
    <row r="18" spans="2:10">
      <c r="B18" s="80">
        <v>10</v>
      </c>
      <c r="D18" t="s">
        <v>47</v>
      </c>
      <c r="E18" s="109">
        <v>1</v>
      </c>
      <c r="F18" s="116">
        <v>18700</v>
      </c>
      <c r="G18" s="115">
        <v>38</v>
      </c>
      <c r="H18" s="114">
        <f t="shared" si="0"/>
        <v>710600</v>
      </c>
      <c r="I18" s="114">
        <f t="shared" si="1"/>
        <v>710600</v>
      </c>
      <c r="J18" s="74">
        <f t="shared" si="1"/>
        <v>710600</v>
      </c>
    </row>
    <row r="19" spans="2:10">
      <c r="B19" s="80">
        <v>11</v>
      </c>
      <c r="D19" s="86" t="s">
        <v>48</v>
      </c>
      <c r="E19" s="113">
        <v>0</v>
      </c>
      <c r="F19" s="112">
        <v>0</v>
      </c>
      <c r="G19" s="111">
        <v>0</v>
      </c>
      <c r="H19" s="110">
        <f t="shared" si="0"/>
        <v>0</v>
      </c>
      <c r="I19" s="110">
        <f t="shared" si="1"/>
        <v>0</v>
      </c>
      <c r="J19" s="89">
        <f t="shared" si="1"/>
        <v>0</v>
      </c>
    </row>
    <row r="20" spans="2:10">
      <c r="B20" s="80">
        <v>12</v>
      </c>
      <c r="D20" t="s">
        <v>2</v>
      </c>
      <c r="E20" s="109">
        <f>SUM(E12:E19)</f>
        <v>7</v>
      </c>
      <c r="F20" s="75">
        <f>SUM(F12:F19)</f>
        <v>114750</v>
      </c>
      <c r="H20" s="75"/>
      <c r="I20" s="75">
        <f>SUM(I12:I19)</f>
        <v>3997900</v>
      </c>
      <c r="J20" s="75">
        <f>SUM(J12:J19)</f>
        <v>3997900</v>
      </c>
    </row>
    <row r="21" spans="2:10">
      <c r="B21" s="80">
        <v>13</v>
      </c>
      <c r="C21" s="108"/>
      <c r="D21" s="107"/>
      <c r="E21" s="107"/>
      <c r="F21" s="107"/>
      <c r="G21" s="107"/>
    </row>
    <row r="22" spans="2:10">
      <c r="B22" s="80">
        <v>14</v>
      </c>
      <c r="C22" s="105"/>
      <c r="D22" s="105"/>
      <c r="E22" s="107"/>
      <c r="F22" s="107"/>
      <c r="G22" s="107"/>
    </row>
    <row r="23" spans="2:10">
      <c r="B23" s="80">
        <v>15</v>
      </c>
      <c r="C23" s="105" t="s">
        <v>113</v>
      </c>
      <c r="D23" s="105"/>
      <c r="E23" s="107"/>
      <c r="F23" s="107"/>
      <c r="J23" s="73">
        <f>4*250*12</f>
        <v>12000</v>
      </c>
    </row>
    <row r="24" spans="2:10">
      <c r="B24" s="80">
        <v>16</v>
      </c>
      <c r="C24" s="105"/>
      <c r="D24" s="105"/>
      <c r="E24" s="105"/>
      <c r="F24" s="106"/>
      <c r="G24" s="105"/>
    </row>
    <row r="25" spans="2:10">
      <c r="B25" s="80">
        <v>17</v>
      </c>
      <c r="C25" s="104" t="s">
        <v>112</v>
      </c>
      <c r="D25" s="104"/>
      <c r="E25" s="104"/>
      <c r="F25" s="104"/>
      <c r="G25" s="103"/>
      <c r="H25" s="103"/>
      <c r="I25" s="103"/>
      <c r="J25" s="103">
        <f>J20+J23</f>
        <v>4009900</v>
      </c>
    </row>
    <row r="26" spans="2:10">
      <c r="B26" s="80">
        <v>18</v>
      </c>
    </row>
    <row r="27" spans="2:10">
      <c r="B27" s="80">
        <v>19</v>
      </c>
      <c r="C27" s="82" t="s">
        <v>111</v>
      </c>
      <c r="D27" s="102"/>
    </row>
    <row r="28" spans="2:10">
      <c r="B28" s="80">
        <v>20</v>
      </c>
      <c r="C28" t="s">
        <v>0</v>
      </c>
      <c r="G28" s="101"/>
    </row>
    <row r="29" spans="2:10">
      <c r="B29" s="80">
        <v>21</v>
      </c>
      <c r="D29" t="s">
        <v>67</v>
      </c>
      <c r="G29" s="74">
        <f>+SUM(I14:I19)</f>
        <v>3439000</v>
      </c>
      <c r="H29" s="100">
        <v>5.5E-2</v>
      </c>
      <c r="I29" s="74">
        <f>G29*H29</f>
        <v>189145</v>
      </c>
    </row>
    <row r="30" spans="2:10">
      <c r="B30" s="80">
        <v>22</v>
      </c>
      <c r="C30" t="s">
        <v>1</v>
      </c>
    </row>
    <row r="31" spans="2:10">
      <c r="B31" s="80">
        <v>23</v>
      </c>
      <c r="D31" s="86" t="s">
        <v>67</v>
      </c>
      <c r="E31" s="86"/>
      <c r="F31" s="86"/>
      <c r="G31" s="89">
        <f>I13</f>
        <v>477000</v>
      </c>
      <c r="H31" s="99">
        <v>5.5E-2</v>
      </c>
      <c r="I31" s="89">
        <f>G31*H31</f>
        <v>26235</v>
      </c>
      <c r="J31" s="86"/>
    </row>
    <row r="32" spans="2:10">
      <c r="B32" s="80">
        <v>24</v>
      </c>
      <c r="D32" t="s">
        <v>2</v>
      </c>
      <c r="I32" s="74">
        <f>SUM(I29:I31)</f>
        <v>215380</v>
      </c>
      <c r="J32" s="74">
        <f>I32</f>
        <v>215380</v>
      </c>
    </row>
    <row r="33" spans="2:14">
      <c r="B33" s="80">
        <v>25</v>
      </c>
    </row>
    <row r="34" spans="2:14">
      <c r="B34" s="80">
        <v>26</v>
      </c>
    </row>
    <row r="35" spans="2:14">
      <c r="B35" s="80">
        <v>27</v>
      </c>
      <c r="C35" s="78" t="s">
        <v>7</v>
      </c>
      <c r="D35" s="77"/>
      <c r="E35" s="77"/>
      <c r="F35" s="77"/>
      <c r="G35" s="77"/>
      <c r="H35" s="77"/>
      <c r="I35" s="77"/>
      <c r="J35" s="76">
        <f>J25-J32</f>
        <v>3794520</v>
      </c>
      <c r="K35" s="98"/>
    </row>
    <row r="36" spans="2:14">
      <c r="B36" s="80">
        <v>28</v>
      </c>
    </row>
    <row r="37" spans="2:14">
      <c r="B37" s="80">
        <v>29</v>
      </c>
      <c r="C37" s="85" t="s">
        <v>110</v>
      </c>
      <c r="D37" s="93"/>
      <c r="G37" s="97" t="s">
        <v>109</v>
      </c>
      <c r="H37" s="97" t="s">
        <v>108</v>
      </c>
      <c r="I37" s="97" t="s">
        <v>37</v>
      </c>
    </row>
    <row r="38" spans="2:14">
      <c r="B38" s="80">
        <v>30</v>
      </c>
      <c r="C38" s="93" t="s">
        <v>107</v>
      </c>
      <c r="D38" s="93"/>
      <c r="E38" s="93"/>
      <c r="G38" s="74">
        <f t="shared" ref="G38:G47" si="2">$F$20</f>
        <v>114750</v>
      </c>
      <c r="I38" s="94">
        <v>75000</v>
      </c>
    </row>
    <row r="39" spans="2:14">
      <c r="B39" s="80">
        <v>31</v>
      </c>
      <c r="C39" s="93" t="s">
        <v>106</v>
      </c>
      <c r="D39" s="93"/>
      <c r="G39" s="74">
        <f t="shared" si="2"/>
        <v>114750</v>
      </c>
      <c r="H39" s="96">
        <v>5.5</v>
      </c>
      <c r="I39" s="94">
        <f>G39*H39</f>
        <v>631125</v>
      </c>
    </row>
    <row r="40" spans="2:14">
      <c r="B40" s="80">
        <v>32</v>
      </c>
      <c r="C40" s="93" t="s">
        <v>105</v>
      </c>
      <c r="D40" s="93"/>
      <c r="G40" s="74">
        <f t="shared" si="2"/>
        <v>114750</v>
      </c>
      <c r="H40" s="96">
        <v>1.5</v>
      </c>
      <c r="I40" s="94">
        <f>G40*H40</f>
        <v>172125</v>
      </c>
    </row>
    <row r="41" spans="2:14">
      <c r="B41" s="80">
        <v>33</v>
      </c>
      <c r="C41" s="93" t="s">
        <v>104</v>
      </c>
      <c r="D41" s="93"/>
      <c r="G41" s="74">
        <f t="shared" si="2"/>
        <v>114750</v>
      </c>
      <c r="H41" s="96">
        <v>0.75</v>
      </c>
      <c r="I41" s="94">
        <f>G41*H41</f>
        <v>86062.5</v>
      </c>
    </row>
    <row r="42" spans="2:14">
      <c r="B42" s="80">
        <v>34</v>
      </c>
      <c r="C42" t="s">
        <v>103</v>
      </c>
      <c r="D42" s="93"/>
      <c r="G42" s="74">
        <f t="shared" si="2"/>
        <v>114750</v>
      </c>
      <c r="H42" s="96"/>
      <c r="I42" s="94">
        <v>15000</v>
      </c>
    </row>
    <row r="43" spans="2:14">
      <c r="B43" s="80">
        <v>35</v>
      </c>
      <c r="C43" t="s">
        <v>102</v>
      </c>
      <c r="D43" s="93"/>
      <c r="G43" s="74">
        <f t="shared" si="2"/>
        <v>114750</v>
      </c>
      <c r="H43" s="96"/>
      <c r="I43" s="94">
        <v>15000</v>
      </c>
    </row>
    <row r="44" spans="2:14">
      <c r="B44" s="80">
        <v>36</v>
      </c>
      <c r="C44" s="93" t="s">
        <v>101</v>
      </c>
      <c r="D44" s="93"/>
      <c r="G44" s="74">
        <f t="shared" si="2"/>
        <v>114750</v>
      </c>
      <c r="H44" s="96">
        <v>5</v>
      </c>
      <c r="I44" s="94">
        <f>G44*H44</f>
        <v>573750</v>
      </c>
    </row>
    <row r="45" spans="2:14">
      <c r="B45" s="80">
        <v>37</v>
      </c>
      <c r="C45" s="93" t="s">
        <v>100</v>
      </c>
      <c r="D45" s="93"/>
      <c r="G45" s="74">
        <f t="shared" si="2"/>
        <v>114750</v>
      </c>
      <c r="H45" s="95">
        <v>0.03</v>
      </c>
      <c r="I45" s="94">
        <f>G45*H45</f>
        <v>3442.5</v>
      </c>
    </row>
    <row r="46" spans="2:14">
      <c r="B46" s="80">
        <v>38</v>
      </c>
      <c r="C46" s="93" t="s">
        <v>99</v>
      </c>
      <c r="D46" s="93"/>
      <c r="G46" s="74">
        <f t="shared" si="2"/>
        <v>114750</v>
      </c>
      <c r="H46" s="92">
        <v>0.03</v>
      </c>
      <c r="I46" s="91">
        <f>G46*H46</f>
        <v>3442.5</v>
      </c>
    </row>
    <row r="47" spans="2:14">
      <c r="B47" s="80">
        <v>39</v>
      </c>
      <c r="C47" s="90" t="s">
        <v>98</v>
      </c>
      <c r="D47" s="90"/>
      <c r="E47" s="86"/>
      <c r="F47" s="86"/>
      <c r="G47" s="89">
        <f t="shared" si="2"/>
        <v>114750</v>
      </c>
      <c r="H47" s="88">
        <v>0.01</v>
      </c>
      <c r="I47" s="87">
        <f>G47*H47</f>
        <v>1147.5</v>
      </c>
      <c r="J47" s="86"/>
    </row>
    <row r="48" spans="2:14">
      <c r="B48" s="80">
        <v>40</v>
      </c>
      <c r="C48" s="85" t="s">
        <v>97</v>
      </c>
      <c r="D48" s="85"/>
      <c r="E48" s="85"/>
      <c r="F48" s="84"/>
      <c r="G48" s="83">
        <f>SUM(F38:F47)</f>
        <v>0</v>
      </c>
      <c r="H48" s="82"/>
      <c r="I48" s="81">
        <f>SUM(I38:I47)</f>
        <v>1576095</v>
      </c>
      <c r="J48" s="81">
        <f>I48</f>
        <v>1576095</v>
      </c>
      <c r="M48" s="74"/>
      <c r="N48" s="74"/>
    </row>
    <row r="49" spans="2:14">
      <c r="B49" s="80">
        <v>41</v>
      </c>
    </row>
    <row r="50" spans="2:14">
      <c r="B50" s="80">
        <v>42</v>
      </c>
      <c r="C50" s="79" t="s">
        <v>96</v>
      </c>
      <c r="D50" s="78"/>
      <c r="E50" s="78"/>
      <c r="F50" s="78"/>
      <c r="G50" s="77"/>
      <c r="H50" s="77"/>
      <c r="I50" s="77"/>
      <c r="J50" s="76">
        <f>J25-J48</f>
        <v>2433805</v>
      </c>
    </row>
    <row r="53" spans="2:14">
      <c r="N53" s="74"/>
    </row>
    <row r="54" spans="2:14">
      <c r="N54" s="126"/>
    </row>
  </sheetData>
  <pageMargins left="0.25" right="0.25" top="0.75" bottom="0.75" header="0.3" footer="0.3"/>
  <pageSetup scale="8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Test Site_Proforma</vt:lpstr>
      <vt:lpstr>Test Site_Report</vt:lpstr>
      <vt:lpstr>Test Site_CAM</vt:lpstr>
      <vt:lpstr>Test Site_Underground_Proforma</vt:lpstr>
      <vt:lpstr>Test Site_Underground_Report</vt:lpstr>
      <vt:lpstr>Test Site_Underground_CAM</vt:lpstr>
      <vt:lpstr>'Test Site_CAM'!Print_Area</vt:lpstr>
      <vt:lpstr>'Test Site_Proforma'!Print_Area</vt:lpstr>
      <vt:lpstr>'Test Site_Report'!Print_Area</vt:lpstr>
      <vt:lpstr>'Test Site_Underground_CAM'!Print_Area</vt:lpstr>
      <vt:lpstr>'Test Site_Underground_Proforma'!Print_Area</vt:lpstr>
      <vt:lpstr>'Test Site_Underground_Report'!Print_Area</vt:lpstr>
      <vt:lpstr>'Test Site_Proforma'!Print_Titles</vt:lpstr>
      <vt:lpstr>'Test Site_Underground_Proforma'!Print_Titles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2026-01-07T19:50:22Z</cp:lastPrinted>
  <dcterms:created xsi:type="dcterms:W3CDTF">2020-08-02T03:44:02Z</dcterms:created>
  <dcterms:modified xsi:type="dcterms:W3CDTF">2026-06-03T03:24:30Z</dcterms:modified>
</cp:coreProperties>
</file>