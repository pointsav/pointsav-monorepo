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Office/Desktop/2026_04_02_WORKPLACE OS_Jennifer Woodfine/Workplace OS_Jennifer Woodfine_Desktop/"/>
    </mc:Choice>
  </mc:AlternateContent>
  <xr:revisionPtr revIDLastSave="0" documentId="13_ncr:1_{0A98EEE5-93C0-F649-9791-587126E669E1}" xr6:coauthVersionLast="45" xr6:coauthVersionMax="45" xr10:uidLastSave="{00000000-0000-0000-0000-000000000000}"/>
  <bookViews>
    <workbookView xWindow="2320" yWindow="460" windowWidth="36080" windowHeight="21620" activeTab="1" xr2:uid="{80D886BD-2AD1-FD47-A3EA-B269DA41FD92}"/>
  </bookViews>
  <sheets>
    <sheet name="Alert" sheetId="3" state="hidden" r:id="rId1"/>
    <sheet name="SPV_Compensations" sheetId="35" r:id="rId2"/>
    <sheet name="SPV_Compensations_10 percent" sheetId="36" r:id="rId3"/>
    <sheet name="SPV_Compensations_15 percent" sheetId="37" r:id="rId4"/>
    <sheet name="SPV_Compensations_2&amp;20" sheetId="38" r:id="rId5"/>
  </sheets>
  <externalReferences>
    <externalReference r:id="rId6"/>
  </externalReferences>
  <definedNames>
    <definedName name="_xlnm.Print_Area" localSheetId="1">SPV_Compensations!$C$2:$N$33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7" i="38" l="1"/>
  <c r="E8" i="38" s="1"/>
  <c r="F8" i="38" s="1"/>
  <c r="Q7" i="38"/>
  <c r="O8" i="38"/>
  <c r="Q8" i="38"/>
  <c r="Z8" i="38"/>
  <c r="M11" i="35" s="1"/>
  <c r="O9" i="38"/>
  <c r="Q9" i="38"/>
  <c r="Q10" i="38"/>
  <c r="AA16" i="38"/>
  <c r="AB16" i="38"/>
  <c r="AA23" i="38"/>
  <c r="AB23" i="38"/>
  <c r="D38" i="38"/>
  <c r="D40" i="38" s="1"/>
  <c r="D39" i="38"/>
  <c r="E62" i="38" s="1"/>
  <c r="F60" i="38" s="1"/>
  <c r="D48" i="38"/>
  <c r="F7" i="38" s="1"/>
  <c r="D49" i="38"/>
  <c r="E50" i="38"/>
  <c r="E61" i="38"/>
  <c r="H62" i="38"/>
  <c r="J62" i="38"/>
  <c r="J66" i="38" s="1"/>
  <c r="E63" i="38"/>
  <c r="M63" i="38" s="1"/>
  <c r="F63" i="38"/>
  <c r="F66" i="38" s="1"/>
  <c r="G63" i="38"/>
  <c r="H63" i="38"/>
  <c r="H66" i="38" s="1"/>
  <c r="I63" i="38"/>
  <c r="I66" i="38" s="1"/>
  <c r="J63" i="38"/>
  <c r="K63" i="38"/>
  <c r="K66" i="38" s="1"/>
  <c r="L63" i="38"/>
  <c r="E64" i="38"/>
  <c r="F64" i="38"/>
  <c r="G64" i="38"/>
  <c r="H64" i="38"/>
  <c r="I64" i="38"/>
  <c r="J64" i="38"/>
  <c r="K64" i="38"/>
  <c r="L64" i="38"/>
  <c r="E65" i="38"/>
  <c r="F65" i="38"/>
  <c r="G65" i="38"/>
  <c r="G66" i="38" s="1"/>
  <c r="H65" i="38"/>
  <c r="I65" i="38"/>
  <c r="J65" i="38"/>
  <c r="K65" i="38"/>
  <c r="L65" i="38"/>
  <c r="E81" i="38"/>
  <c r="F81" i="38"/>
  <c r="G81" i="38"/>
  <c r="I81" i="38"/>
  <c r="J81" i="38"/>
  <c r="K81" i="38"/>
  <c r="L81" i="38"/>
  <c r="E83" i="38"/>
  <c r="F83" i="38"/>
  <c r="G83" i="38"/>
  <c r="H83" i="38"/>
  <c r="I83" i="38"/>
  <c r="J83" i="38"/>
  <c r="K83" i="38"/>
  <c r="E84" i="38"/>
  <c r="F84" i="38"/>
  <c r="G84" i="38"/>
  <c r="C85" i="38"/>
  <c r="F89" i="38"/>
  <c r="H90" i="38"/>
  <c r="H81" i="38" s="1"/>
  <c r="I90" i="38"/>
  <c r="J90" i="38"/>
  <c r="E92" i="38"/>
  <c r="E69" i="38" s="1"/>
  <c r="C97" i="38"/>
  <c r="C98" i="38"/>
  <c r="C99" i="38"/>
  <c r="N100" i="38"/>
  <c r="N102" i="38" s="1"/>
  <c r="E105" i="38"/>
  <c r="F105" i="38"/>
  <c r="G105" i="38"/>
  <c r="H105" i="38"/>
  <c r="I105" i="38"/>
  <c r="J105" i="38"/>
  <c r="K105" i="38"/>
  <c r="L105" i="38"/>
  <c r="N107" i="38"/>
  <c r="E123" i="38"/>
  <c r="F123" i="38"/>
  <c r="G123" i="38"/>
  <c r="E7" i="37"/>
  <c r="AC7" i="37"/>
  <c r="E8" i="37"/>
  <c r="AA8" i="37"/>
  <c r="AC8" i="37"/>
  <c r="K15" i="35" s="1"/>
  <c r="AA9" i="37"/>
  <c r="AC9" i="37"/>
  <c r="AC10" i="37"/>
  <c r="D38" i="37"/>
  <c r="D45" i="37" s="1"/>
  <c r="D39" i="37"/>
  <c r="E62" i="37" s="1"/>
  <c r="D40" i="37"/>
  <c r="D41" i="37"/>
  <c r="D42" i="37"/>
  <c r="D43" i="37" s="1"/>
  <c r="D48" i="37"/>
  <c r="F7" i="37" s="1"/>
  <c r="G7" i="37" s="1"/>
  <c r="D49" i="37"/>
  <c r="F8" i="37" s="1"/>
  <c r="E50" i="37"/>
  <c r="E61" i="37"/>
  <c r="H62" i="37"/>
  <c r="J62" i="37"/>
  <c r="E63" i="37"/>
  <c r="F63" i="37"/>
  <c r="G63" i="37"/>
  <c r="H63" i="37"/>
  <c r="I63" i="37"/>
  <c r="I66" i="37" s="1"/>
  <c r="J63" i="37"/>
  <c r="J66" i="37" s="1"/>
  <c r="K63" i="37"/>
  <c r="K66" i="37" s="1"/>
  <c r="L63" i="37"/>
  <c r="L66" i="37" s="1"/>
  <c r="M63" i="37"/>
  <c r="N63" i="37"/>
  <c r="O63" i="37"/>
  <c r="P63" i="37"/>
  <c r="Q63" i="37"/>
  <c r="R63" i="37"/>
  <c r="S63" i="37"/>
  <c r="T63" i="37"/>
  <c r="U63" i="37"/>
  <c r="V63" i="37"/>
  <c r="W63" i="37"/>
  <c r="X63" i="37"/>
  <c r="E64" i="37"/>
  <c r="F64" i="37"/>
  <c r="G64" i="37"/>
  <c r="H64" i="37"/>
  <c r="I64" i="37"/>
  <c r="J64" i="37"/>
  <c r="K64" i="37"/>
  <c r="L64" i="37"/>
  <c r="M64" i="37"/>
  <c r="N64" i="37"/>
  <c r="O64" i="37"/>
  <c r="P64" i="37"/>
  <c r="Q64" i="37"/>
  <c r="R64" i="37"/>
  <c r="S64" i="37"/>
  <c r="T64" i="37"/>
  <c r="U64" i="37"/>
  <c r="V64" i="37"/>
  <c r="W64" i="37"/>
  <c r="X64" i="37"/>
  <c r="E65" i="37"/>
  <c r="F65" i="37"/>
  <c r="G65" i="37"/>
  <c r="H65" i="37"/>
  <c r="I65" i="37"/>
  <c r="J65" i="37"/>
  <c r="K65" i="37"/>
  <c r="L65" i="37"/>
  <c r="M65" i="37"/>
  <c r="N65" i="37"/>
  <c r="O65" i="37"/>
  <c r="P65" i="37"/>
  <c r="Q65" i="37"/>
  <c r="Q66" i="37" s="1"/>
  <c r="R65" i="37"/>
  <c r="S65" i="37"/>
  <c r="T65" i="37"/>
  <c r="U65" i="37"/>
  <c r="V65" i="37"/>
  <c r="W65" i="37"/>
  <c r="X65" i="37"/>
  <c r="M66" i="37"/>
  <c r="N66" i="37"/>
  <c r="O66" i="37"/>
  <c r="P66" i="37"/>
  <c r="E69" i="37"/>
  <c r="E80" i="37"/>
  <c r="E81" i="37"/>
  <c r="F81" i="37"/>
  <c r="G81" i="37"/>
  <c r="H81" i="37"/>
  <c r="I81" i="37"/>
  <c r="K81" i="37"/>
  <c r="L81" i="37"/>
  <c r="S81" i="37"/>
  <c r="T81" i="37"/>
  <c r="U81" i="37"/>
  <c r="V81" i="37"/>
  <c r="W81" i="37"/>
  <c r="X81" i="37"/>
  <c r="E83" i="37"/>
  <c r="F83" i="37"/>
  <c r="G83" i="37"/>
  <c r="H83" i="37"/>
  <c r="I83" i="37"/>
  <c r="J83" i="37"/>
  <c r="K83" i="37"/>
  <c r="E84" i="37"/>
  <c r="F84" i="37"/>
  <c r="G84" i="37"/>
  <c r="C85" i="37"/>
  <c r="F89" i="37"/>
  <c r="G89" i="37"/>
  <c r="H89" i="37"/>
  <c r="H90" i="37"/>
  <c r="H92" i="37" s="1"/>
  <c r="I90" i="37"/>
  <c r="J90" i="37"/>
  <c r="J81" i="37" s="1"/>
  <c r="M90" i="37"/>
  <c r="M81" i="37" s="1"/>
  <c r="N90" i="37"/>
  <c r="N81" i="37" s="1"/>
  <c r="O90" i="37"/>
  <c r="O81" i="37" s="1"/>
  <c r="P90" i="37"/>
  <c r="P81" i="37" s="1"/>
  <c r="Q90" i="37"/>
  <c r="Q81" i="37" s="1"/>
  <c r="R90" i="37"/>
  <c r="R81" i="37" s="1"/>
  <c r="S90" i="37"/>
  <c r="T90" i="37"/>
  <c r="U90" i="37"/>
  <c r="V90" i="37"/>
  <c r="W90" i="37"/>
  <c r="X90" i="37"/>
  <c r="E92" i="37"/>
  <c r="F92" i="37"/>
  <c r="G92" i="37"/>
  <c r="C97" i="37"/>
  <c r="C98" i="37"/>
  <c r="H98" i="37"/>
  <c r="I98" i="37"/>
  <c r="C99" i="37"/>
  <c r="E105" i="37"/>
  <c r="F105" i="37"/>
  <c r="G105" i="37"/>
  <c r="H105" i="37"/>
  <c r="I105" i="37"/>
  <c r="J105" i="37"/>
  <c r="K105" i="37"/>
  <c r="L105" i="37"/>
  <c r="M105" i="37"/>
  <c r="N105" i="37"/>
  <c r="O105" i="37"/>
  <c r="P105" i="37"/>
  <c r="Q105" i="37"/>
  <c r="R105" i="37"/>
  <c r="S105" i="37"/>
  <c r="T105" i="37"/>
  <c r="U105" i="37"/>
  <c r="V105" i="37"/>
  <c r="W105" i="37"/>
  <c r="X105" i="37"/>
  <c r="E123" i="37"/>
  <c r="F123" i="37"/>
  <c r="G123" i="37"/>
  <c r="E7" i="36"/>
  <c r="AC7" i="36"/>
  <c r="E8" i="36"/>
  <c r="F8" i="36"/>
  <c r="J99" i="36" s="1"/>
  <c r="AA8" i="36"/>
  <c r="AC8" i="36"/>
  <c r="AA9" i="36"/>
  <c r="AC9" i="36"/>
  <c r="AC10" i="36"/>
  <c r="D38" i="36"/>
  <c r="D45" i="36" s="1"/>
  <c r="D40" i="36"/>
  <c r="D42" i="36"/>
  <c r="D48" i="36"/>
  <c r="F7" i="36" s="1"/>
  <c r="D49" i="36"/>
  <c r="E50" i="36"/>
  <c r="E61" i="36"/>
  <c r="H62" i="36"/>
  <c r="J62" i="36"/>
  <c r="J66" i="36" s="1"/>
  <c r="E63" i="36"/>
  <c r="F63" i="36"/>
  <c r="G63" i="36"/>
  <c r="G66" i="36" s="1"/>
  <c r="H63" i="36"/>
  <c r="I63" i="36"/>
  <c r="AL7" i="36" s="1"/>
  <c r="I10" i="35" s="1"/>
  <c r="J63" i="36"/>
  <c r="K63" i="36"/>
  <c r="K66" i="36" s="1"/>
  <c r="L63" i="36"/>
  <c r="L66" i="36" s="1"/>
  <c r="M63" i="36"/>
  <c r="M66" i="36" s="1"/>
  <c r="N63" i="36"/>
  <c r="O63" i="36"/>
  <c r="P63" i="36"/>
  <c r="Q63" i="36"/>
  <c r="R63" i="36"/>
  <c r="R66" i="36" s="1"/>
  <c r="S63" i="36"/>
  <c r="S66" i="36" s="1"/>
  <c r="T63" i="36"/>
  <c r="T66" i="36" s="1"/>
  <c r="U63" i="36"/>
  <c r="V63" i="36"/>
  <c r="W63" i="36"/>
  <c r="W66" i="36" s="1"/>
  <c r="X63" i="36"/>
  <c r="E64" i="36"/>
  <c r="F64" i="36"/>
  <c r="F66" i="36" s="1"/>
  <c r="G64" i="36"/>
  <c r="H64" i="36"/>
  <c r="I64" i="36"/>
  <c r="J64" i="36"/>
  <c r="K64" i="36"/>
  <c r="L64" i="36"/>
  <c r="M64" i="36"/>
  <c r="N64" i="36"/>
  <c r="O64" i="36"/>
  <c r="P64" i="36"/>
  <c r="Q64" i="36"/>
  <c r="R64" i="36"/>
  <c r="S64" i="36"/>
  <c r="T64" i="36"/>
  <c r="U64" i="36"/>
  <c r="U66" i="36" s="1"/>
  <c r="V64" i="36"/>
  <c r="W64" i="36"/>
  <c r="X64" i="36"/>
  <c r="X66" i="36" s="1"/>
  <c r="E65" i="36"/>
  <c r="F65" i="36"/>
  <c r="G65" i="36"/>
  <c r="H65" i="36"/>
  <c r="I65" i="36"/>
  <c r="J65" i="36"/>
  <c r="K65" i="36"/>
  <c r="L65" i="36"/>
  <c r="M65" i="36"/>
  <c r="N65" i="36"/>
  <c r="O65" i="36"/>
  <c r="P65" i="36"/>
  <c r="Q65" i="36"/>
  <c r="R65" i="36"/>
  <c r="S65" i="36"/>
  <c r="T65" i="36"/>
  <c r="U65" i="36"/>
  <c r="V65" i="36"/>
  <c r="W65" i="36"/>
  <c r="X65" i="36"/>
  <c r="H66" i="36"/>
  <c r="N66" i="36"/>
  <c r="O66" i="36"/>
  <c r="P66" i="36"/>
  <c r="Q66" i="36"/>
  <c r="V66" i="36"/>
  <c r="E69" i="36"/>
  <c r="E80" i="36"/>
  <c r="E81" i="36"/>
  <c r="F81" i="36"/>
  <c r="G81" i="36"/>
  <c r="H81" i="36"/>
  <c r="I81" i="36"/>
  <c r="K81" i="36"/>
  <c r="L81" i="36"/>
  <c r="S81" i="36"/>
  <c r="T81" i="36"/>
  <c r="U81" i="36"/>
  <c r="V81" i="36"/>
  <c r="W81" i="36"/>
  <c r="X81" i="36"/>
  <c r="E83" i="36"/>
  <c r="F83" i="36"/>
  <c r="G83" i="36"/>
  <c r="H83" i="36"/>
  <c r="I83" i="36"/>
  <c r="J83" i="36"/>
  <c r="K83" i="36"/>
  <c r="E84" i="36"/>
  <c r="F84" i="36"/>
  <c r="G84" i="36"/>
  <c r="C85" i="36"/>
  <c r="F89" i="36"/>
  <c r="F92" i="36" s="1"/>
  <c r="H90" i="36"/>
  <c r="I90" i="36"/>
  <c r="J90" i="36"/>
  <c r="J81" i="36" s="1"/>
  <c r="M90" i="36"/>
  <c r="M81" i="36" s="1"/>
  <c r="N90" i="36"/>
  <c r="N81" i="36" s="1"/>
  <c r="O90" i="36"/>
  <c r="O81" i="36" s="1"/>
  <c r="P90" i="36"/>
  <c r="P81" i="36" s="1"/>
  <c r="Q90" i="36"/>
  <c r="Q81" i="36" s="1"/>
  <c r="R90" i="36"/>
  <c r="R81" i="36" s="1"/>
  <c r="S90" i="36"/>
  <c r="T90" i="36"/>
  <c r="U90" i="36"/>
  <c r="V90" i="36"/>
  <c r="W90" i="36"/>
  <c r="X90" i="36"/>
  <c r="E92" i="36"/>
  <c r="C97" i="36"/>
  <c r="C98" i="36"/>
  <c r="C99" i="36"/>
  <c r="E105" i="36"/>
  <c r="F105" i="36"/>
  <c r="G105" i="36"/>
  <c r="H105" i="36"/>
  <c r="I105" i="36"/>
  <c r="J105" i="36"/>
  <c r="K105" i="36"/>
  <c r="L105" i="36"/>
  <c r="M105" i="36"/>
  <c r="N105" i="36"/>
  <c r="O105" i="36"/>
  <c r="P105" i="36"/>
  <c r="Q105" i="36"/>
  <c r="R105" i="36"/>
  <c r="S105" i="36"/>
  <c r="T105" i="36"/>
  <c r="U105" i="36"/>
  <c r="V105" i="36"/>
  <c r="W105" i="36"/>
  <c r="X105" i="36"/>
  <c r="E123" i="36"/>
  <c r="F123" i="36"/>
  <c r="G123" i="36"/>
  <c r="I15" i="35"/>
  <c r="M15" i="35"/>
  <c r="I16" i="35"/>
  <c r="K16" i="35"/>
  <c r="M16" i="35"/>
  <c r="I17" i="35"/>
  <c r="K17" i="35"/>
  <c r="M17" i="35"/>
  <c r="E66" i="38" l="1"/>
  <c r="G7" i="38"/>
  <c r="H98" i="38"/>
  <c r="I98" i="38"/>
  <c r="M83" i="38"/>
  <c r="Z7" i="38"/>
  <c r="M10" i="35" s="1"/>
  <c r="M13" i="35" s="1"/>
  <c r="K99" i="38"/>
  <c r="J99" i="38"/>
  <c r="G8" i="38"/>
  <c r="F92" i="38"/>
  <c r="D45" i="38"/>
  <c r="L66" i="38"/>
  <c r="D42" i="38"/>
  <c r="D41" i="38"/>
  <c r="D43" i="38" s="1"/>
  <c r="E80" i="38"/>
  <c r="F6" i="37"/>
  <c r="H57" i="37"/>
  <c r="X57" i="37"/>
  <c r="X58" i="37" s="1"/>
  <c r="N96" i="37"/>
  <c r="N100" i="37" s="1"/>
  <c r="W96" i="37"/>
  <c r="W100" i="37" s="1"/>
  <c r="AL35" i="37"/>
  <c r="AM35" i="37" s="1"/>
  <c r="AN35" i="37" s="1"/>
  <c r="I57" i="37"/>
  <c r="O96" i="37"/>
  <c r="O100" i="37" s="1"/>
  <c r="N57" i="37"/>
  <c r="J57" i="37"/>
  <c r="P96" i="37"/>
  <c r="P100" i="37" s="1"/>
  <c r="T96" i="37"/>
  <c r="T100" i="37" s="1"/>
  <c r="U96" i="37"/>
  <c r="U100" i="37" s="1"/>
  <c r="K57" i="37"/>
  <c r="Q96" i="37"/>
  <c r="Q100" i="37" s="1"/>
  <c r="R96" i="37"/>
  <c r="R100" i="37" s="1"/>
  <c r="O57" i="37"/>
  <c r="O58" i="37" s="1"/>
  <c r="O68" i="37" s="1"/>
  <c r="E96" i="37"/>
  <c r="E100" i="37" s="1"/>
  <c r="V96" i="37"/>
  <c r="V100" i="37" s="1"/>
  <c r="L57" i="37"/>
  <c r="M57" i="37"/>
  <c r="S96" i="37"/>
  <c r="S100" i="37" s="1"/>
  <c r="F96" i="37"/>
  <c r="F100" i="37" s="1"/>
  <c r="G96" i="37"/>
  <c r="G100" i="37" s="1"/>
  <c r="P57" i="37"/>
  <c r="P58" i="37" s="1"/>
  <c r="P68" i="37" s="1"/>
  <c r="Q57" i="37"/>
  <c r="Q58" i="37" s="1"/>
  <c r="Q68" i="37" s="1"/>
  <c r="M96" i="37"/>
  <c r="M100" i="37" s="1"/>
  <c r="S57" i="37"/>
  <c r="S58" i="37" s="1"/>
  <c r="S68" i="37" s="1"/>
  <c r="K96" i="37"/>
  <c r="K100" i="37" s="1"/>
  <c r="X96" i="37"/>
  <c r="X100" i="37" s="1"/>
  <c r="H96" i="37"/>
  <c r="H100" i="37" s="1"/>
  <c r="R57" i="37"/>
  <c r="R58" i="37" s="1"/>
  <c r="U57" i="37"/>
  <c r="U58" i="37" s="1"/>
  <c r="I96" i="37"/>
  <c r="I100" i="37" s="1"/>
  <c r="J96" i="37"/>
  <c r="V57" i="37"/>
  <c r="V58" i="37" s="1"/>
  <c r="V68" i="37" s="1"/>
  <c r="E57" i="37"/>
  <c r="E68" i="37" s="1"/>
  <c r="F57" i="37"/>
  <c r="F68" i="37" s="1"/>
  <c r="T57" i="37"/>
  <c r="T58" i="37" s="1"/>
  <c r="W57" i="37"/>
  <c r="W58" i="37" s="1"/>
  <c r="L96" i="37"/>
  <c r="L100" i="37" s="1"/>
  <c r="G57" i="37"/>
  <c r="G68" i="37" s="1"/>
  <c r="X66" i="37"/>
  <c r="AE42" i="37"/>
  <c r="U66" i="37"/>
  <c r="E66" i="37"/>
  <c r="F66" i="37"/>
  <c r="AG19" i="37"/>
  <c r="AF19" i="37"/>
  <c r="J99" i="37"/>
  <c r="K99" i="37"/>
  <c r="G8" i="37"/>
  <c r="H66" i="37"/>
  <c r="W66" i="37"/>
  <c r="R66" i="37"/>
  <c r="AL7" i="37"/>
  <c r="K10" i="35" s="1"/>
  <c r="T66" i="37"/>
  <c r="AE19" i="37"/>
  <c r="I89" i="37"/>
  <c r="AH19" i="37"/>
  <c r="V66" i="37"/>
  <c r="AE44" i="37"/>
  <c r="G66" i="37"/>
  <c r="S66" i="37"/>
  <c r="AF19" i="36"/>
  <c r="G89" i="36"/>
  <c r="AE19" i="36"/>
  <c r="AE44" i="36"/>
  <c r="G7" i="36"/>
  <c r="H98" i="36"/>
  <c r="I98" i="36"/>
  <c r="AE42" i="36"/>
  <c r="G8" i="36"/>
  <c r="I66" i="36"/>
  <c r="D39" i="36"/>
  <c r="E62" i="36" s="1"/>
  <c r="E66" i="36" s="1"/>
  <c r="K99" i="36"/>
  <c r="S49" i="38" l="1"/>
  <c r="S50" i="38"/>
  <c r="S44" i="38"/>
  <c r="S19" i="38"/>
  <c r="G89" i="38"/>
  <c r="T19" i="38"/>
  <c r="F6" i="38"/>
  <c r="E96" i="38"/>
  <c r="E100" i="38" s="1"/>
  <c r="F96" i="38"/>
  <c r="F100" i="38" s="1"/>
  <c r="G96" i="38"/>
  <c r="G100" i="38" s="1"/>
  <c r="H96" i="38"/>
  <c r="H100" i="38" s="1"/>
  <c r="E57" i="38"/>
  <c r="E68" i="38" s="1"/>
  <c r="I96" i="38"/>
  <c r="I100" i="38" s="1"/>
  <c r="F57" i="38"/>
  <c r="F68" i="38" s="1"/>
  <c r="J96" i="38"/>
  <c r="J100" i="38" s="1"/>
  <c r="G57" i="38"/>
  <c r="G68" i="38" s="1"/>
  <c r="K96" i="38"/>
  <c r="K100" i="38" s="1"/>
  <c r="H57" i="38"/>
  <c r="L96" i="38"/>
  <c r="L100" i="38" s="1"/>
  <c r="L109" i="38" s="1"/>
  <c r="L57" i="38"/>
  <c r="I57" i="38"/>
  <c r="Z35" i="38"/>
  <c r="AA35" i="38" s="1"/>
  <c r="AB35" i="38" s="1"/>
  <c r="J57" i="38"/>
  <c r="K57" i="38"/>
  <c r="S42" i="38"/>
  <c r="K58" i="37"/>
  <c r="K68" i="37" s="1"/>
  <c r="AK13" i="37"/>
  <c r="O82" i="37"/>
  <c r="H82" i="37"/>
  <c r="L82" i="37"/>
  <c r="I58" i="37"/>
  <c r="I68" i="37" s="1"/>
  <c r="AI13" i="37"/>
  <c r="I92" i="37"/>
  <c r="S76" i="37"/>
  <c r="S127" i="37"/>
  <c r="P127" i="37"/>
  <c r="P76" i="37"/>
  <c r="S82" i="37"/>
  <c r="R82" i="37"/>
  <c r="U82" i="37"/>
  <c r="P82" i="37"/>
  <c r="AN13" i="37"/>
  <c r="N58" i="37"/>
  <c r="N68" i="37" s="1"/>
  <c r="V76" i="37"/>
  <c r="V127" i="37"/>
  <c r="M58" i="37"/>
  <c r="M68" i="37" s="1"/>
  <c r="AM13" i="37"/>
  <c r="W82" i="37"/>
  <c r="K82" i="37"/>
  <c r="T82" i="37"/>
  <c r="AJ13" i="37"/>
  <c r="J58" i="37"/>
  <c r="J68" i="37" s="1"/>
  <c r="T68" i="37"/>
  <c r="E72" i="37"/>
  <c r="E85" i="37" s="1"/>
  <c r="E127" i="37"/>
  <c r="J100" i="37"/>
  <c r="L58" i="37"/>
  <c r="L68" i="37" s="1"/>
  <c r="AL13" i="37"/>
  <c r="AE40" i="37" s="1"/>
  <c r="AF40" i="37" s="1"/>
  <c r="N82" i="37"/>
  <c r="X82" i="37"/>
  <c r="M82" i="37"/>
  <c r="G82" i="37"/>
  <c r="G106" i="37"/>
  <c r="I82" i="37"/>
  <c r="V82" i="37"/>
  <c r="X68" i="37"/>
  <c r="Q82" i="37"/>
  <c r="G127" i="37"/>
  <c r="W68" i="37"/>
  <c r="H106" i="37"/>
  <c r="AH31" i="37" s="1"/>
  <c r="F127" i="37"/>
  <c r="U68" i="37"/>
  <c r="E106" i="37"/>
  <c r="E82" i="37"/>
  <c r="E86" i="37" s="1"/>
  <c r="F79" i="37" s="1"/>
  <c r="H58" i="37"/>
  <c r="H68" i="37" s="1"/>
  <c r="AH13" i="37"/>
  <c r="Q127" i="37"/>
  <c r="Q76" i="37"/>
  <c r="F82" i="37"/>
  <c r="F106" i="37"/>
  <c r="R68" i="37"/>
  <c r="O127" i="37"/>
  <c r="O76" i="37"/>
  <c r="G6" i="37"/>
  <c r="G9" i="37" s="1"/>
  <c r="AH35" i="37"/>
  <c r="AI35" i="37" s="1"/>
  <c r="AJ35" i="37" s="1"/>
  <c r="AK35" i="37" s="1"/>
  <c r="F9" i="37"/>
  <c r="G92" i="36"/>
  <c r="D41" i="36"/>
  <c r="D43" i="36" s="1"/>
  <c r="E109" i="37" l="1"/>
  <c r="AF44" i="37"/>
  <c r="AF42" i="37"/>
  <c r="K58" i="38"/>
  <c r="K68" i="38" s="1"/>
  <c r="Y13" i="38"/>
  <c r="I109" i="38"/>
  <c r="I82" i="38"/>
  <c r="F109" i="38"/>
  <c r="F82" i="38"/>
  <c r="G6" i="38"/>
  <c r="G9" i="38" s="1"/>
  <c r="F9" i="38"/>
  <c r="V35" i="38"/>
  <c r="W35" i="38" s="1"/>
  <c r="X35" i="38" s="1"/>
  <c r="Y35" i="38" s="1"/>
  <c r="H109" i="38"/>
  <c r="H82" i="38"/>
  <c r="L58" i="38"/>
  <c r="L68" i="38" s="1"/>
  <c r="Z13" i="38"/>
  <c r="S40" i="38" s="1"/>
  <c r="T40" i="38" s="1"/>
  <c r="E127" i="38"/>
  <c r="E72" i="38"/>
  <c r="E85" i="38" s="1"/>
  <c r="F106" i="38"/>
  <c r="J58" i="38"/>
  <c r="J68" i="38" s="1"/>
  <c r="X13" i="38"/>
  <c r="L110" i="38"/>
  <c r="Z18" i="38" s="1"/>
  <c r="V13" i="38"/>
  <c r="H58" i="38"/>
  <c r="H68" i="38" s="1"/>
  <c r="K109" i="38"/>
  <c r="K82" i="38"/>
  <c r="G127" i="38"/>
  <c r="J109" i="38"/>
  <c r="J82" i="38"/>
  <c r="G109" i="38"/>
  <c r="G82" i="38"/>
  <c r="E106" i="38"/>
  <c r="E82" i="38"/>
  <c r="E109" i="38"/>
  <c r="W13" i="38"/>
  <c r="I58" i="38"/>
  <c r="I68" i="38" s="1"/>
  <c r="G92" i="38"/>
  <c r="F127" i="38"/>
  <c r="J127" i="37"/>
  <c r="J76" i="37"/>
  <c r="U76" i="37"/>
  <c r="U127" i="37"/>
  <c r="E110" i="37"/>
  <c r="AE18" i="37" s="1"/>
  <c r="E114" i="37"/>
  <c r="I127" i="37"/>
  <c r="I76" i="37"/>
  <c r="R76" i="37"/>
  <c r="R127" i="37"/>
  <c r="J89" i="37"/>
  <c r="AI19" i="37"/>
  <c r="I106" i="37"/>
  <c r="AI31" i="37" s="1"/>
  <c r="X76" i="37"/>
  <c r="X127" i="37"/>
  <c r="F69" i="37"/>
  <c r="F72" i="37" s="1"/>
  <c r="F85" i="37" s="1"/>
  <c r="F86" i="37" s="1"/>
  <c r="W76" i="37"/>
  <c r="W127" i="37"/>
  <c r="M127" i="37"/>
  <c r="M76" i="37"/>
  <c r="L76" i="37"/>
  <c r="L127" i="37"/>
  <c r="J82" i="37"/>
  <c r="H76" i="37"/>
  <c r="H127" i="37"/>
  <c r="T76" i="37"/>
  <c r="T127" i="37"/>
  <c r="N127" i="37"/>
  <c r="N76" i="37"/>
  <c r="K127" i="37"/>
  <c r="K76" i="37"/>
  <c r="F6" i="36"/>
  <c r="H57" i="36"/>
  <c r="X57" i="36"/>
  <c r="X58" i="36" s="1"/>
  <c r="X68" i="36" s="1"/>
  <c r="N96" i="36"/>
  <c r="N100" i="36" s="1"/>
  <c r="Q96" i="36"/>
  <c r="Q100" i="36" s="1"/>
  <c r="T96" i="36"/>
  <c r="T100" i="36" s="1"/>
  <c r="AL35" i="36"/>
  <c r="AM35" i="36" s="1"/>
  <c r="AN35" i="36" s="1"/>
  <c r="I57" i="36"/>
  <c r="O96" i="36"/>
  <c r="O100" i="36" s="1"/>
  <c r="R96" i="36"/>
  <c r="R100" i="36" s="1"/>
  <c r="J57" i="36"/>
  <c r="P96" i="36"/>
  <c r="P100" i="36" s="1"/>
  <c r="K57" i="36"/>
  <c r="W57" i="36"/>
  <c r="W58" i="36" s="1"/>
  <c r="W68" i="36" s="1"/>
  <c r="L57" i="36"/>
  <c r="M57" i="36"/>
  <c r="S96" i="36"/>
  <c r="S100" i="36" s="1"/>
  <c r="N57" i="36"/>
  <c r="O57" i="36"/>
  <c r="O58" i="36" s="1"/>
  <c r="O68" i="36" s="1"/>
  <c r="E96" i="36"/>
  <c r="E100" i="36" s="1"/>
  <c r="U96" i="36"/>
  <c r="U100" i="36" s="1"/>
  <c r="P57" i="36"/>
  <c r="P58" i="36" s="1"/>
  <c r="P68" i="36" s="1"/>
  <c r="F96" i="36"/>
  <c r="F100" i="36" s="1"/>
  <c r="V96" i="36"/>
  <c r="V100" i="36" s="1"/>
  <c r="Q57" i="36"/>
  <c r="Q58" i="36" s="1"/>
  <c r="Q68" i="36" s="1"/>
  <c r="G96" i="36"/>
  <c r="G100" i="36" s="1"/>
  <c r="G106" i="36" s="1"/>
  <c r="W96" i="36"/>
  <c r="W100" i="36" s="1"/>
  <c r="R57" i="36"/>
  <c r="R58" i="36" s="1"/>
  <c r="R68" i="36" s="1"/>
  <c r="H96" i="36"/>
  <c r="H100" i="36" s="1"/>
  <c r="X96" i="36"/>
  <c r="X100" i="36" s="1"/>
  <c r="S57" i="36"/>
  <c r="S58" i="36" s="1"/>
  <c r="S68" i="36" s="1"/>
  <c r="I96" i="36"/>
  <c r="I100" i="36" s="1"/>
  <c r="G57" i="36"/>
  <c r="G68" i="36" s="1"/>
  <c r="T57" i="36"/>
  <c r="T58" i="36" s="1"/>
  <c r="T68" i="36" s="1"/>
  <c r="J96" i="36"/>
  <c r="J100" i="36" s="1"/>
  <c r="E57" i="36"/>
  <c r="E68" i="36" s="1"/>
  <c r="U57" i="36"/>
  <c r="U58" i="36" s="1"/>
  <c r="U68" i="36" s="1"/>
  <c r="K96" i="36"/>
  <c r="K100" i="36" s="1"/>
  <c r="F57" i="36"/>
  <c r="F68" i="36" s="1"/>
  <c r="V57" i="36"/>
  <c r="V58" i="36" s="1"/>
  <c r="V68" i="36" s="1"/>
  <c r="L96" i="36"/>
  <c r="L100" i="36" s="1"/>
  <c r="M96" i="36"/>
  <c r="M100" i="36" s="1"/>
  <c r="AG19" i="36"/>
  <c r="H89" i="36"/>
  <c r="J110" i="38" l="1"/>
  <c r="X18" i="38" s="1"/>
  <c r="T49" i="38"/>
  <c r="H110" i="38"/>
  <c r="V18" i="38" s="1"/>
  <c r="T44" i="38"/>
  <c r="H89" i="38"/>
  <c r="G106" i="38"/>
  <c r="U19" i="38"/>
  <c r="F114" i="38"/>
  <c r="F110" i="38"/>
  <c r="T18" i="38" s="1"/>
  <c r="G114" i="38"/>
  <c r="G110" i="38"/>
  <c r="U18" i="38" s="1"/>
  <c r="L76" i="38"/>
  <c r="L127" i="38"/>
  <c r="H76" i="38"/>
  <c r="H127" i="38"/>
  <c r="E110" i="38"/>
  <c r="S18" i="38" s="1"/>
  <c r="E114" i="38"/>
  <c r="I110" i="38"/>
  <c r="W18" i="38" s="1"/>
  <c r="E86" i="38"/>
  <c r="F79" i="38" s="1"/>
  <c r="J76" i="38"/>
  <c r="J127" i="38"/>
  <c r="T50" i="38"/>
  <c r="K110" i="38"/>
  <c r="Y18" i="38" s="1"/>
  <c r="I76" i="38"/>
  <c r="I127" i="38"/>
  <c r="T42" i="38"/>
  <c r="K76" i="38"/>
  <c r="K127" i="38"/>
  <c r="G79" i="37"/>
  <c r="F109" i="37"/>
  <c r="E117" i="37"/>
  <c r="AE34" i="37" s="1"/>
  <c r="E115" i="37"/>
  <c r="J92" i="37"/>
  <c r="J58" i="36"/>
  <c r="J68" i="36" s="1"/>
  <c r="AJ13" i="36"/>
  <c r="W76" i="36"/>
  <c r="W127" i="36"/>
  <c r="U127" i="36"/>
  <c r="U76" i="36"/>
  <c r="H82" i="36"/>
  <c r="L82" i="36"/>
  <c r="V82" i="36"/>
  <c r="Q82" i="36"/>
  <c r="L58" i="36"/>
  <c r="L68" i="36" s="1"/>
  <c r="AL13" i="36"/>
  <c r="AE40" i="36" s="1"/>
  <c r="P82" i="36"/>
  <c r="R82" i="36"/>
  <c r="O82" i="36"/>
  <c r="F82" i="36"/>
  <c r="F106" i="36"/>
  <c r="N82" i="36"/>
  <c r="M58" i="36"/>
  <c r="M68" i="36" s="1"/>
  <c r="AM13" i="36"/>
  <c r="R76" i="36"/>
  <c r="R127" i="36"/>
  <c r="M82" i="36"/>
  <c r="V76" i="36"/>
  <c r="V127" i="36"/>
  <c r="F127" i="36"/>
  <c r="I58" i="36"/>
  <c r="I68" i="36" s="1"/>
  <c r="AI13" i="36"/>
  <c r="T82" i="36"/>
  <c r="X76" i="36"/>
  <c r="X127" i="36"/>
  <c r="S127" i="36"/>
  <c r="S76" i="36"/>
  <c r="H92" i="36"/>
  <c r="W82" i="36"/>
  <c r="Q127" i="36"/>
  <c r="Q76" i="36"/>
  <c r="K82" i="36"/>
  <c r="P127" i="36"/>
  <c r="P76" i="36"/>
  <c r="J82" i="36"/>
  <c r="G127" i="36"/>
  <c r="H58" i="36"/>
  <c r="H68" i="36" s="1"/>
  <c r="AH13" i="36"/>
  <c r="X82" i="36"/>
  <c r="K58" i="36"/>
  <c r="K68" i="36" s="1"/>
  <c r="AK13" i="36"/>
  <c r="G82" i="36"/>
  <c r="E72" i="36"/>
  <c r="E85" i="36" s="1"/>
  <c r="E127" i="36"/>
  <c r="U82" i="36"/>
  <c r="E106" i="36"/>
  <c r="E82" i="36"/>
  <c r="T76" i="36"/>
  <c r="T127" i="36"/>
  <c r="O127" i="36"/>
  <c r="O76" i="36"/>
  <c r="N58" i="36"/>
  <c r="N68" i="36" s="1"/>
  <c r="AN13" i="36"/>
  <c r="I82" i="36"/>
  <c r="S82" i="36"/>
  <c r="G6" i="36"/>
  <c r="G9" i="36" s="1"/>
  <c r="F9" i="36"/>
  <c r="AH35" i="36"/>
  <c r="AI35" i="36" s="1"/>
  <c r="AJ35" i="36" s="1"/>
  <c r="AK35" i="36" s="1"/>
  <c r="F115" i="38" l="1"/>
  <c r="F117" i="38"/>
  <c r="T34" i="38" s="1"/>
  <c r="G115" i="38"/>
  <c r="G117" i="38"/>
  <c r="U34" i="38" s="1"/>
  <c r="E115" i="38"/>
  <c r="E117" i="38"/>
  <c r="S34" i="38" s="1"/>
  <c r="H92" i="38"/>
  <c r="F69" i="38"/>
  <c r="F72" i="38" s="1"/>
  <c r="F85" i="38" s="1"/>
  <c r="F86" i="38" s="1"/>
  <c r="G79" i="38" s="1"/>
  <c r="AJ19" i="37"/>
  <c r="K89" i="37"/>
  <c r="J106" i="37"/>
  <c r="AJ31" i="37" s="1"/>
  <c r="F110" i="37"/>
  <c r="AF18" i="37" s="1"/>
  <c r="F114" i="37"/>
  <c r="AE21" i="37"/>
  <c r="E116" i="37"/>
  <c r="G69" i="37"/>
  <c r="G72" i="37" s="1"/>
  <c r="G85" i="37" s="1"/>
  <c r="G86" i="37" s="1"/>
  <c r="N127" i="36"/>
  <c r="N76" i="36"/>
  <c r="AF40" i="36"/>
  <c r="AF42" i="36"/>
  <c r="AF44" i="36"/>
  <c r="AH19" i="36"/>
  <c r="I89" i="36"/>
  <c r="H106" i="36"/>
  <c r="AH31" i="36" s="1"/>
  <c r="K127" i="36"/>
  <c r="K76" i="36"/>
  <c r="L127" i="36"/>
  <c r="L76" i="36"/>
  <c r="H76" i="36"/>
  <c r="H127" i="36"/>
  <c r="E86" i="36"/>
  <c r="I127" i="36"/>
  <c r="I76" i="36"/>
  <c r="M127" i="36"/>
  <c r="M76" i="36"/>
  <c r="J127" i="36"/>
  <c r="J76" i="36"/>
  <c r="G69" i="38" l="1"/>
  <c r="G72" i="38" s="1"/>
  <c r="G85" i="38" s="1"/>
  <c r="G86" i="38" s="1"/>
  <c r="H79" i="38" s="1"/>
  <c r="S21" i="38"/>
  <c r="E116" i="38"/>
  <c r="U21" i="38"/>
  <c r="G116" i="38"/>
  <c r="I89" i="38"/>
  <c r="V19" i="38"/>
  <c r="V32" i="38" s="1"/>
  <c r="H106" i="38"/>
  <c r="V31" i="38" s="1"/>
  <c r="H114" i="38"/>
  <c r="T21" i="38"/>
  <c r="F116" i="38"/>
  <c r="H79" i="37"/>
  <c r="G109" i="37"/>
  <c r="F117" i="37"/>
  <c r="AF34" i="37" s="1"/>
  <c r="F115" i="37"/>
  <c r="K92" i="37"/>
  <c r="I92" i="36"/>
  <c r="F79" i="36"/>
  <c r="E109" i="36"/>
  <c r="H69" i="38" l="1"/>
  <c r="H115" i="38"/>
  <c r="V21" i="38" s="1"/>
  <c r="V24" i="38" s="1"/>
  <c r="H117" i="38"/>
  <c r="V34" i="38" s="1"/>
  <c r="I92" i="38"/>
  <c r="AF21" i="37"/>
  <c r="F116" i="37"/>
  <c r="K106" i="37"/>
  <c r="AK31" i="37" s="1"/>
  <c r="AK19" i="37"/>
  <c r="L89" i="37"/>
  <c r="G110" i="37"/>
  <c r="AG18" i="37" s="1"/>
  <c r="G114" i="37"/>
  <c r="H69" i="37"/>
  <c r="E110" i="36"/>
  <c r="AE18" i="36" s="1"/>
  <c r="E114" i="36"/>
  <c r="F69" i="36"/>
  <c r="F72" i="36" s="1"/>
  <c r="F85" i="36" s="1"/>
  <c r="F86" i="36" s="1"/>
  <c r="AI19" i="36"/>
  <c r="J89" i="36"/>
  <c r="I106" i="36"/>
  <c r="AI31" i="36" s="1"/>
  <c r="H70" i="38" l="1"/>
  <c r="H72" i="38"/>
  <c r="H75" i="38"/>
  <c r="H74" i="38"/>
  <c r="J89" i="38"/>
  <c r="I106" i="38"/>
  <c r="W31" i="38" s="1"/>
  <c r="W19" i="38"/>
  <c r="W32" i="38" s="1"/>
  <c r="I114" i="38"/>
  <c r="H70" i="37"/>
  <c r="H72" i="37"/>
  <c r="H74" i="37"/>
  <c r="H75" i="37"/>
  <c r="G117" i="37"/>
  <c r="AG34" i="37" s="1"/>
  <c r="G115" i="37"/>
  <c r="G79" i="36"/>
  <c r="F109" i="36"/>
  <c r="J92" i="36"/>
  <c r="E117" i="36"/>
  <c r="AE34" i="36" s="1"/>
  <c r="E115" i="36"/>
  <c r="I115" i="38" l="1"/>
  <c r="W21" i="38" s="1"/>
  <c r="W24" i="38" s="1"/>
  <c r="I117" i="38"/>
  <c r="W34" i="38" s="1"/>
  <c r="J92" i="38"/>
  <c r="H85" i="38"/>
  <c r="H120" i="38"/>
  <c r="G116" i="37"/>
  <c r="AG21" i="37"/>
  <c r="H120" i="37"/>
  <c r="H85" i="37"/>
  <c r="AE21" i="36"/>
  <c r="E116" i="36"/>
  <c r="J106" i="36"/>
  <c r="AJ31" i="36" s="1"/>
  <c r="AJ19" i="36"/>
  <c r="K89" i="36"/>
  <c r="F110" i="36"/>
  <c r="AF18" i="36" s="1"/>
  <c r="F114" i="36"/>
  <c r="G69" i="36"/>
  <c r="G72" i="36" s="1"/>
  <c r="G85" i="36" s="1"/>
  <c r="G86" i="36" s="1"/>
  <c r="H122" i="38" l="1"/>
  <c r="H84" i="38"/>
  <c r="H86" i="38" s="1"/>
  <c r="I79" i="38" s="1"/>
  <c r="X19" i="38"/>
  <c r="X32" i="38" s="1"/>
  <c r="K89" i="38"/>
  <c r="J106" i="38"/>
  <c r="X31" i="38" s="1"/>
  <c r="J114" i="38"/>
  <c r="H122" i="37"/>
  <c r="H84" i="37"/>
  <c r="H86" i="37" s="1"/>
  <c r="H79" i="36"/>
  <c r="G109" i="36"/>
  <c r="F117" i="36"/>
  <c r="AF34" i="36" s="1"/>
  <c r="F115" i="36"/>
  <c r="K92" i="36"/>
  <c r="I69" i="38" l="1"/>
  <c r="J115" i="38"/>
  <c r="X21" i="38" s="1"/>
  <c r="X24" i="38" s="1"/>
  <c r="J117" i="38"/>
  <c r="X34" i="38" s="1"/>
  <c r="K92" i="38"/>
  <c r="V14" i="38"/>
  <c r="V16" i="38" s="1"/>
  <c r="H116" i="38"/>
  <c r="H123" i="38"/>
  <c r="AC11" i="37"/>
  <c r="K18" i="35" s="1"/>
  <c r="I79" i="37"/>
  <c r="H109" i="37"/>
  <c r="H123" i="37"/>
  <c r="AH14" i="37"/>
  <c r="AH16" i="37" s="1"/>
  <c r="K106" i="36"/>
  <c r="AK31" i="36" s="1"/>
  <c r="AK19" i="36"/>
  <c r="L89" i="36"/>
  <c r="AF21" i="36"/>
  <c r="F116" i="36"/>
  <c r="G110" i="36"/>
  <c r="AG18" i="36" s="1"/>
  <c r="G114" i="36"/>
  <c r="H69" i="36"/>
  <c r="I70" i="38" l="1"/>
  <c r="I75" i="38"/>
  <c r="I74" i="38"/>
  <c r="I72" i="38"/>
  <c r="Y19" i="38"/>
  <c r="Y32" i="38" s="1"/>
  <c r="L89" i="38"/>
  <c r="K106" i="38"/>
  <c r="Y31" i="38" s="1"/>
  <c r="K114" i="38"/>
  <c r="H110" i="37"/>
  <c r="AH18" i="37" s="1"/>
  <c r="AH32" i="37" s="1"/>
  <c r="H114" i="37"/>
  <c r="I69" i="37"/>
  <c r="G117" i="36"/>
  <c r="AG34" i="36" s="1"/>
  <c r="G115" i="36"/>
  <c r="H70" i="36"/>
  <c r="H74" i="36"/>
  <c r="H72" i="36"/>
  <c r="H75" i="36"/>
  <c r="K117" i="38" l="1"/>
  <c r="Y34" i="38" s="1"/>
  <c r="K115" i="38"/>
  <c r="Y21" i="38" s="1"/>
  <c r="Y24" i="38" s="1"/>
  <c r="I85" i="38"/>
  <c r="I120" i="38"/>
  <c r="I70" i="37"/>
  <c r="I74" i="37"/>
  <c r="I75" i="37"/>
  <c r="I72" i="37"/>
  <c r="H117" i="37"/>
  <c r="AH34" i="37" s="1"/>
  <c r="H115" i="37"/>
  <c r="G116" i="36"/>
  <c r="AG21" i="36"/>
  <c r="H120" i="36"/>
  <c r="H85" i="36"/>
  <c r="I122" i="38" l="1"/>
  <c r="I84" i="38"/>
  <c r="I86" i="38" s="1"/>
  <c r="J79" i="38" s="1"/>
  <c r="AH21" i="37"/>
  <c r="AH24" i="37" s="1"/>
  <c r="H116" i="37"/>
  <c r="I85" i="37"/>
  <c r="I120" i="37"/>
  <c r="H122" i="36"/>
  <c r="H84" i="36"/>
  <c r="H86" i="36" s="1"/>
  <c r="J69" i="38" l="1"/>
  <c r="I116" i="38"/>
  <c r="I123" i="38"/>
  <c r="I125" i="38"/>
  <c r="W14" i="38"/>
  <c r="W16" i="38" s="1"/>
  <c r="I122" i="37"/>
  <c r="I84" i="37"/>
  <c r="I86" i="37" s="1"/>
  <c r="AC11" i="36"/>
  <c r="I18" i="35" s="1"/>
  <c r="I79" i="36"/>
  <c r="H109" i="36"/>
  <c r="H123" i="36"/>
  <c r="AH14" i="36"/>
  <c r="AH16" i="36" s="1"/>
  <c r="J70" i="38" l="1"/>
  <c r="J75" i="38"/>
  <c r="J74" i="38"/>
  <c r="J72" i="38"/>
  <c r="J79" i="37"/>
  <c r="I109" i="37"/>
  <c r="AI14" i="37"/>
  <c r="AI16" i="37" s="1"/>
  <c r="I123" i="37"/>
  <c r="I125" i="37"/>
  <c r="H110" i="36"/>
  <c r="AH18" i="36" s="1"/>
  <c r="AH32" i="36" s="1"/>
  <c r="H114" i="36"/>
  <c r="I69" i="36"/>
  <c r="J120" i="38" l="1"/>
  <c r="J85" i="38"/>
  <c r="I110" i="37"/>
  <c r="AI18" i="37" s="1"/>
  <c r="AI32" i="37" s="1"/>
  <c r="I114" i="37"/>
  <c r="J69" i="37"/>
  <c r="H117" i="36"/>
  <c r="AH34" i="36" s="1"/>
  <c r="H115" i="36"/>
  <c r="I70" i="36"/>
  <c r="I72" i="36"/>
  <c r="I74" i="36"/>
  <c r="I75" i="36"/>
  <c r="J122" i="38" l="1"/>
  <c r="J84" i="38"/>
  <c r="J86" i="38" s="1"/>
  <c r="K79" i="38" s="1"/>
  <c r="J70" i="37"/>
  <c r="J72" i="37"/>
  <c r="J74" i="37"/>
  <c r="J75" i="37"/>
  <c r="I117" i="37"/>
  <c r="AI34" i="37" s="1"/>
  <c r="I115" i="37"/>
  <c r="AH21" i="36"/>
  <c r="AH24" i="36" s="1"/>
  <c r="H116" i="36"/>
  <c r="I85" i="36"/>
  <c r="I120" i="36"/>
  <c r="K69" i="38" l="1"/>
  <c r="J116" i="38"/>
  <c r="X14" i="38"/>
  <c r="X16" i="38" s="1"/>
  <c r="J123" i="38"/>
  <c r="J125" i="38"/>
  <c r="AI21" i="37"/>
  <c r="AI24" i="37" s="1"/>
  <c r="I116" i="37"/>
  <c r="J85" i="37"/>
  <c r="J120" i="37"/>
  <c r="I122" i="36"/>
  <c r="I84" i="36"/>
  <c r="I86" i="36" s="1"/>
  <c r="K70" i="38" l="1"/>
  <c r="K75" i="38"/>
  <c r="K74" i="38"/>
  <c r="K72" i="38"/>
  <c r="J122" i="37"/>
  <c r="J84" i="37"/>
  <c r="J86" i="37" s="1"/>
  <c r="J79" i="36"/>
  <c r="I109" i="36"/>
  <c r="I125" i="36"/>
  <c r="AI14" i="36"/>
  <c r="AI16" i="36" s="1"/>
  <c r="I123" i="36"/>
  <c r="K85" i="38" l="1"/>
  <c r="K120" i="38"/>
  <c r="K79" i="37"/>
  <c r="J109" i="37"/>
  <c r="J123" i="37"/>
  <c r="J125" i="37"/>
  <c r="AJ14" i="37"/>
  <c r="AJ16" i="37" s="1"/>
  <c r="I110" i="36"/>
  <c r="AI18" i="36" s="1"/>
  <c r="AI32" i="36" s="1"/>
  <c r="I114" i="36"/>
  <c r="J69" i="36"/>
  <c r="K122" i="38" l="1"/>
  <c r="K84" i="38"/>
  <c r="K86" i="38" s="1"/>
  <c r="L79" i="38" s="1"/>
  <c r="J110" i="37"/>
  <c r="AJ18" i="37" s="1"/>
  <c r="AJ32" i="37" s="1"/>
  <c r="J114" i="37"/>
  <c r="K69" i="37"/>
  <c r="I117" i="36"/>
  <c r="AI34" i="36" s="1"/>
  <c r="I115" i="36"/>
  <c r="J70" i="36"/>
  <c r="J75" i="36"/>
  <c r="J72" i="36"/>
  <c r="J74" i="36"/>
  <c r="L69" i="38" l="1"/>
  <c r="K125" i="38"/>
  <c r="K116" i="38"/>
  <c r="K123" i="38"/>
  <c r="Y14" i="38"/>
  <c r="Y16" i="38" s="1"/>
  <c r="J117" i="37"/>
  <c r="AJ34" i="37" s="1"/>
  <c r="J115" i="37"/>
  <c r="K70" i="37"/>
  <c r="K74" i="37"/>
  <c r="K75" i="37"/>
  <c r="K72" i="37"/>
  <c r="J85" i="36"/>
  <c r="J120" i="36"/>
  <c r="AI21" i="36"/>
  <c r="AI24" i="36" s="1"/>
  <c r="I116" i="36"/>
  <c r="S45" i="38" l="1"/>
  <c r="T45" i="38" s="1"/>
  <c r="L72" i="38"/>
  <c r="L74" i="38"/>
  <c r="K85" i="37"/>
  <c r="K120" i="37"/>
  <c r="AJ21" i="37"/>
  <c r="AJ24" i="37" s="1"/>
  <c r="J116" i="37"/>
  <c r="J122" i="36"/>
  <c r="J84" i="36"/>
  <c r="J86" i="36" s="1"/>
  <c r="L85" i="38" l="1"/>
  <c r="L86" i="38" s="1"/>
  <c r="M86" i="38" s="1"/>
  <c r="M72" i="38"/>
  <c r="N72" i="38" s="1"/>
  <c r="L91" i="38"/>
  <c r="K122" i="37"/>
  <c r="K84" i="37"/>
  <c r="K86" i="37" s="1"/>
  <c r="K79" i="36"/>
  <c r="J109" i="36"/>
  <c r="J125" i="36"/>
  <c r="J123" i="36"/>
  <c r="AJ14" i="36"/>
  <c r="AJ16" i="36" s="1"/>
  <c r="L92" i="38" l="1"/>
  <c r="L75" i="38"/>
  <c r="L120" i="38"/>
  <c r="L122" i="38" s="1"/>
  <c r="L79" i="37"/>
  <c r="K109" i="37"/>
  <c r="K123" i="37"/>
  <c r="K125" i="37"/>
  <c r="AK14" i="37"/>
  <c r="AK16" i="37" s="1"/>
  <c r="J110" i="36"/>
  <c r="AJ18" i="36" s="1"/>
  <c r="AJ32" i="36" s="1"/>
  <c r="J114" i="36"/>
  <c r="K69" i="36"/>
  <c r="L125" i="38" l="1"/>
  <c r="L123" i="38"/>
  <c r="Z14" i="38"/>
  <c r="Z19" i="38"/>
  <c r="Z32" i="38" s="1"/>
  <c r="L106" i="38"/>
  <c r="Z31" i="38" s="1"/>
  <c r="L114" i="38"/>
  <c r="L70" i="38"/>
  <c r="K110" i="37"/>
  <c r="AK18" i="37" s="1"/>
  <c r="AK32" i="37" s="1"/>
  <c r="K114" i="37"/>
  <c r="L69" i="37"/>
  <c r="J115" i="36"/>
  <c r="J117" i="36"/>
  <c r="AJ34" i="36" s="1"/>
  <c r="K70" i="36"/>
  <c r="K75" i="36"/>
  <c r="K74" i="36"/>
  <c r="K72" i="36"/>
  <c r="L117" i="38" l="1"/>
  <c r="Z34" i="38" s="1"/>
  <c r="L115" i="38"/>
  <c r="Z16" i="38"/>
  <c r="M20" i="35" s="1"/>
  <c r="Z23" i="38"/>
  <c r="Z28" i="38" s="1"/>
  <c r="M26" i="35" s="1"/>
  <c r="K115" i="37"/>
  <c r="K117" i="37"/>
  <c r="AK34" i="37" s="1"/>
  <c r="AE45" i="37"/>
  <c r="AF45" i="37" s="1"/>
  <c r="L72" i="37"/>
  <c r="L74" i="37"/>
  <c r="K85" i="36"/>
  <c r="K120" i="36"/>
  <c r="AJ21" i="36"/>
  <c r="AJ24" i="36" s="1"/>
  <c r="J116" i="36"/>
  <c r="Z27" i="38" l="1"/>
  <c r="M25" i="35" s="1"/>
  <c r="M21" i="35"/>
  <c r="Z21" i="38"/>
  <c r="Z24" i="38" s="1"/>
  <c r="M23" i="35" s="1"/>
  <c r="L116" i="38"/>
  <c r="L85" i="37"/>
  <c r="L91" i="37"/>
  <c r="L120" i="37"/>
  <c r="AK21" i="37"/>
  <c r="AK24" i="37" s="1"/>
  <c r="K116" i="37"/>
  <c r="K122" i="36"/>
  <c r="K84" i="36"/>
  <c r="K86" i="36" s="1"/>
  <c r="L84" i="37" l="1"/>
  <c r="AE50" i="37" s="1"/>
  <c r="AF50" i="37" s="1"/>
  <c r="L122" i="37"/>
  <c r="AL9" i="37"/>
  <c r="K12" i="35" s="1"/>
  <c r="L83" i="37"/>
  <c r="L92" i="37"/>
  <c r="L75" i="37"/>
  <c r="L79" i="36"/>
  <c r="K109" i="36"/>
  <c r="K125" i="36"/>
  <c r="K123" i="36"/>
  <c r="AK14" i="36"/>
  <c r="AK16" i="36" s="1"/>
  <c r="AE49" i="37" l="1"/>
  <c r="AF49" i="37" s="1"/>
  <c r="L86" i="37"/>
  <c r="L106" i="37"/>
  <c r="AL31" i="37" s="1"/>
  <c r="AL19" i="37"/>
  <c r="M89" i="37"/>
  <c r="L70" i="37"/>
  <c r="L125" i="37"/>
  <c r="AL14" i="37"/>
  <c r="L123" i="37"/>
  <c r="K110" i="36"/>
  <c r="AK18" i="36" s="1"/>
  <c r="AK32" i="36" s="1"/>
  <c r="K114" i="36"/>
  <c r="L69" i="36"/>
  <c r="AL16" i="37" l="1"/>
  <c r="K20" i="35" s="1"/>
  <c r="AL23" i="37"/>
  <c r="M79" i="37"/>
  <c r="L109" i="37"/>
  <c r="AE45" i="36"/>
  <c r="AF45" i="36" s="1"/>
  <c r="L72" i="36"/>
  <c r="L74" i="36"/>
  <c r="K115" i="36"/>
  <c r="K117" i="36"/>
  <c r="AK34" i="36" s="1"/>
  <c r="L110" i="37" l="1"/>
  <c r="AL18" i="37" s="1"/>
  <c r="AL32" i="37" s="1"/>
  <c r="L114" i="37"/>
  <c r="M69" i="37"/>
  <c r="AL27" i="37"/>
  <c r="K25" i="35" s="1"/>
  <c r="K21" i="35"/>
  <c r="AL8" i="37"/>
  <c r="K11" i="35" s="1"/>
  <c r="K13" i="35" s="1"/>
  <c r="AL28" i="37"/>
  <c r="K26" i="35" s="1"/>
  <c r="AK21" i="36"/>
  <c r="AK24" i="36" s="1"/>
  <c r="K116" i="36"/>
  <c r="L85" i="36"/>
  <c r="L91" i="36"/>
  <c r="L120" i="36"/>
  <c r="M72" i="37" l="1"/>
  <c r="M74" i="37"/>
  <c r="L115" i="37"/>
  <c r="L117" i="37"/>
  <c r="AL34" i="37" s="1"/>
  <c r="L122" i="36"/>
  <c r="L84" i="36"/>
  <c r="AE50" i="36" s="1"/>
  <c r="AF50" i="36" s="1"/>
  <c r="AL9" i="36"/>
  <c r="I12" i="35" s="1"/>
  <c r="L83" i="36"/>
  <c r="L92" i="36"/>
  <c r="L75" i="36"/>
  <c r="M91" i="37" l="1"/>
  <c r="M85" i="37"/>
  <c r="M120" i="37"/>
  <c r="AL21" i="37"/>
  <c r="AL24" i="37" s="1"/>
  <c r="K23" i="35" s="1"/>
  <c r="L116" i="37"/>
  <c r="L106" i="36"/>
  <c r="AL31" i="36" s="1"/>
  <c r="AL19" i="36"/>
  <c r="M89" i="36"/>
  <c r="L70" i="36"/>
  <c r="AE49" i="36"/>
  <c r="AF49" i="36" s="1"/>
  <c r="L86" i="36"/>
  <c r="AL14" i="36"/>
  <c r="L123" i="36"/>
  <c r="L125" i="36"/>
  <c r="M84" i="37" l="1"/>
  <c r="M122" i="37"/>
  <c r="M83" i="37"/>
  <c r="M86" i="37" s="1"/>
  <c r="M92" i="37"/>
  <c r="M75" i="37"/>
  <c r="AL16" i="36"/>
  <c r="I20" i="35" s="1"/>
  <c r="AL23" i="36"/>
  <c r="M79" i="36"/>
  <c r="L109" i="36"/>
  <c r="M69" i="36"/>
  <c r="AM14" i="37" l="1"/>
  <c r="M123" i="37"/>
  <c r="M125" i="37"/>
  <c r="M106" i="37"/>
  <c r="AM31" i="37" s="1"/>
  <c r="N89" i="37"/>
  <c r="AM19" i="37"/>
  <c r="M70" i="37"/>
  <c r="N79" i="37"/>
  <c r="M109" i="37"/>
  <c r="L114" i="36"/>
  <c r="L110" i="36"/>
  <c r="AL18" i="36" s="1"/>
  <c r="AL32" i="36" s="1"/>
  <c r="M72" i="36"/>
  <c r="M74" i="36"/>
  <c r="AL27" i="36"/>
  <c r="I25" i="35" s="1"/>
  <c r="I21" i="35"/>
  <c r="AL8" i="36"/>
  <c r="I11" i="35" s="1"/>
  <c r="I13" i="35" s="1"/>
  <c r="AL28" i="36"/>
  <c r="I26" i="35" s="1"/>
  <c r="M114" i="37" l="1"/>
  <c r="M110" i="37"/>
  <c r="AM18" i="37" s="1"/>
  <c r="AM32" i="37"/>
  <c r="N69" i="37"/>
  <c r="AM16" i="37"/>
  <c r="AM23" i="37"/>
  <c r="M85" i="36"/>
  <c r="M91" i="36"/>
  <c r="L115" i="36"/>
  <c r="L117" i="36"/>
  <c r="AL34" i="36" s="1"/>
  <c r="AM28" i="37" l="1"/>
  <c r="N74" i="37"/>
  <c r="N72" i="37"/>
  <c r="M115" i="37"/>
  <c r="M117" i="37"/>
  <c r="AM34" i="37" s="1"/>
  <c r="AL21" i="36"/>
  <c r="AL24" i="36" s="1"/>
  <c r="I23" i="35" s="1"/>
  <c r="L116" i="36"/>
  <c r="M83" i="36"/>
  <c r="M92" i="36"/>
  <c r="M75" i="36"/>
  <c r="M120" i="36"/>
  <c r="AM21" i="37" l="1"/>
  <c r="AM24" i="37" s="1"/>
  <c r="M116" i="37"/>
  <c r="N91" i="37"/>
  <c r="N85" i="37"/>
  <c r="N120" i="37"/>
  <c r="M84" i="36"/>
  <c r="M122" i="36"/>
  <c r="M106" i="36"/>
  <c r="AM31" i="36" s="1"/>
  <c r="AM19" i="36"/>
  <c r="N89" i="36"/>
  <c r="M70" i="36"/>
  <c r="M86" i="36"/>
  <c r="N84" i="37" l="1"/>
  <c r="N122" i="37"/>
  <c r="N83" i="37"/>
  <c r="N86" i="37" s="1"/>
  <c r="N92" i="37"/>
  <c r="N75" i="37"/>
  <c r="N79" i="36"/>
  <c r="M109" i="36"/>
  <c r="N69" i="36"/>
  <c r="AM14" i="36"/>
  <c r="M123" i="36"/>
  <c r="M125" i="36"/>
  <c r="N106" i="37" l="1"/>
  <c r="AN31" i="37" s="1"/>
  <c r="AN19" i="37"/>
  <c r="O89" i="37"/>
  <c r="N70" i="37"/>
  <c r="O79" i="37"/>
  <c r="N109" i="37"/>
  <c r="AN14" i="37"/>
  <c r="N123" i="37"/>
  <c r="N125" i="37"/>
  <c r="M110" i="36"/>
  <c r="AM18" i="36" s="1"/>
  <c r="AM32" i="36" s="1"/>
  <c r="M114" i="36"/>
  <c r="AM16" i="36"/>
  <c r="AM23" i="36"/>
  <c r="N72" i="36"/>
  <c r="N74" i="36"/>
  <c r="AN16" i="37" l="1"/>
  <c r="AN23" i="37"/>
  <c r="N110" i="37"/>
  <c r="AN18" i="37" s="1"/>
  <c r="N114" i="37"/>
  <c r="O69" i="37"/>
  <c r="AN32" i="37"/>
  <c r="M115" i="36"/>
  <c r="M117" i="36"/>
  <c r="AM34" i="36" s="1"/>
  <c r="N85" i="36"/>
  <c r="N91" i="36"/>
  <c r="AM28" i="36"/>
  <c r="O74" i="37" l="1"/>
  <c r="O72" i="37"/>
  <c r="N115" i="37"/>
  <c r="N117" i="37"/>
  <c r="AN34" i="37" s="1"/>
  <c r="AN28" i="37"/>
  <c r="N83" i="36"/>
  <c r="N92" i="36"/>
  <c r="N75" i="36"/>
  <c r="N120" i="36"/>
  <c r="AM21" i="36"/>
  <c r="AM24" i="36" s="1"/>
  <c r="M116" i="36"/>
  <c r="AN21" i="37" l="1"/>
  <c r="AN24" i="37" s="1"/>
  <c r="N116" i="37"/>
  <c r="O85" i="37"/>
  <c r="O91" i="37"/>
  <c r="O120" i="37"/>
  <c r="N106" i="36"/>
  <c r="AN31" i="36" s="1"/>
  <c r="AN19" i="36"/>
  <c r="O89" i="36"/>
  <c r="N70" i="36"/>
  <c r="N84" i="36"/>
  <c r="N122" i="36"/>
  <c r="N86" i="36"/>
  <c r="O84" i="37" l="1"/>
  <c r="O122" i="37"/>
  <c r="O83" i="37"/>
  <c r="O86" i="37" s="1"/>
  <c r="O92" i="37"/>
  <c r="O75" i="37"/>
  <c r="O79" i="36"/>
  <c r="N109" i="36"/>
  <c r="AN14" i="36"/>
  <c r="N123" i="36"/>
  <c r="N125" i="36"/>
  <c r="O69" i="36"/>
  <c r="O106" i="37" l="1"/>
  <c r="P89" i="37"/>
  <c r="O70" i="37"/>
  <c r="P79" i="37"/>
  <c r="O109" i="37"/>
  <c r="O123" i="37"/>
  <c r="O125" i="37"/>
  <c r="O72" i="36"/>
  <c r="O74" i="36"/>
  <c r="AN16" i="36"/>
  <c r="AN23" i="36"/>
  <c r="N110" i="36"/>
  <c r="AN18" i="36" s="1"/>
  <c r="AN32" i="36" s="1"/>
  <c r="N114" i="36"/>
  <c r="O114" i="37" l="1"/>
  <c r="O110" i="37"/>
  <c r="P69" i="37"/>
  <c r="N115" i="36"/>
  <c r="N117" i="36"/>
  <c r="AN34" i="36" s="1"/>
  <c r="AN28" i="36"/>
  <c r="O85" i="36"/>
  <c r="O91" i="36"/>
  <c r="O120" i="36"/>
  <c r="P74" i="37" l="1"/>
  <c r="P72" i="37"/>
  <c r="O115" i="37"/>
  <c r="O116" i="37" s="1"/>
  <c r="O117" i="37"/>
  <c r="O84" i="36"/>
  <c r="O122" i="36"/>
  <c r="O83" i="36"/>
  <c r="O86" i="36" s="1"/>
  <c r="O92" i="36"/>
  <c r="O75" i="36"/>
  <c r="AN21" i="36"/>
  <c r="AN24" i="36" s="1"/>
  <c r="N116" i="36"/>
  <c r="P85" i="37" l="1"/>
  <c r="P91" i="37"/>
  <c r="P120" i="37"/>
  <c r="O123" i="36"/>
  <c r="O125" i="36"/>
  <c r="O106" i="36"/>
  <c r="P89" i="36"/>
  <c r="O70" i="36"/>
  <c r="P79" i="36"/>
  <c r="O109" i="36"/>
  <c r="P84" i="37" l="1"/>
  <c r="P122" i="37"/>
  <c r="P83" i="37"/>
  <c r="P86" i="37" s="1"/>
  <c r="P92" i="37"/>
  <c r="P75" i="37"/>
  <c r="O114" i="36"/>
  <c r="O110" i="36"/>
  <c r="P69" i="36"/>
  <c r="P106" i="37" l="1"/>
  <c r="Q89" i="37"/>
  <c r="P70" i="37"/>
  <c r="Q79" i="37"/>
  <c r="P109" i="37"/>
  <c r="P123" i="37"/>
  <c r="P125" i="37"/>
  <c r="P72" i="36"/>
  <c r="P74" i="36"/>
  <c r="O115" i="36"/>
  <c r="O116" i="36" s="1"/>
  <c r="O117" i="36"/>
  <c r="P114" i="37" l="1"/>
  <c r="P110" i="37"/>
  <c r="Q69" i="37"/>
  <c r="P85" i="36"/>
  <c r="P91" i="36"/>
  <c r="Q72" i="37" l="1"/>
  <c r="Q74" i="37"/>
  <c r="P115" i="37"/>
  <c r="P116" i="37" s="1"/>
  <c r="P117" i="37"/>
  <c r="P83" i="36"/>
  <c r="P92" i="36"/>
  <c r="P75" i="36"/>
  <c r="P120" i="36"/>
  <c r="Q85" i="37" l="1"/>
  <c r="Q91" i="37"/>
  <c r="Q120" i="37"/>
  <c r="Q89" i="36"/>
  <c r="P106" i="36"/>
  <c r="P70" i="36"/>
  <c r="P84" i="36"/>
  <c r="P122" i="36"/>
  <c r="P86" i="36"/>
  <c r="Q122" i="37" l="1"/>
  <c r="Q84" i="37"/>
  <c r="Q83" i="37"/>
  <c r="Q92" i="37"/>
  <c r="Q75" i="37"/>
  <c r="P123" i="36"/>
  <c r="P125" i="36"/>
  <c r="Q79" i="36"/>
  <c r="P109" i="36"/>
  <c r="Q69" i="36"/>
  <c r="R89" i="37" l="1"/>
  <c r="Q106" i="37"/>
  <c r="Q70" i="37"/>
  <c r="Q86" i="37"/>
  <c r="Q125" i="37"/>
  <c r="Q123" i="37"/>
  <c r="P114" i="36"/>
  <c r="P110" i="36"/>
  <c r="Q72" i="36"/>
  <c r="Q74" i="36"/>
  <c r="R79" i="37" l="1"/>
  <c r="Q109" i="37"/>
  <c r="R69" i="37"/>
  <c r="Q85" i="36"/>
  <c r="Q91" i="36"/>
  <c r="Q120" i="36"/>
  <c r="P117" i="36"/>
  <c r="P115" i="36"/>
  <c r="P116" i="36" s="1"/>
  <c r="Q114" i="37" l="1"/>
  <c r="Q110" i="37"/>
  <c r="R72" i="37"/>
  <c r="R74" i="37"/>
  <c r="Q122" i="36"/>
  <c r="Q84" i="36"/>
  <c r="Q83" i="36"/>
  <c r="Q86" i="36" s="1"/>
  <c r="Q92" i="36"/>
  <c r="Q75" i="36"/>
  <c r="R85" i="37" l="1"/>
  <c r="R91" i="37"/>
  <c r="Q115" i="37"/>
  <c r="Q116" i="37" s="1"/>
  <c r="Q117" i="37"/>
  <c r="R89" i="36"/>
  <c r="Q106" i="36"/>
  <c r="Q70" i="36"/>
  <c r="R79" i="36"/>
  <c r="Q109" i="36"/>
  <c r="Q123" i="36"/>
  <c r="Q125" i="36"/>
  <c r="R83" i="37" l="1"/>
  <c r="R92" i="37"/>
  <c r="R75" i="37"/>
  <c r="R120" i="37"/>
  <c r="Q114" i="36"/>
  <c r="Q110" i="36"/>
  <c r="R69" i="36"/>
  <c r="R122" i="37" l="1"/>
  <c r="R84" i="37"/>
  <c r="S89" i="37"/>
  <c r="R106" i="37"/>
  <c r="R70" i="37"/>
  <c r="R86" i="37"/>
  <c r="R74" i="36"/>
  <c r="R72" i="36"/>
  <c r="Q115" i="36"/>
  <c r="Q116" i="36" s="1"/>
  <c r="Q117" i="36"/>
  <c r="S79" i="37" l="1"/>
  <c r="R109" i="37"/>
  <c r="S69" i="37"/>
  <c r="R125" i="37"/>
  <c r="R123" i="37"/>
  <c r="R85" i="36"/>
  <c r="R91" i="36"/>
  <c r="R114" i="37" l="1"/>
  <c r="R110" i="37"/>
  <c r="S74" i="37"/>
  <c r="S72" i="37"/>
  <c r="R83" i="36"/>
  <c r="R92" i="36"/>
  <c r="R75" i="36"/>
  <c r="R120" i="36"/>
  <c r="S85" i="37" l="1"/>
  <c r="S91" i="37"/>
  <c r="R115" i="37"/>
  <c r="R116" i="37" s="1"/>
  <c r="R117" i="37"/>
  <c r="S89" i="36"/>
  <c r="R106" i="36"/>
  <c r="R70" i="36"/>
  <c r="R122" i="36"/>
  <c r="R84" i="36"/>
  <c r="R86" i="36"/>
  <c r="S83" i="37" l="1"/>
  <c r="S92" i="37"/>
  <c r="S75" i="37"/>
  <c r="S120" i="37"/>
  <c r="S79" i="36"/>
  <c r="R109" i="36"/>
  <c r="R123" i="36"/>
  <c r="R125" i="36"/>
  <c r="S69" i="36"/>
  <c r="S122" i="37" l="1"/>
  <c r="S84" i="37"/>
  <c r="T89" i="37"/>
  <c r="S106" i="37"/>
  <c r="S70" i="37"/>
  <c r="S86" i="37"/>
  <c r="S74" i="36"/>
  <c r="S72" i="36"/>
  <c r="R114" i="36"/>
  <c r="R110" i="36"/>
  <c r="T79" i="37" l="1"/>
  <c r="S109" i="37"/>
  <c r="T69" i="37"/>
  <c r="S125" i="37"/>
  <c r="S123" i="37"/>
  <c r="R115" i="36"/>
  <c r="R116" i="36" s="1"/>
  <c r="R117" i="36"/>
  <c r="S85" i="36"/>
  <c r="S91" i="36"/>
  <c r="S110" i="37" l="1"/>
  <c r="S114" i="37"/>
  <c r="T72" i="37"/>
  <c r="T74" i="37"/>
  <c r="S83" i="36"/>
  <c r="S92" i="36"/>
  <c r="S75" i="36"/>
  <c r="S120" i="36"/>
  <c r="T91" i="37" l="1"/>
  <c r="T85" i="37"/>
  <c r="S117" i="37"/>
  <c r="S115" i="37"/>
  <c r="S116" i="37" s="1"/>
  <c r="S122" i="36"/>
  <c r="S84" i="36"/>
  <c r="T89" i="36"/>
  <c r="S106" i="36"/>
  <c r="S70" i="36"/>
  <c r="S86" i="36"/>
  <c r="T83" i="37" l="1"/>
  <c r="T92" i="37"/>
  <c r="T75" i="37"/>
  <c r="T120" i="37"/>
  <c r="T79" i="36"/>
  <c r="S109" i="36"/>
  <c r="T69" i="36"/>
  <c r="S125" i="36"/>
  <c r="S123" i="36"/>
  <c r="T122" i="37" l="1"/>
  <c r="T84" i="37"/>
  <c r="U89" i="37"/>
  <c r="T106" i="37"/>
  <c r="T70" i="37"/>
  <c r="T86" i="37"/>
  <c r="S110" i="36"/>
  <c r="S114" i="36"/>
  <c r="T74" i="36"/>
  <c r="T72" i="36"/>
  <c r="U79" i="37" l="1"/>
  <c r="T109" i="37"/>
  <c r="U69" i="37"/>
  <c r="T125" i="37"/>
  <c r="T123" i="37"/>
  <c r="T85" i="36"/>
  <c r="T91" i="36"/>
  <c r="S117" i="36"/>
  <c r="S115" i="36"/>
  <c r="S116" i="36" s="1"/>
  <c r="U74" i="37" l="1"/>
  <c r="U72" i="37"/>
  <c r="T110" i="37"/>
  <c r="T114" i="37"/>
  <c r="T83" i="36"/>
  <c r="T92" i="36"/>
  <c r="T75" i="36"/>
  <c r="T120" i="36"/>
  <c r="T117" i="37" l="1"/>
  <c r="T115" i="37"/>
  <c r="T116" i="37" s="1"/>
  <c r="U91" i="37"/>
  <c r="U85" i="37"/>
  <c r="T122" i="36"/>
  <c r="T84" i="36"/>
  <c r="U89" i="36"/>
  <c r="T106" i="36"/>
  <c r="T70" i="36"/>
  <c r="T86" i="36"/>
  <c r="U83" i="37" l="1"/>
  <c r="U92" i="37"/>
  <c r="U75" i="37"/>
  <c r="U120" i="37"/>
  <c r="U79" i="36"/>
  <c r="T109" i="36"/>
  <c r="U69" i="36"/>
  <c r="T123" i="36"/>
  <c r="T125" i="36"/>
  <c r="U122" i="37" l="1"/>
  <c r="U84" i="37"/>
  <c r="V89" i="37"/>
  <c r="U106" i="37"/>
  <c r="U70" i="37"/>
  <c r="U86" i="37"/>
  <c r="U72" i="36"/>
  <c r="U74" i="36"/>
  <c r="T110" i="36"/>
  <c r="T114" i="36"/>
  <c r="V79" i="37" l="1"/>
  <c r="U109" i="37"/>
  <c r="V69" i="37"/>
  <c r="U123" i="37"/>
  <c r="U125" i="37"/>
  <c r="T117" i="36"/>
  <c r="T115" i="36"/>
  <c r="T116" i="36" s="1"/>
  <c r="U91" i="36"/>
  <c r="U85" i="36"/>
  <c r="V72" i="37" l="1"/>
  <c r="V74" i="37"/>
  <c r="U110" i="37"/>
  <c r="U114" i="37"/>
  <c r="U83" i="36"/>
  <c r="U92" i="36"/>
  <c r="U75" i="36"/>
  <c r="U120" i="36"/>
  <c r="U117" i="37" l="1"/>
  <c r="U115" i="37"/>
  <c r="U116" i="37" s="1"/>
  <c r="V91" i="37"/>
  <c r="V120" i="37"/>
  <c r="V85" i="37"/>
  <c r="U122" i="36"/>
  <c r="U84" i="36"/>
  <c r="V89" i="36"/>
  <c r="U106" i="36"/>
  <c r="U70" i="36"/>
  <c r="U86" i="36"/>
  <c r="V122" i="37" l="1"/>
  <c r="V84" i="37"/>
  <c r="V83" i="37"/>
  <c r="V86" i="37" s="1"/>
  <c r="V92" i="37"/>
  <c r="V75" i="37"/>
  <c r="V79" i="36"/>
  <c r="U109" i="36"/>
  <c r="V69" i="36"/>
  <c r="U125" i="36"/>
  <c r="U123" i="36"/>
  <c r="W89" i="37" l="1"/>
  <c r="V106" i="37"/>
  <c r="V70" i="37"/>
  <c r="W79" i="37"/>
  <c r="V109" i="37"/>
  <c r="V125" i="37"/>
  <c r="V123" i="37"/>
  <c r="U114" i="36"/>
  <c r="U110" i="36"/>
  <c r="V72" i="36"/>
  <c r="V74" i="36"/>
  <c r="V114" i="37" l="1"/>
  <c r="V110" i="37"/>
  <c r="W69" i="37"/>
  <c r="V91" i="36"/>
  <c r="V120" i="36"/>
  <c r="V85" i="36"/>
  <c r="U117" i="36"/>
  <c r="U115" i="36"/>
  <c r="U116" i="36" s="1"/>
  <c r="W72" i="37" l="1"/>
  <c r="W74" i="37"/>
  <c r="V117" i="37"/>
  <c r="V115" i="37"/>
  <c r="V116" i="37" s="1"/>
  <c r="V122" i="36"/>
  <c r="V84" i="36"/>
  <c r="V83" i="36"/>
  <c r="V86" i="36" s="1"/>
  <c r="V92" i="36"/>
  <c r="V75" i="36"/>
  <c r="W91" i="37" l="1"/>
  <c r="W120" i="37"/>
  <c r="W85" i="37"/>
  <c r="W79" i="36"/>
  <c r="V109" i="36"/>
  <c r="W89" i="36"/>
  <c r="V106" i="36"/>
  <c r="V70" i="36"/>
  <c r="V123" i="36"/>
  <c r="V125" i="36"/>
  <c r="W122" i="37" l="1"/>
  <c r="W84" i="37"/>
  <c r="W83" i="37"/>
  <c r="W86" i="37" s="1"/>
  <c r="W92" i="37"/>
  <c r="W75" i="37"/>
  <c r="W69" i="36"/>
  <c r="V110" i="36"/>
  <c r="V114" i="36"/>
  <c r="X89" i="37" l="1"/>
  <c r="W106" i="37"/>
  <c r="W70" i="37"/>
  <c r="X79" i="37"/>
  <c r="W109" i="37"/>
  <c r="W125" i="37"/>
  <c r="W123" i="37"/>
  <c r="V117" i="36"/>
  <c r="V115" i="36"/>
  <c r="V116" i="36" s="1"/>
  <c r="W72" i="36"/>
  <c r="W74" i="36"/>
  <c r="W114" i="37" l="1"/>
  <c r="W110" i="37"/>
  <c r="X69" i="37"/>
  <c r="W91" i="36"/>
  <c r="W120" i="36"/>
  <c r="W85" i="36"/>
  <c r="W117" i="37" l="1"/>
  <c r="W115" i="37"/>
  <c r="W116" i="37" s="1"/>
  <c r="X72" i="37"/>
  <c r="X74" i="37"/>
  <c r="W122" i="36"/>
  <c r="W84" i="36"/>
  <c r="W83" i="36"/>
  <c r="W86" i="36" s="1"/>
  <c r="W92" i="36"/>
  <c r="W75" i="36"/>
  <c r="X91" i="37" l="1"/>
  <c r="X85" i="37"/>
  <c r="X89" i="36"/>
  <c r="W106" i="36"/>
  <c r="W70" i="36"/>
  <c r="X79" i="36"/>
  <c r="W109" i="36"/>
  <c r="W123" i="36"/>
  <c r="W125" i="36"/>
  <c r="X83" i="37" l="1"/>
  <c r="X92" i="37"/>
  <c r="X75" i="37"/>
  <c r="X120" i="37"/>
  <c r="W110" i="36"/>
  <c r="W114" i="36"/>
  <c r="X69" i="36"/>
  <c r="X122" i="37" l="1"/>
  <c r="X84" i="37"/>
  <c r="X106" i="37"/>
  <c r="X70" i="37"/>
  <c r="X86" i="37"/>
  <c r="X109" i="37" s="1"/>
  <c r="X72" i="36"/>
  <c r="X74" i="36"/>
  <c r="W117" i="36"/>
  <c r="W115" i="36"/>
  <c r="W116" i="36" s="1"/>
  <c r="X114" i="37" l="1"/>
  <c r="X110" i="37"/>
  <c r="X125" i="37"/>
  <c r="X123" i="37"/>
  <c r="X91" i="36"/>
  <c r="X85" i="36"/>
  <c r="X120" i="36"/>
  <c r="X117" i="37" l="1"/>
  <c r="X115" i="37"/>
  <c r="X116" i="37" s="1"/>
  <c r="X122" i="36"/>
  <c r="X84" i="36"/>
  <c r="X83" i="36"/>
  <c r="X86" i="36" s="1"/>
  <c r="X109" i="36" s="1"/>
  <c r="X92" i="36"/>
  <c r="X75" i="36"/>
  <c r="X106" i="36" l="1"/>
  <c r="X70" i="36"/>
  <c r="X110" i="36"/>
  <c r="X114" i="36"/>
  <c r="X123" i="36"/>
  <c r="X125" i="36"/>
  <c r="X117" i="36" l="1"/>
  <c r="X115" i="36"/>
  <c r="X116" i="36" s="1"/>
</calcChain>
</file>

<file path=xl/sharedStrings.xml><?xml version="1.0" encoding="utf-8"?>
<sst xmlns="http://schemas.openxmlformats.org/spreadsheetml/2006/main" count="520" uniqueCount="143">
  <si>
    <t>Admin Costs</t>
  </si>
  <si>
    <t>Gross Cost per sq. ft.</t>
  </si>
  <si>
    <t>Issue Costs</t>
  </si>
  <si>
    <t xml:space="preserve">Working Capital </t>
  </si>
  <si>
    <t>Board of Directors Expense</t>
  </si>
  <si>
    <t>Benetti Holdings Dilution</t>
  </si>
  <si>
    <t xml:space="preserve">Admin and Compliance </t>
  </si>
  <si>
    <t xml:space="preserve">Board of Directors </t>
  </si>
  <si>
    <t>Income</t>
  </si>
  <si>
    <t>Issuing Agents Fees</t>
  </si>
  <si>
    <t>Cost per Unit</t>
  </si>
  <si>
    <t>Number of Diluted Units</t>
  </si>
  <si>
    <t>Distribution per Diluted Unit</t>
  </si>
  <si>
    <t>Partner Contributions</t>
  </si>
  <si>
    <t>Total Expenses</t>
  </si>
  <si>
    <t>Asset Valuation</t>
  </si>
  <si>
    <t>Advisory Fees</t>
  </si>
  <si>
    <t>Cash Flow Continuity</t>
  </si>
  <si>
    <t>Opening Cash</t>
  </si>
  <si>
    <t>New Equity Financing</t>
  </si>
  <si>
    <t>Ending Cash</t>
  </si>
  <si>
    <t>Capital Asset Additions</t>
  </si>
  <si>
    <t>Opening Debt</t>
  </si>
  <si>
    <t>Additions</t>
  </si>
  <si>
    <t>Payments</t>
  </si>
  <si>
    <t>Ending Debt</t>
  </si>
  <si>
    <t>Opening Assets</t>
  </si>
  <si>
    <t>Total Capital Assets</t>
  </si>
  <si>
    <t>Build Time</t>
  </si>
  <si>
    <t>Debt Repayment</t>
  </si>
  <si>
    <t>Asset Continuity</t>
  </si>
  <si>
    <t>Distribution Analysis</t>
  </si>
  <si>
    <t>Net Proceeds</t>
  </si>
  <si>
    <t>Net Equity Funding</t>
  </si>
  <si>
    <t>Debt Proceeds</t>
  </si>
  <si>
    <t>Equity Proceeds</t>
  </si>
  <si>
    <t>Distributions</t>
  </si>
  <si>
    <t>Total Capital Assets Generating Rent</t>
  </si>
  <si>
    <t>Distribution Yield (on original $100 investment)</t>
  </si>
  <si>
    <t xml:space="preserve">Interest Coverage Ratio </t>
  </si>
  <si>
    <t>Debt Service Ratio</t>
  </si>
  <si>
    <t>Debenture Continuity</t>
  </si>
  <si>
    <t>Year 8</t>
  </si>
  <si>
    <t>Financing costs</t>
  </si>
  <si>
    <t>Secondary Financing (net of 3% cost)</t>
  </si>
  <si>
    <t xml:space="preserve">Development Yield </t>
  </si>
  <si>
    <t>-</t>
  </si>
  <si>
    <t xml:space="preserve">Issue Costs as a Percentage of Gross Funded Value </t>
  </si>
  <si>
    <t>Issuing Agents Fee - First Secured Mortgage Debentures</t>
  </si>
  <si>
    <t xml:space="preserve">Interest Paid to the First Secured Mortgage Debentures </t>
  </si>
  <si>
    <t>Initial Financing (net of 3% cost)</t>
  </si>
  <si>
    <t>Total (max) Debt Financing</t>
  </si>
  <si>
    <t>Expenses &amp; Fees</t>
  </si>
  <si>
    <t>n/a</t>
  </si>
  <si>
    <t>Proceeds as a % of EBITDA</t>
  </si>
  <si>
    <t>New Debt Financing (gross)</t>
  </si>
  <si>
    <t>Asset Valuation  (per diluted Unit)</t>
  </si>
  <si>
    <t xml:space="preserve">Distribution to Limited Partners </t>
  </si>
  <si>
    <t>Earnings Before Taxes, Depreciation and Interest on the Debt</t>
  </si>
  <si>
    <t>Advisory Fee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</si>
  <si>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</si>
  <si>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</si>
  <si>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</si>
  <si>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</si>
  <si>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</si>
  <si>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</si>
  <si>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</si>
  <si>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</si>
  <si>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</si>
  <si>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</si>
  <si>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 xml:space="preserve">Net Asset Valuations </t>
  </si>
  <si>
    <t xml:space="preserve">Distribution Yield </t>
  </si>
  <si>
    <t>Cash Flow and Valuation</t>
  </si>
  <si>
    <t>Issuing Agents Fee</t>
  </si>
  <si>
    <t>In the first 3 years of construction, income continuity of 3,050,000 (year-1),  3,300,000  (year-2) and  3,500,000  (year-3) was assumed to reflect the increase in land price due to entitlements of zoning, development and building permits and partial advance lease of buildings.</t>
  </si>
  <si>
    <t>Note-1:</t>
  </si>
  <si>
    <t>Distribution year over year growth</t>
  </si>
  <si>
    <t>Total Expense Ratio vs NAV  ( excluding financing costs )</t>
  </si>
  <si>
    <t>Cap Rate - Public Non Listed</t>
  </si>
  <si>
    <t>Debt to development cost</t>
  </si>
  <si>
    <t>FMV of building under construction</t>
  </si>
  <si>
    <t>Buildings under construction</t>
  </si>
  <si>
    <t>Funding from operations</t>
  </si>
  <si>
    <t xml:space="preserve">Percentage Interest Payable - net of interest income </t>
  </si>
  <si>
    <t>Cost of Debenture Debt net of interest on funds on deposit</t>
  </si>
  <si>
    <t>Earnings before interest, taxes and depreciation (EBITDA)</t>
  </si>
  <si>
    <t>(Note-1)</t>
  </si>
  <si>
    <t>Income Continuity</t>
  </si>
  <si>
    <t>Net proceeds from operations</t>
  </si>
  <si>
    <t>Repurchase Of Debentures</t>
  </si>
  <si>
    <t xml:space="preserve">Distributable Income </t>
  </si>
  <si>
    <t>Gross borrowing</t>
  </si>
  <si>
    <t>Interest Payments</t>
  </si>
  <si>
    <t>Operating and Administrative Expense</t>
  </si>
  <si>
    <t xml:space="preserve">Revenue </t>
  </si>
  <si>
    <t>%</t>
  </si>
  <si>
    <t>$</t>
  </si>
  <si>
    <t>Total Expense Ratio (NAV)</t>
  </si>
  <si>
    <t>Working Capital Reserve during development</t>
  </si>
  <si>
    <t>Minimum cash balance</t>
  </si>
  <si>
    <t>Debt to Asset Value</t>
  </si>
  <si>
    <t>Debt vs. Development Cost</t>
  </si>
  <si>
    <t>Debenture Buy Back (% of EBITDA)</t>
  </si>
  <si>
    <t>Interest earned on Cash on Hand</t>
  </si>
  <si>
    <t>Distribution Yield to Buyers at Market Value</t>
  </si>
  <si>
    <t>Compounded Annual Return  (Excluding Distributions)</t>
  </si>
  <si>
    <t>Discount / Premium vs. Net Asset Value (NAV)</t>
  </si>
  <si>
    <t>Discount to FMV for buildings under cost</t>
  </si>
  <si>
    <t xml:space="preserve">Market Value </t>
  </si>
  <si>
    <t>Net Asset Value (NAV)</t>
  </si>
  <si>
    <t>Total Debt</t>
  </si>
  <si>
    <t xml:space="preserve">Advisory Fee as percentage of Gross Funded Value </t>
  </si>
  <si>
    <t>Asset Value</t>
  </si>
  <si>
    <t xml:space="preserve">Distribution Yield on Initial Capital </t>
  </si>
  <si>
    <t>Total Equity Financing  - 1 year</t>
  </si>
  <si>
    <t>Phase 3 - second financing</t>
  </si>
  <si>
    <t>Phase 2 - first financing</t>
  </si>
  <si>
    <t>Phase 1 - initial funding for capital assets</t>
  </si>
  <si>
    <t>Capital investment</t>
  </si>
  <si>
    <t>Portfolio additions in sf.</t>
  </si>
  <si>
    <t>Woodfine Professional Centres Limited Partnership</t>
  </si>
  <si>
    <t>V3</t>
  </si>
  <si>
    <t>January 6, 2026</t>
  </si>
  <si>
    <t>NTD - The pro forma figures above represent preliminary, high-level estimates based on current assumptions and are subject to change</t>
  </si>
  <si>
    <t>† Final Sale must occur</t>
  </si>
  <si>
    <t>*In the case of the 2/20, the Management Fee calculated on the NAV is accrued rather than distributed due to the size of the Working Capital Reserve that would be required.</t>
  </si>
  <si>
    <t>Minimum Cash Position</t>
  </si>
  <si>
    <t>Working Capital Reserve</t>
  </si>
  <si>
    <t>†</t>
  </si>
  <si>
    <t>Management Carry</t>
  </si>
  <si>
    <t>*</t>
  </si>
  <si>
    <t xml:space="preserve">Management Fee </t>
  </si>
  <si>
    <t>2/20</t>
  </si>
  <si>
    <t>Jennifer M. Woodfine</t>
  </si>
  <si>
    <t>Woodfine Management Corp.</t>
  </si>
  <si>
    <t>SPV Arrangements - Asset Manager Dilution</t>
  </si>
  <si>
    <t xml:space="preserve">Total Square Foot - $10 Million Gross Funded Value </t>
  </si>
  <si>
    <t>Unit-based Compenstion (10% Market Value)</t>
  </si>
  <si>
    <t>Management Fee (1% GFV)</t>
  </si>
  <si>
    <t xml:space="preserve">Unit-based Compensation </t>
  </si>
  <si>
    <t>Management Carry (20%)</t>
  </si>
  <si>
    <t>Management Fee (2% NAV)</t>
  </si>
  <si>
    <t>Compensations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</si>
</sst>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&quot;$&quot;* #,##0_);_(&quot;$&quot;* \(#,##0\);_(&quot;$&quot;* &quot;-&quot;??_);_(@_)"/>
    <numFmt numFmtId="166" formatCode="0.0%"/>
    <numFmt numFmtId="167" formatCode="_(* #,##0_);_(* \(#,##0\);_(* &quot;-&quot;??_);_(@_)"/>
    <numFmt numFmtId="168" formatCode="#,##0\ &quot;Yrs&quot;"/>
    <numFmt numFmtId="169" formatCode="_-&quot;$&quot;* #,##0_-;\-&quot;$&quot;* #,##0_-;_-&quot;$&quot;* &quot;-&quot;??_-;_-@_-"/>
    <numFmt numFmtId="170" formatCode="0.000000"/>
    <numFmt numFmtId="171" formatCode="&quot;$&quot;#,##0.00"/>
    <numFmt numFmtId="172" formatCode="_(* #,##0.0000_);_(* \(#,##0.0000\);_(* &quot;-&quot;??_);_(@_)"/>
    <numFmt numFmtId="173" formatCode="_(&quot;$&quot;* #,##0.00000_);_(&quot;$&quot;* \(#,##0.00000\);_(&quot;$&quot;* &quot;-&quot;?????_);_(@_)"/>
    <numFmt numFmtId="174" formatCode="_(&quot;$&quot;* #,##0.0_);_(&quot;$&quot;* \(#,##0.0\);_(&quot;$&quot;* &quot;-&quot;?_);_(@_)"/>
  </numFmts>
  <fonts count="3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Georgia"/>
      <family val="1"/>
    </font>
    <font>
      <sz val="14"/>
      <color theme="1"/>
      <name val="Georgia"/>
      <family val="1"/>
    </font>
    <font>
      <sz val="16"/>
      <color theme="1"/>
      <name val="Georgia"/>
      <family val="1"/>
    </font>
    <font>
      <sz val="16"/>
      <name val="Georgia"/>
      <family val="1"/>
    </font>
    <font>
      <b/>
      <sz val="16"/>
      <color theme="1"/>
      <name val="Georgia"/>
      <family val="1"/>
    </font>
    <font>
      <sz val="12"/>
      <name val="Georgia"/>
      <family val="1"/>
    </font>
    <font>
      <i/>
      <sz val="12"/>
      <name val="Georgia"/>
      <family val="1"/>
    </font>
    <font>
      <i/>
      <sz val="12"/>
      <color theme="1"/>
      <name val="Georgia"/>
      <family val="1"/>
    </font>
    <font>
      <i/>
      <sz val="16"/>
      <name val="Georgia"/>
      <family val="1"/>
    </font>
    <font>
      <b/>
      <i/>
      <u/>
      <sz val="16"/>
      <color theme="1"/>
      <name val="Georgia"/>
      <family val="1"/>
    </font>
    <font>
      <b/>
      <i/>
      <sz val="12"/>
      <color theme="1"/>
      <name val="Georgia"/>
      <family val="1"/>
    </font>
    <font>
      <b/>
      <i/>
      <sz val="16"/>
      <color theme="1"/>
      <name val="Georgia"/>
      <family val="1"/>
    </font>
    <font>
      <b/>
      <i/>
      <sz val="12"/>
      <name val="Georgia"/>
      <family val="1"/>
    </font>
    <font>
      <sz val="15"/>
      <color theme="1"/>
      <name val="Georgia"/>
      <family val="1"/>
    </font>
    <font>
      <sz val="20"/>
      <color theme="1"/>
      <name val="Times New Roman"/>
      <family val="1"/>
    </font>
    <font>
      <sz val="15"/>
      <color theme="1"/>
      <name val="Times New Roman"/>
      <family val="1"/>
    </font>
    <font>
      <i/>
      <sz val="14"/>
      <color theme="1"/>
      <name val="Georgia"/>
      <family val="1"/>
    </font>
    <font>
      <sz val="16"/>
      <color rgb="FF000000"/>
      <name val="Georgia"/>
      <family val="1"/>
    </font>
    <font>
      <b/>
      <sz val="16"/>
      <name val="Georgia"/>
      <family val="1"/>
    </font>
    <font>
      <u val="singleAccounting"/>
      <sz val="16"/>
      <color theme="1"/>
      <name val="Georgia"/>
      <family val="1"/>
    </font>
    <font>
      <b/>
      <i/>
      <sz val="14"/>
      <color theme="1"/>
      <name val="Georgia"/>
      <family val="1"/>
    </font>
    <font>
      <b/>
      <i/>
      <sz val="24"/>
      <color theme="1"/>
      <name val="Georgia"/>
      <family val="1"/>
    </font>
    <font>
      <b/>
      <i/>
      <u/>
      <sz val="18"/>
      <color theme="1"/>
      <name val="Georgia"/>
      <family val="1"/>
    </font>
    <font>
      <b/>
      <sz val="24"/>
      <color theme="1"/>
      <name val="Georgia"/>
      <family val="1"/>
    </font>
    <font>
      <sz val="24"/>
      <color theme="1"/>
      <name val="Georgia"/>
      <family val="1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533">
    <xf numFmtId="0" fontId="0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1" fillId="0" borderId="0"/>
    <xf numFmtId="9" fontId="31" fillId="0" borderId="0" applyFont="0" applyFill="0" applyBorder="0" applyProtection="0"/>
    <xf numFmtId="43" fontId="31" fillId="0" borderId="0" applyFont="0" applyFill="0" applyBorder="0" applyProtection="0"/>
  </cellStyleXfs>
  <cellXfs count="335">
    <xf numFmtId="0" fontId="0" fillId="0" borderId="0" xfId="0"/>
    <xf numFmtId="0" fontId="2" fillId="0" borderId="0" xfId="1"/>
    <xf numFmtId="0" fontId="6" fillId="0" borderId="0" xfId="0" applyFont="1"/>
    <xf numFmtId="0" fontId="7" fillId="0" borderId="0" xfId="0" applyFont="1"/>
    <xf numFmtId="167" fontId="6" fillId="0" borderId="0" xfId="1256" applyNumberFormat="1" applyFont="1" applyFill="1" applyBorder="1"/>
    <xf numFmtId="167" fontId="6" fillId="0" borderId="0" xfId="1256" applyNumberFormat="1" applyFont="1" applyFill="1"/>
    <xf numFmtId="165" fontId="6" fillId="0" borderId="0" xfId="513" applyNumberFormat="1" applyFont="1" applyFill="1"/>
    <xf numFmtId="0" fontId="6" fillId="0" borderId="12" xfId="0" applyFont="1" applyBorder="1"/>
    <xf numFmtId="0" fontId="6" fillId="0" borderId="4" xfId="0" applyFont="1" applyBorder="1"/>
    <xf numFmtId="165" fontId="6" fillId="0" borderId="4" xfId="513" applyNumberFormat="1" applyFont="1" applyFill="1" applyBorder="1"/>
    <xf numFmtId="165" fontId="8" fillId="0" borderId="4" xfId="513" applyNumberFormat="1" applyFont="1" applyFill="1" applyBorder="1"/>
    <xf numFmtId="165" fontId="6" fillId="0" borderId="13" xfId="513" applyNumberFormat="1" applyFont="1" applyFill="1" applyBorder="1"/>
    <xf numFmtId="44" fontId="8" fillId="0" borderId="14" xfId="513" applyFont="1" applyFill="1" applyBorder="1"/>
    <xf numFmtId="44" fontId="8" fillId="0" borderId="0" xfId="513" applyFont="1" applyFill="1" applyBorder="1"/>
    <xf numFmtId="0" fontId="8" fillId="0" borderId="0" xfId="0" applyFont="1"/>
    <xf numFmtId="0" fontId="6" fillId="0" borderId="15" xfId="0" applyFont="1" applyBorder="1"/>
    <xf numFmtId="10" fontId="8" fillId="0" borderId="14" xfId="0" applyNumberFormat="1" applyFont="1" applyBorder="1" applyAlignment="1">
      <alignment horizontal="right"/>
    </xf>
    <xf numFmtId="10" fontId="8" fillId="0" borderId="0" xfId="0" applyNumberFormat="1" applyFont="1" applyAlignment="1">
      <alignment horizontal="right"/>
    </xf>
    <xf numFmtId="167" fontId="8" fillId="0" borderId="0" xfId="514" applyNumberFormat="1" applyFont="1" applyFill="1" applyBorder="1"/>
    <xf numFmtId="0" fontId="9" fillId="0" borderId="0" xfId="0" applyFont="1"/>
    <xf numFmtId="40" fontId="8" fillId="0" borderId="14" xfId="0" applyNumberFormat="1" applyFont="1" applyBorder="1"/>
    <xf numFmtId="37" fontId="8" fillId="0" borderId="0" xfId="514" applyNumberFormat="1" applyFont="1" applyFill="1" applyBorder="1" applyAlignment="1">
      <alignment horizontal="right"/>
    </xf>
    <xf numFmtId="38" fontId="8" fillId="0" borderId="14" xfId="0" applyNumberFormat="1" applyFont="1" applyBorder="1"/>
    <xf numFmtId="37" fontId="8" fillId="0" borderId="0" xfId="514" applyNumberFormat="1" applyFont="1" applyFill="1" applyBorder="1"/>
    <xf numFmtId="0" fontId="9" fillId="0" borderId="0" xfId="0" applyFont="1" applyAlignment="1">
      <alignment horizontal="left"/>
    </xf>
    <xf numFmtId="10" fontId="8" fillId="0" borderId="12" xfId="0" applyNumberFormat="1" applyFont="1" applyBorder="1" applyAlignment="1">
      <alignment horizontal="center"/>
    </xf>
    <xf numFmtId="10" fontId="8" fillId="0" borderId="4" xfId="0" applyNumberFormat="1" applyFont="1" applyBorder="1" applyAlignment="1">
      <alignment horizontal="center"/>
    </xf>
    <xf numFmtId="0" fontId="8" fillId="0" borderId="4" xfId="0" applyFont="1" applyBorder="1"/>
    <xf numFmtId="0" fontId="10" fillId="0" borderId="4" xfId="0" applyFont="1" applyBorder="1"/>
    <xf numFmtId="0" fontId="6" fillId="0" borderId="13" xfId="0" applyFont="1" applyBorder="1"/>
    <xf numFmtId="10" fontId="8" fillId="0" borderId="14" xfId="515" applyNumberFormat="1" applyFont="1" applyFill="1" applyBorder="1"/>
    <xf numFmtId="10" fontId="8" fillId="0" borderId="0" xfId="515" applyNumberFormat="1" applyFont="1" applyFill="1" applyBorder="1"/>
    <xf numFmtId="0" fontId="8" fillId="0" borderId="0" xfId="0" applyFont="1" applyAlignment="1">
      <alignment horizontal="left"/>
    </xf>
    <xf numFmtId="10" fontId="8" fillId="0" borderId="14" xfId="0" applyNumberFormat="1" applyFont="1" applyBorder="1"/>
    <xf numFmtId="10" fontId="8" fillId="0" borderId="0" xfId="0" applyNumberFormat="1" applyFont="1"/>
    <xf numFmtId="44" fontId="8" fillId="0" borderId="14" xfId="0" applyNumberFormat="1" applyFont="1" applyBorder="1" applyAlignment="1">
      <alignment horizontal="center"/>
    </xf>
    <xf numFmtId="42" fontId="8" fillId="0" borderId="14" xfId="0" applyNumberFormat="1" applyFont="1" applyBorder="1" applyAlignment="1">
      <alignment horizontal="center"/>
    </xf>
    <xf numFmtId="10" fontId="8" fillId="0" borderId="14" xfId="0" applyNumberFormat="1" applyFont="1" applyBorder="1" applyAlignment="1">
      <alignment horizontal="center"/>
    </xf>
    <xf numFmtId="0" fontId="10" fillId="0" borderId="0" xfId="0" applyFont="1"/>
    <xf numFmtId="4" fontId="8" fillId="0" borderId="14" xfId="0" applyNumberFormat="1" applyFont="1" applyBorder="1"/>
    <xf numFmtId="37" fontId="8" fillId="0" borderId="14" xfId="0" applyNumberFormat="1" applyFont="1" applyBorder="1" applyAlignment="1">
      <alignment horizontal="right"/>
    </xf>
    <xf numFmtId="37" fontId="8" fillId="0" borderId="0" xfId="0" applyNumberFormat="1" applyFont="1" applyAlignment="1">
      <alignment horizontal="right"/>
    </xf>
    <xf numFmtId="43" fontId="8" fillId="0" borderId="0" xfId="1256" applyFont="1" applyFill="1" applyBorder="1" applyAlignment="1">
      <alignment horizontal="right"/>
    </xf>
    <xf numFmtId="165" fontId="8" fillId="0" borderId="0" xfId="513" applyNumberFormat="1" applyFont="1" applyFill="1" applyBorder="1"/>
    <xf numFmtId="165" fontId="8" fillId="0" borderId="14" xfId="513" applyNumberFormat="1" applyFont="1" applyFill="1" applyBorder="1" applyAlignment="1">
      <alignment horizontal="center"/>
    </xf>
    <xf numFmtId="165" fontId="8" fillId="0" borderId="0" xfId="513" applyNumberFormat="1" applyFont="1" applyFill="1" applyBorder="1" applyAlignment="1">
      <alignment horizontal="center"/>
    </xf>
    <xf numFmtId="165" fontId="8" fillId="0" borderId="14" xfId="0" applyNumberFormat="1" applyFont="1" applyBorder="1" applyAlignment="1">
      <alignment horizontal="center"/>
    </xf>
    <xf numFmtId="165" fontId="8" fillId="0" borderId="16" xfId="513" applyNumberFormat="1" applyFont="1" applyFill="1" applyBorder="1" applyAlignment="1">
      <alignment horizontal="center"/>
    </xf>
    <xf numFmtId="165" fontId="8" fillId="0" borderId="2" xfId="513" applyNumberFormat="1" applyFont="1" applyFill="1" applyBorder="1" applyAlignment="1">
      <alignment horizontal="center"/>
    </xf>
    <xf numFmtId="165" fontId="8" fillId="0" borderId="2" xfId="513" applyNumberFormat="1" applyFont="1" applyFill="1" applyBorder="1"/>
    <xf numFmtId="167" fontId="8" fillId="0" borderId="14" xfId="0" applyNumberFormat="1" applyFont="1" applyBorder="1" applyAlignment="1">
      <alignment horizontal="center"/>
    </xf>
    <xf numFmtId="0" fontId="6" fillId="0" borderId="2" xfId="0" applyFont="1" applyBorder="1"/>
    <xf numFmtId="0" fontId="8" fillId="0" borderId="2" xfId="0" applyFont="1" applyBorder="1"/>
    <xf numFmtId="0" fontId="6" fillId="0" borderId="17" xfId="0" applyFont="1" applyBorder="1"/>
    <xf numFmtId="38" fontId="8" fillId="0" borderId="18" xfId="0" applyNumberFormat="1" applyFont="1" applyBorder="1"/>
    <xf numFmtId="43" fontId="8" fillId="0" borderId="0" xfId="514" applyFont="1" applyFill="1" applyBorder="1" applyAlignment="1">
      <alignment horizontal="center"/>
    </xf>
    <xf numFmtId="166" fontId="8" fillId="0" borderId="14" xfId="0" applyNumberFormat="1" applyFont="1" applyBorder="1" applyAlignment="1">
      <alignment horizontal="center"/>
    </xf>
    <xf numFmtId="0" fontId="11" fillId="0" borderId="0" xfId="0" applyFont="1"/>
    <xf numFmtId="2" fontId="9" fillId="0" borderId="14" xfId="0" applyNumberFormat="1" applyFont="1" applyBorder="1" applyAlignment="1">
      <alignment horizontal="center"/>
    </xf>
    <xf numFmtId="38" fontId="9" fillId="0" borderId="14" xfId="0" applyNumberFormat="1" applyFont="1" applyBorder="1"/>
    <xf numFmtId="38" fontId="9" fillId="0" borderId="19" xfId="0" applyNumberFormat="1" applyFont="1" applyBorder="1"/>
    <xf numFmtId="38" fontId="9" fillId="0" borderId="5" xfId="0" applyNumberFormat="1" applyFont="1" applyBorder="1"/>
    <xf numFmtId="10" fontId="9" fillId="0" borderId="14" xfId="0" applyNumberFormat="1" applyFont="1" applyBorder="1"/>
    <xf numFmtId="0" fontId="11" fillId="0" borderId="15" xfId="0" applyFont="1" applyBorder="1"/>
    <xf numFmtId="0" fontId="12" fillId="0" borderId="0" xfId="0" applyFont="1"/>
    <xf numFmtId="0" fontId="13" fillId="0" borderId="0" xfId="0" applyFont="1"/>
    <xf numFmtId="10" fontId="14" fillId="0" borderId="14" xfId="0" applyNumberFormat="1" applyFont="1" applyBorder="1"/>
    <xf numFmtId="0" fontId="12" fillId="0" borderId="15" xfId="0" applyFont="1" applyBorder="1"/>
    <xf numFmtId="38" fontId="9" fillId="0" borderId="16" xfId="0" applyNumberFormat="1" applyFont="1" applyBorder="1"/>
    <xf numFmtId="38" fontId="9" fillId="0" borderId="2" xfId="0" applyNumberFormat="1" applyFont="1" applyBorder="1"/>
    <xf numFmtId="38" fontId="9" fillId="0" borderId="20" xfId="0" applyNumberFormat="1" applyFont="1" applyBorder="1"/>
    <xf numFmtId="38" fontId="9" fillId="0" borderId="10" xfId="0" applyNumberFormat="1" applyFont="1" applyBorder="1"/>
    <xf numFmtId="38" fontId="8" fillId="0" borderId="16" xfId="0" applyNumberFormat="1" applyFont="1" applyBorder="1"/>
    <xf numFmtId="38" fontId="8" fillId="0" borderId="2" xfId="0" applyNumberFormat="1" applyFont="1" applyBorder="1"/>
    <xf numFmtId="167" fontId="8" fillId="0" borderId="14" xfId="514" applyNumberFormat="1" applyFont="1" applyFill="1" applyBorder="1"/>
    <xf numFmtId="9" fontId="8" fillId="0" borderId="0" xfId="515" applyFont="1" applyFill="1" applyBorder="1"/>
    <xf numFmtId="167" fontId="8" fillId="0" borderId="20" xfId="514" applyNumberFormat="1" applyFont="1" applyFill="1" applyBorder="1"/>
    <xf numFmtId="167" fontId="8" fillId="0" borderId="10" xfId="514" applyNumberFormat="1" applyFont="1" applyFill="1" applyBorder="1"/>
    <xf numFmtId="41" fontId="8" fillId="2" borderId="0" xfId="513" applyNumberFormat="1" applyFont="1" applyFill="1" applyBorder="1" applyAlignment="1">
      <alignment horizontal="right"/>
    </xf>
    <xf numFmtId="165" fontId="8" fillId="0" borderId="14" xfId="513" applyNumberFormat="1" applyFont="1" applyFill="1" applyBorder="1"/>
    <xf numFmtId="0" fontId="16" fillId="0" borderId="0" xfId="0" applyFont="1"/>
    <xf numFmtId="0" fontId="10" fillId="0" borderId="14" xfId="0" applyFont="1" applyBorder="1" applyAlignment="1">
      <alignment horizontal="center"/>
    </xf>
    <xf numFmtId="0" fontId="17" fillId="0" borderId="0" xfId="0" applyFont="1"/>
    <xf numFmtId="0" fontId="6" fillId="0" borderId="21" xfId="0" applyFont="1" applyBorder="1"/>
    <xf numFmtId="0" fontId="6" fillId="0" borderId="22" xfId="0" applyFont="1" applyBorder="1"/>
    <xf numFmtId="3" fontId="9" fillId="0" borderId="22" xfId="0" applyNumberFormat="1" applyFont="1" applyBorder="1"/>
    <xf numFmtId="0" fontId="9" fillId="0" borderId="22" xfId="0" applyFont="1" applyBorder="1" applyAlignment="1">
      <alignment horizontal="right"/>
    </xf>
    <xf numFmtId="0" fontId="6" fillId="0" borderId="23" xfId="0" applyFont="1" applyBorder="1"/>
    <xf numFmtId="43" fontId="6" fillId="0" borderId="0" xfId="514" applyFont="1" applyFill="1"/>
    <xf numFmtId="9" fontId="6" fillId="0" borderId="0" xfId="515" applyFont="1" applyFill="1" applyBorder="1"/>
    <xf numFmtId="3" fontId="11" fillId="0" borderId="0" xfId="0" applyNumberFormat="1" applyFont="1"/>
    <xf numFmtId="0" fontId="11" fillId="0" borderId="0" xfId="0" applyFont="1" applyAlignment="1">
      <alignment horizontal="right"/>
    </xf>
    <xf numFmtId="167" fontId="8" fillId="0" borderId="0" xfId="1256" applyNumberFormat="1" applyFont="1" applyFill="1" applyAlignment="1">
      <alignment horizontal="right"/>
    </xf>
    <xf numFmtId="167" fontId="8" fillId="0" borderId="0" xfId="1256" applyNumberFormat="1" applyFont="1" applyFill="1" applyBorder="1"/>
    <xf numFmtId="167" fontId="9" fillId="0" borderId="0" xfId="1256" applyNumberFormat="1" applyFont="1" applyFill="1" applyBorder="1"/>
    <xf numFmtId="0" fontId="9" fillId="0" borderId="0" xfId="0" applyFont="1" applyAlignment="1">
      <alignment horizontal="right"/>
    </xf>
    <xf numFmtId="167" fontId="6" fillId="0" borderId="0" xfId="0" applyNumberFormat="1" applyFont="1"/>
    <xf numFmtId="172" fontId="6" fillId="0" borderId="0" xfId="1256" applyNumberFormat="1" applyFont="1" applyFill="1" applyBorder="1"/>
    <xf numFmtId="167" fontId="8" fillId="0" borderId="2" xfId="1256" applyNumberFormat="1" applyFont="1" applyFill="1" applyBorder="1" applyAlignment="1">
      <alignment horizontal="right"/>
    </xf>
    <xf numFmtId="0" fontId="9" fillId="0" borderId="2" xfId="0" applyFont="1" applyBorder="1" applyAlignment="1">
      <alignment horizontal="right"/>
    </xf>
    <xf numFmtId="43" fontId="19" fillId="0" borderId="0" xfId="1256" applyFont="1" applyFill="1" applyBorder="1"/>
    <xf numFmtId="0" fontId="8" fillId="0" borderId="0" xfId="0" applyFont="1" applyAlignment="1">
      <alignment horizontal="right"/>
    </xf>
    <xf numFmtId="0" fontId="17" fillId="0" borderId="3" xfId="0" applyFont="1" applyBorder="1"/>
    <xf numFmtId="43" fontId="8" fillId="0" borderId="0" xfId="0" applyNumberFormat="1" applyFont="1"/>
    <xf numFmtId="173" fontId="8" fillId="0" borderId="0" xfId="0" applyNumberFormat="1" applyFont="1"/>
    <xf numFmtId="167" fontId="8" fillId="0" borderId="0" xfId="1256" applyNumberFormat="1" applyFont="1" applyFill="1"/>
    <xf numFmtId="43" fontId="9" fillId="0" borderId="0" xfId="0" applyNumberFormat="1" applyFont="1"/>
    <xf numFmtId="167" fontId="8" fillId="0" borderId="0" xfId="0" applyNumberFormat="1" applyFont="1"/>
    <xf numFmtId="38" fontId="8" fillId="0" borderId="0" xfId="0" applyNumberFormat="1" applyFont="1" applyAlignment="1">
      <alignment horizontal="right"/>
    </xf>
    <xf numFmtId="43" fontId="8" fillId="0" borderId="0" xfId="0" applyNumberFormat="1" applyFont="1" applyAlignment="1">
      <alignment horizontal="left"/>
    </xf>
    <xf numFmtId="44" fontId="9" fillId="0" borderId="0" xfId="0" applyNumberFormat="1" applyFont="1"/>
    <xf numFmtId="165" fontId="8" fillId="0" borderId="0" xfId="0" applyNumberFormat="1" applyFont="1" applyAlignment="1">
      <alignment horizontal="right"/>
    </xf>
    <xf numFmtId="43" fontId="8" fillId="0" borderId="0" xfId="1256" applyFont="1" applyFill="1" applyBorder="1" applyAlignment="1">
      <alignment horizontal="left"/>
    </xf>
    <xf numFmtId="43" fontId="8" fillId="0" borderId="0" xfId="1256" applyFont="1" applyFill="1" applyBorder="1"/>
    <xf numFmtId="167" fontId="9" fillId="0" borderId="0" xfId="0" applyNumberFormat="1" applyFont="1"/>
    <xf numFmtId="167" fontId="8" fillId="0" borderId="3" xfId="514" applyNumberFormat="1" applyFont="1" applyFill="1" applyBorder="1" applyAlignment="1">
      <alignment horizontal="right"/>
    </xf>
    <xf numFmtId="3" fontId="8" fillId="0" borderId="0" xfId="0" applyNumberFormat="1" applyFont="1"/>
    <xf numFmtId="9" fontId="8" fillId="0" borderId="0" xfId="515" applyFont="1" applyFill="1"/>
    <xf numFmtId="165" fontId="8" fillId="0" borderId="2" xfId="0" applyNumberFormat="1" applyFont="1" applyBorder="1" applyAlignment="1">
      <alignment horizontal="right"/>
    </xf>
    <xf numFmtId="167" fontId="8" fillId="0" borderId="0" xfId="514" applyNumberFormat="1" applyFont="1" applyFill="1" applyBorder="1" applyAlignment="1">
      <alignment horizontal="right"/>
    </xf>
    <xf numFmtId="39" fontId="8" fillId="0" borderId="0" xfId="514" applyNumberFormat="1" applyFont="1" applyFill="1" applyBorder="1" applyAlignment="1">
      <alignment horizontal="right"/>
    </xf>
    <xf numFmtId="10" fontId="8" fillId="0" borderId="0" xfId="515" applyNumberFormat="1" applyFont="1" applyFill="1" applyBorder="1" applyAlignment="1">
      <alignment horizontal="right"/>
    </xf>
    <xf numFmtId="169" fontId="9" fillId="0" borderId="0" xfId="0" applyNumberFormat="1" applyFont="1"/>
    <xf numFmtId="167" fontId="8" fillId="0" borderId="0" xfId="514" applyNumberFormat="1" applyFont="1" applyFill="1" applyAlignment="1">
      <alignment horizontal="right"/>
    </xf>
    <xf numFmtId="0" fontId="20" fillId="0" borderId="0" xfId="0" applyFont="1"/>
    <xf numFmtId="0" fontId="21" fillId="0" borderId="0" xfId="0" applyFont="1"/>
    <xf numFmtId="3" fontId="8" fillId="0" borderId="0" xfId="0" applyNumberFormat="1" applyFont="1" applyAlignment="1">
      <alignment horizontal="right"/>
    </xf>
    <xf numFmtId="0" fontId="22" fillId="0" borderId="0" xfId="0" applyFont="1"/>
    <xf numFmtId="0" fontId="8" fillId="0" borderId="3" xfId="0" applyFont="1" applyBorder="1" applyAlignment="1">
      <alignment horizontal="right"/>
    </xf>
    <xf numFmtId="37" fontId="8" fillId="0" borderId="9" xfId="0" applyNumberFormat="1" applyFont="1" applyBorder="1" applyAlignment="1">
      <alignment horizontal="right"/>
    </xf>
    <xf numFmtId="37" fontId="8" fillId="0" borderId="3" xfId="0" applyNumberFormat="1" applyFont="1" applyBorder="1" applyAlignment="1">
      <alignment horizontal="right"/>
    </xf>
    <xf numFmtId="38" fontId="8" fillId="0" borderId="3" xfId="0" applyNumberFormat="1" applyFont="1" applyBorder="1" applyAlignment="1">
      <alignment horizontal="right"/>
    </xf>
    <xf numFmtId="3" fontId="8" fillId="0" borderId="3" xfId="0" applyNumberFormat="1" applyFont="1" applyBorder="1" applyAlignment="1">
      <alignment horizontal="right"/>
    </xf>
    <xf numFmtId="10" fontId="8" fillId="0" borderId="3" xfId="515" applyNumberFormat="1" applyFont="1" applyFill="1" applyBorder="1" applyAlignment="1">
      <alignment horizontal="right"/>
    </xf>
    <xf numFmtId="0" fontId="8" fillId="0" borderId="3" xfId="0" applyFont="1" applyBorder="1"/>
    <xf numFmtId="0" fontId="8" fillId="0" borderId="8" xfId="0" applyFont="1" applyBorder="1"/>
    <xf numFmtId="0" fontId="6" fillId="0" borderId="0" xfId="0" quotePrefix="1" applyFont="1"/>
    <xf numFmtId="170" fontId="8" fillId="0" borderId="0" xfId="0" applyNumberFormat="1" applyFont="1"/>
    <xf numFmtId="10" fontId="8" fillId="0" borderId="7" xfId="0" applyNumberFormat="1" applyFont="1" applyBorder="1"/>
    <xf numFmtId="0" fontId="8" fillId="0" borderId="1" xfId="0" applyFont="1" applyBorder="1"/>
    <xf numFmtId="43" fontId="8" fillId="0" borderId="0" xfId="1256" applyFont="1" applyFill="1"/>
    <xf numFmtId="10" fontId="8" fillId="2" borderId="0" xfId="0" applyNumberFormat="1" applyFont="1" applyFill="1" applyAlignment="1">
      <alignment horizontal="right"/>
    </xf>
    <xf numFmtId="0" fontId="8" fillId="0" borderId="7" xfId="0" applyFont="1" applyBorder="1"/>
    <xf numFmtId="0" fontId="23" fillId="0" borderId="0" xfId="0" applyFont="1"/>
    <xf numFmtId="165" fontId="8" fillId="2" borderId="0" xfId="513" applyNumberFormat="1" applyFont="1" applyFill="1" applyAlignment="1">
      <alignment horizontal="right"/>
    </xf>
    <xf numFmtId="39" fontId="8" fillId="0" borderId="7" xfId="514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43" fontId="8" fillId="0" borderId="0" xfId="515" applyNumberFormat="1" applyFont="1" applyFill="1" applyBorder="1" applyAlignment="1">
      <alignment horizontal="center"/>
    </xf>
    <xf numFmtId="10" fontId="8" fillId="2" borderId="0" xfId="515" applyNumberFormat="1" applyFont="1" applyFill="1" applyAlignment="1">
      <alignment horizontal="right"/>
    </xf>
    <xf numFmtId="9" fontId="8" fillId="0" borderId="7" xfId="0" applyNumberFormat="1" applyFont="1" applyBorder="1"/>
    <xf numFmtId="9" fontId="8" fillId="0" borderId="0" xfId="0" applyNumberFormat="1" applyFont="1"/>
    <xf numFmtId="44" fontId="8" fillId="0" borderId="7" xfId="0" applyNumberFormat="1" applyFont="1" applyBorder="1"/>
    <xf numFmtId="44" fontId="8" fillId="0" borderId="0" xfId="0" applyNumberFormat="1" applyFont="1"/>
    <xf numFmtId="10" fontId="8" fillId="2" borderId="0" xfId="0" applyNumberFormat="1" applyFont="1" applyFill="1"/>
    <xf numFmtId="0" fontId="8" fillId="2" borderId="0" xfId="0" applyFont="1" applyFill="1"/>
    <xf numFmtId="43" fontId="8" fillId="0" borderId="7" xfId="515" applyNumberFormat="1" applyFont="1" applyFill="1" applyBorder="1" applyAlignment="1">
      <alignment horizontal="center"/>
    </xf>
    <xf numFmtId="171" fontId="8" fillId="0" borderId="7" xfId="514" applyNumberFormat="1" applyFont="1" applyFill="1" applyBorder="1" applyAlignment="1"/>
    <xf numFmtId="171" fontId="8" fillId="0" borderId="0" xfId="514" applyNumberFormat="1" applyFont="1" applyFill="1" applyBorder="1" applyAlignment="1"/>
    <xf numFmtId="44" fontId="10" fillId="0" borderId="0" xfId="513" applyFont="1" applyFill="1" applyBorder="1" applyAlignment="1">
      <alignment horizontal="right"/>
    </xf>
    <xf numFmtId="0" fontId="24" fillId="0" borderId="0" xfId="0" applyFont="1" applyAlignment="1">
      <alignment horizontal="left"/>
    </xf>
    <xf numFmtId="1" fontId="10" fillId="0" borderId="0" xfId="513" applyNumberFormat="1" applyFont="1" applyFill="1" applyBorder="1" applyAlignment="1">
      <alignment horizontal="right"/>
    </xf>
    <xf numFmtId="167" fontId="8" fillId="0" borderId="0" xfId="514" applyNumberFormat="1" applyFont="1" applyFill="1"/>
    <xf numFmtId="42" fontId="8" fillId="2" borderId="0" xfId="0" applyNumberFormat="1" applyFont="1" applyFill="1" applyAlignment="1">
      <alignment horizontal="right"/>
    </xf>
    <xf numFmtId="42" fontId="8" fillId="2" borderId="0" xfId="513" applyNumberFormat="1" applyFont="1" applyFill="1" applyAlignment="1">
      <alignment horizontal="right"/>
    </xf>
    <xf numFmtId="43" fontId="23" fillId="0" borderId="7" xfId="514" applyFont="1" applyFill="1" applyBorder="1" applyAlignment="1"/>
    <xf numFmtId="43" fontId="23" fillId="0" borderId="0" xfId="514" applyFont="1" applyFill="1" applyBorder="1" applyAlignment="1"/>
    <xf numFmtId="10" fontId="23" fillId="0" borderId="0" xfId="515" applyNumberFormat="1" applyFont="1" applyFill="1" applyBorder="1" applyAlignment="1">
      <alignment horizontal="right"/>
    </xf>
    <xf numFmtId="4" fontId="8" fillId="0" borderId="0" xfId="0" applyNumberFormat="1" applyFont="1" applyAlignment="1">
      <alignment horizontal="right"/>
    </xf>
    <xf numFmtId="168" fontId="8" fillId="2" borderId="0" xfId="0" applyNumberFormat="1" applyFont="1" applyFill="1" applyAlignment="1">
      <alignment horizontal="right"/>
    </xf>
    <xf numFmtId="0" fontId="10" fillId="0" borderId="11" xfId="0" applyFont="1" applyBorder="1" applyAlignment="1">
      <alignment horizontal="right"/>
    </xf>
    <xf numFmtId="0" fontId="10" fillId="0" borderId="2" xfId="0" applyFont="1" applyBorder="1" applyAlignment="1">
      <alignment horizontal="right"/>
    </xf>
    <xf numFmtId="0" fontId="8" fillId="0" borderId="2" xfId="0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17" fillId="0" borderId="0" xfId="0" applyFont="1" applyAlignment="1">
      <alignment horizontal="left" vertical="center"/>
    </xf>
    <xf numFmtId="164" fontId="17" fillId="0" borderId="0" xfId="0" applyNumberFormat="1" applyFont="1" applyAlignment="1">
      <alignment horizontal="left" vertical="center"/>
    </xf>
    <xf numFmtId="165" fontId="25" fillId="0" borderId="2" xfId="513" applyNumberFormat="1" applyFont="1" applyFill="1" applyBorder="1" applyAlignment="1">
      <alignment horizontal="right"/>
    </xf>
    <xf numFmtId="3" fontId="8" fillId="0" borderId="2" xfId="0" applyNumberFormat="1" applyFont="1" applyBorder="1" applyAlignment="1">
      <alignment horizontal="right"/>
    </xf>
    <xf numFmtId="167" fontId="8" fillId="0" borderId="0" xfId="514" applyNumberFormat="1" applyFont="1" applyFill="1" applyAlignment="1">
      <alignment horizontal="left" vertical="center"/>
    </xf>
    <xf numFmtId="43" fontId="8" fillId="2" borderId="0" xfId="514" applyFont="1" applyFill="1" applyAlignment="1">
      <alignment horizontal="right"/>
    </xf>
    <xf numFmtId="168" fontId="9" fillId="2" borderId="0" xfId="0" applyNumberFormat="1" applyFont="1" applyFill="1" applyAlignment="1">
      <alignment horizontal="right"/>
    </xf>
    <xf numFmtId="43" fontId="17" fillId="0" borderId="0" xfId="514" applyFont="1" applyFill="1" applyAlignment="1">
      <alignment horizontal="left" vertical="center"/>
    </xf>
    <xf numFmtId="165" fontId="8" fillId="0" borderId="0" xfId="513" applyNumberFormat="1" applyFont="1" applyFill="1" applyAlignment="1">
      <alignment horizontal="left" vertical="center"/>
    </xf>
    <xf numFmtId="44" fontId="8" fillId="2" borderId="0" xfId="0" applyNumberFormat="1" applyFont="1" applyFill="1" applyAlignment="1">
      <alignment horizontal="right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49" fontId="30" fillId="0" borderId="0" xfId="0" quotePrefix="1" applyNumberFormat="1" applyFont="1" applyAlignment="1">
      <alignment horizontal="left" vertical="center"/>
    </xf>
    <xf numFmtId="0" fontId="8" fillId="0" borderId="0" xfId="0" applyFont="1" applyFill="1"/>
    <xf numFmtId="0" fontId="6" fillId="0" borderId="0" xfId="0" applyFont="1" applyBorder="1"/>
    <xf numFmtId="0" fontId="8" fillId="0" borderId="0" xfId="0" applyFont="1" applyBorder="1"/>
    <xf numFmtId="165" fontId="6" fillId="0" borderId="0" xfId="513" applyNumberFormat="1" applyFont="1" applyFill="1" applyBorder="1"/>
    <xf numFmtId="0" fontId="10" fillId="0" borderId="0" xfId="0" applyFont="1" applyBorder="1" applyAlignment="1">
      <alignment horizontal="center"/>
    </xf>
    <xf numFmtId="0" fontId="18" fillId="0" borderId="15" xfId="0" applyFont="1" applyBorder="1"/>
    <xf numFmtId="0" fontId="17" fillId="0" borderId="0" xfId="0" applyFont="1" applyBorder="1"/>
    <xf numFmtId="0" fontId="15" fillId="0" borderId="0" xfId="0" applyFont="1" applyBorder="1" applyAlignment="1">
      <alignment horizontal="left"/>
    </xf>
    <xf numFmtId="38" fontId="8" fillId="0" borderId="0" xfId="0" applyNumberFormat="1" applyFont="1" applyBorder="1"/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9" fillId="0" borderId="0" xfId="0" applyFont="1" applyBorder="1"/>
    <xf numFmtId="38" fontId="9" fillId="0" borderId="0" xfId="0" applyNumberFormat="1" applyFont="1" applyBorder="1"/>
    <xf numFmtId="38" fontId="9" fillId="0" borderId="0" xfId="0" applyNumberFormat="1" applyFont="1" applyBorder="1" applyAlignment="1">
      <alignment horizontal="center"/>
    </xf>
    <xf numFmtId="0" fontId="14" fillId="0" borderId="0" xfId="0" applyFont="1" applyBorder="1" applyAlignment="1">
      <alignment horizontal="left"/>
    </xf>
    <xf numFmtId="38" fontId="14" fillId="0" borderId="0" xfId="0" applyNumberFormat="1" applyFont="1" applyBorder="1" applyAlignment="1">
      <alignment horizontal="center"/>
    </xf>
    <xf numFmtId="38" fontId="14" fillId="0" borderId="0" xfId="0" applyNumberFormat="1" applyFont="1" applyBorder="1"/>
    <xf numFmtId="10" fontId="14" fillId="0" borderId="0" xfId="0" applyNumberFormat="1" applyFont="1" applyBorder="1"/>
    <xf numFmtId="10" fontId="9" fillId="0" borderId="0" xfId="0" applyNumberFormat="1" applyFont="1" applyBorder="1"/>
    <xf numFmtId="38" fontId="8" fillId="0" borderId="0" xfId="0" applyNumberFormat="1" applyFont="1" applyBorder="1" applyAlignment="1">
      <alignment horizontal="center"/>
    </xf>
    <xf numFmtId="38" fontId="8" fillId="0" borderId="0" xfId="0" applyNumberFormat="1" applyFont="1" applyBorder="1" applyAlignment="1">
      <alignment horizontal="left"/>
    </xf>
    <xf numFmtId="2" fontId="9" fillId="0" borderId="0" xfId="0" applyNumberFormat="1" applyFont="1" applyBorder="1" applyAlignment="1">
      <alignment horizontal="center"/>
    </xf>
    <xf numFmtId="2" fontId="8" fillId="0" borderId="0" xfId="0" applyNumberFormat="1" applyFont="1" applyBorder="1" applyAlignment="1">
      <alignment horizontal="center"/>
    </xf>
    <xf numFmtId="166" fontId="8" fillId="0" borderId="0" xfId="0" applyNumberFormat="1" applyFont="1" applyBorder="1" applyAlignment="1">
      <alignment horizontal="center"/>
    </xf>
    <xf numFmtId="10" fontId="8" fillId="0" borderId="0" xfId="0" applyNumberFormat="1" applyFont="1" applyBorder="1" applyAlignment="1">
      <alignment horizontal="center"/>
    </xf>
    <xf numFmtId="165" fontId="8" fillId="0" borderId="0" xfId="0" applyNumberFormat="1" applyFont="1" applyBorder="1" applyAlignment="1">
      <alignment horizontal="center"/>
    </xf>
    <xf numFmtId="167" fontId="8" fillId="0" borderId="0" xfId="0" applyNumberFormat="1" applyFont="1" applyBorder="1" applyAlignment="1">
      <alignment horizontal="center"/>
    </xf>
    <xf numFmtId="43" fontId="8" fillId="0" borderId="14" xfId="1256" applyFont="1" applyFill="1" applyBorder="1" applyAlignment="1">
      <alignment horizontal="right"/>
    </xf>
    <xf numFmtId="37" fontId="8" fillId="0" borderId="0" xfId="0" applyNumberFormat="1" applyFont="1" applyBorder="1" applyAlignment="1">
      <alignment horizontal="right"/>
    </xf>
    <xf numFmtId="4" fontId="8" fillId="0" borderId="0" xfId="0" applyNumberFormat="1" applyFont="1" applyBorder="1"/>
    <xf numFmtId="0" fontId="10" fillId="0" borderId="0" xfId="0" applyFont="1" applyBorder="1"/>
    <xf numFmtId="42" fontId="8" fillId="0" borderId="0" xfId="0" applyNumberFormat="1" applyFont="1" applyBorder="1" applyAlignment="1">
      <alignment horizontal="center"/>
    </xf>
    <xf numFmtId="44" fontId="8" fillId="0" borderId="0" xfId="0" applyNumberFormat="1" applyFont="1" applyBorder="1" applyAlignment="1">
      <alignment horizontal="center"/>
    </xf>
    <xf numFmtId="10" fontId="8" fillId="0" borderId="0" xfId="0" applyNumberFormat="1" applyFont="1" applyBorder="1"/>
    <xf numFmtId="40" fontId="8" fillId="0" borderId="0" xfId="0" applyNumberFormat="1" applyFont="1" applyBorder="1"/>
    <xf numFmtId="10" fontId="8" fillId="0" borderId="0" xfId="0" applyNumberFormat="1" applyFont="1" applyBorder="1" applyAlignment="1">
      <alignment horizontal="right"/>
    </xf>
    <xf numFmtId="40" fontId="8" fillId="0" borderId="0" xfId="0" applyNumberFormat="1" applyFont="1"/>
    <xf numFmtId="38" fontId="8" fillId="0" borderId="0" xfId="0" applyNumberFormat="1" applyFont="1"/>
    <xf numFmtId="44" fontId="8" fillId="0" borderId="0" xfId="0" applyNumberFormat="1" applyFont="1" applyAlignment="1">
      <alignment horizontal="center"/>
    </xf>
    <xf numFmtId="42" fontId="8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4" fontId="8" fillId="0" borderId="0" xfId="0" applyNumberFormat="1" applyFont="1"/>
    <xf numFmtId="165" fontId="8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38" fontId="8" fillId="0" borderId="0" xfId="0" applyNumberFormat="1" applyFont="1" applyAlignment="1">
      <alignment horizontal="left"/>
    </xf>
    <xf numFmtId="38" fontId="9" fillId="0" borderId="0" xfId="0" applyNumberFormat="1" applyFont="1"/>
    <xf numFmtId="38" fontId="8" fillId="0" borderId="0" xfId="0" applyNumberFormat="1" applyFont="1" applyAlignment="1">
      <alignment horizontal="center"/>
    </xf>
    <xf numFmtId="10" fontId="9" fillId="0" borderId="0" xfId="0" applyNumberFormat="1" applyFont="1"/>
    <xf numFmtId="38" fontId="9" fillId="0" borderId="0" xfId="0" applyNumberFormat="1" applyFont="1" applyAlignment="1">
      <alignment horizontal="center"/>
    </xf>
    <xf numFmtId="10" fontId="14" fillId="0" borderId="0" xfId="0" applyNumberFormat="1" applyFont="1"/>
    <xf numFmtId="38" fontId="14" fillId="0" borderId="0" xfId="0" applyNumberFormat="1" applyFont="1"/>
    <xf numFmtId="38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38" fontId="8" fillId="3" borderId="0" xfId="0" applyNumberFormat="1" applyFont="1" applyFill="1"/>
    <xf numFmtId="0" fontId="15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10" fontId="8" fillId="0" borderId="9" xfId="0" applyNumberFormat="1" applyFont="1" applyBorder="1"/>
    <xf numFmtId="43" fontId="8" fillId="0" borderId="3" xfId="0" applyNumberFormat="1" applyFont="1" applyBorder="1"/>
    <xf numFmtId="2" fontId="8" fillId="0" borderId="0" xfId="0" applyNumberFormat="1" applyFont="1"/>
    <xf numFmtId="0" fontId="6" fillId="0" borderId="7" xfId="0" applyFont="1" applyBorder="1"/>
    <xf numFmtId="0" fontId="6" fillId="0" borderId="1" xfId="0" applyFont="1" applyBorder="1"/>
    <xf numFmtId="165" fontId="8" fillId="0" borderId="0" xfId="0" applyNumberFormat="1" applyFont="1"/>
    <xf numFmtId="9" fontId="8" fillId="0" borderId="0" xfId="1257" applyFont="1"/>
    <xf numFmtId="0" fontId="8" fillId="0" borderId="11" xfId="0" applyFont="1" applyBorder="1" applyAlignment="1">
      <alignment horizontal="right"/>
    </xf>
    <xf numFmtId="0" fontId="8" fillId="0" borderId="6" xfId="0" applyFont="1" applyBorder="1"/>
    <xf numFmtId="37" fontId="8" fillId="6" borderId="9" xfId="0" applyNumberFormat="1" applyFont="1" applyFill="1" applyBorder="1" applyAlignment="1">
      <alignment horizontal="right"/>
    </xf>
    <xf numFmtId="37" fontId="8" fillId="6" borderId="3" xfId="0" applyNumberFormat="1" applyFont="1" applyFill="1" applyBorder="1" applyAlignment="1">
      <alignment horizontal="right"/>
    </xf>
    <xf numFmtId="10" fontId="8" fillId="6" borderId="7" xfId="0" applyNumberFormat="1" applyFont="1" applyFill="1" applyBorder="1"/>
    <xf numFmtId="10" fontId="8" fillId="6" borderId="0" xfId="0" applyNumberFormat="1" applyFont="1" applyFill="1"/>
    <xf numFmtId="0" fontId="8" fillId="6" borderId="7" xfId="0" applyFont="1" applyFill="1" applyBorder="1"/>
    <xf numFmtId="0" fontId="8" fillId="6" borderId="0" xfId="0" applyFont="1" applyFill="1"/>
    <xf numFmtId="39" fontId="8" fillId="6" borderId="7" xfId="514" applyNumberFormat="1" applyFont="1" applyFill="1" applyBorder="1" applyAlignment="1">
      <alignment horizontal="right"/>
    </xf>
    <xf numFmtId="39" fontId="8" fillId="6" borderId="0" xfId="514" applyNumberFormat="1" applyFont="1" applyFill="1" applyBorder="1" applyAlignment="1">
      <alignment horizontal="right"/>
    </xf>
    <xf numFmtId="10" fontId="8" fillId="3" borderId="0" xfId="0" applyNumberFormat="1" applyFont="1" applyFill="1"/>
    <xf numFmtId="9" fontId="8" fillId="6" borderId="7" xfId="0" applyNumberFormat="1" applyFont="1" applyFill="1" applyBorder="1"/>
    <xf numFmtId="9" fontId="8" fillId="6" borderId="0" xfId="0" applyNumberFormat="1" applyFont="1" applyFill="1"/>
    <xf numFmtId="9" fontId="8" fillId="3" borderId="0" xfId="0" applyNumberFormat="1" applyFont="1" applyFill="1"/>
    <xf numFmtId="44" fontId="8" fillId="6" borderId="7" xfId="0" applyNumberFormat="1" applyFont="1" applyFill="1" applyBorder="1"/>
    <xf numFmtId="44" fontId="8" fillId="6" borderId="0" xfId="0" applyNumberFormat="1" applyFont="1" applyFill="1"/>
    <xf numFmtId="44" fontId="8" fillId="2" borderId="0" xfId="0" applyNumberFormat="1" applyFont="1" applyFill="1"/>
    <xf numFmtId="174" fontId="8" fillId="2" borderId="0" xfId="0" applyNumberFormat="1" applyFont="1" applyFill="1" applyAlignment="1">
      <alignment horizontal="right"/>
    </xf>
    <xf numFmtId="0" fontId="8" fillId="2" borderId="1" xfId="0" applyFont="1" applyFill="1" applyBorder="1"/>
    <xf numFmtId="43" fontId="8" fillId="6" borderId="7" xfId="515" applyNumberFormat="1" applyFont="1" applyFill="1" applyBorder="1" applyAlignment="1">
      <alignment horizontal="center"/>
    </xf>
    <xf numFmtId="43" fontId="8" fillId="6" borderId="0" xfId="515" applyNumberFormat="1" applyFont="1" applyFill="1" applyBorder="1" applyAlignment="1">
      <alignment horizontal="center"/>
    </xf>
    <xf numFmtId="171" fontId="8" fillId="6" borderId="7" xfId="514" applyNumberFormat="1" applyFont="1" applyFill="1" applyBorder="1" applyAlignment="1"/>
    <xf numFmtId="171" fontId="8" fillId="6" borderId="0" xfId="514" applyNumberFormat="1" applyFont="1" applyFill="1" applyBorder="1" applyAlignment="1"/>
    <xf numFmtId="10" fontId="8" fillId="6" borderId="7" xfId="1257" applyNumberFormat="1" applyFont="1" applyFill="1" applyBorder="1" applyAlignment="1"/>
    <xf numFmtId="10" fontId="8" fillId="6" borderId="0" xfId="1257" applyNumberFormat="1" applyFont="1" applyFill="1" applyBorder="1" applyAlignment="1"/>
    <xf numFmtId="10" fontId="8" fillId="3" borderId="0" xfId="1257" applyNumberFormat="1" applyFont="1" applyFill="1" applyBorder="1" applyAlignment="1"/>
    <xf numFmtId="10" fontId="8" fillId="7" borderId="0" xfId="1257" applyNumberFormat="1" applyFont="1" applyFill="1" applyBorder="1" applyAlignment="1"/>
    <xf numFmtId="10" fontId="8" fillId="7" borderId="0" xfId="515" applyNumberFormat="1" applyFont="1" applyFill="1" applyBorder="1" applyAlignment="1">
      <alignment horizontal="right"/>
    </xf>
    <xf numFmtId="0" fontId="8" fillId="7" borderId="0" xfId="0" applyFont="1" applyFill="1"/>
    <xf numFmtId="0" fontId="8" fillId="7" borderId="1" xfId="0" applyFont="1" applyFill="1" applyBorder="1"/>
    <xf numFmtId="43" fontId="23" fillId="6" borderId="7" xfId="514" applyFont="1" applyFill="1" applyBorder="1" applyAlignment="1"/>
    <xf numFmtId="43" fontId="23" fillId="6" borderId="0" xfId="514" applyFont="1" applyFill="1" applyBorder="1" applyAlignment="1"/>
    <xf numFmtId="0" fontId="10" fillId="6" borderId="11" xfId="0" applyFont="1" applyFill="1" applyBorder="1" applyAlignment="1">
      <alignment horizontal="right"/>
    </xf>
    <xf numFmtId="0" fontId="10" fillId="6" borderId="2" xfId="0" applyFont="1" applyFill="1" applyBorder="1" applyAlignment="1">
      <alignment horizontal="right"/>
    </xf>
    <xf numFmtId="37" fontId="8" fillId="0" borderId="0" xfId="0" applyNumberFormat="1" applyFont="1"/>
    <xf numFmtId="167" fontId="8" fillId="0" borderId="4" xfId="1256" applyNumberFormat="1" applyFont="1" applyBorder="1" applyAlignment="1">
      <alignment horizontal="right"/>
    </xf>
    <xf numFmtId="43" fontId="6" fillId="3" borderId="0" xfId="1256" applyFont="1" applyFill="1"/>
    <xf numFmtId="3" fontId="6" fillId="0" borderId="0" xfId="0" applyNumberFormat="1" applyFont="1"/>
    <xf numFmtId="43" fontId="8" fillId="3" borderId="0" xfId="1256" applyFont="1" applyFill="1"/>
    <xf numFmtId="165" fontId="8" fillId="3" borderId="0" xfId="0" applyNumberFormat="1" applyFont="1" applyFill="1" applyAlignment="1">
      <alignment horizontal="center"/>
    </xf>
    <xf numFmtId="38" fontId="9" fillId="3" borderId="0" xfId="0" applyNumberFormat="1" applyFont="1" applyFill="1"/>
    <xf numFmtId="9" fontId="8" fillId="3" borderId="7" xfId="0" applyNumberFormat="1" applyFont="1" applyFill="1" applyBorder="1"/>
    <xf numFmtId="44" fontId="8" fillId="2" borderId="7" xfId="0" applyNumberFormat="1" applyFont="1" applyFill="1" applyBorder="1"/>
    <xf numFmtId="10" fontId="8" fillId="3" borderId="7" xfId="1257" applyNumberFormat="1" applyFont="1" applyFill="1" applyBorder="1" applyAlignment="1"/>
    <xf numFmtId="0" fontId="32" fillId="0" borderId="0" xfId="0" applyFont="1"/>
    <xf numFmtId="0" fontId="33" fillId="0" borderId="0" xfId="0" applyFont="1"/>
    <xf numFmtId="43" fontId="33" fillId="0" borderId="0" xfId="1256" applyFont="1"/>
    <xf numFmtId="49" fontId="33" fillId="0" borderId="0" xfId="0" applyNumberFormat="1" applyFont="1"/>
    <xf numFmtId="9" fontId="33" fillId="6" borderId="0" xfId="0" applyNumberFormat="1" applyFont="1" applyFill="1"/>
    <xf numFmtId="0" fontId="33" fillId="6" borderId="0" xfId="0" applyFont="1" applyFill="1"/>
    <xf numFmtId="9" fontId="32" fillId="6" borderId="0" xfId="1256" applyNumberFormat="1" applyFont="1" applyFill="1"/>
    <xf numFmtId="0" fontId="32" fillId="6" borderId="0" xfId="0" applyFont="1" applyFill="1"/>
    <xf numFmtId="9" fontId="32" fillId="6" borderId="0" xfId="0" applyNumberFormat="1" applyFont="1" applyFill="1"/>
    <xf numFmtId="49" fontId="32" fillId="6" borderId="0" xfId="0" applyNumberFormat="1" applyFont="1" applyFill="1" applyAlignment="1">
      <alignment horizontal="right"/>
    </xf>
    <xf numFmtId="167" fontId="33" fillId="0" borderId="0" xfId="1256" applyNumberFormat="1" applyFont="1"/>
    <xf numFmtId="167" fontId="33" fillId="5" borderId="0" xfId="1256" applyNumberFormat="1" applyFont="1" applyFill="1"/>
    <xf numFmtId="0" fontId="32" fillId="5" borderId="0" xfId="0" applyFont="1" applyFill="1"/>
    <xf numFmtId="167" fontId="33" fillId="0" borderId="3" xfId="1256" applyNumberFormat="1" applyFont="1" applyBorder="1"/>
    <xf numFmtId="167" fontId="33" fillId="0" borderId="0" xfId="0" applyNumberFormat="1" applyFont="1"/>
    <xf numFmtId="167" fontId="33" fillId="0" borderId="0" xfId="1256" applyNumberFormat="1" applyFont="1" applyBorder="1"/>
    <xf numFmtId="10" fontId="33" fillId="0" borderId="0" xfId="1256" applyNumberFormat="1" applyFont="1"/>
    <xf numFmtId="10" fontId="33" fillId="0" borderId="0" xfId="0" applyNumberFormat="1" applyFont="1"/>
    <xf numFmtId="0" fontId="33" fillId="4" borderId="0" xfId="0" applyFont="1" applyFill="1"/>
    <xf numFmtId="10" fontId="33" fillId="4" borderId="0" xfId="1256" applyNumberFormat="1" applyFont="1" applyFill="1"/>
    <xf numFmtId="10" fontId="33" fillId="4" borderId="0" xfId="0" applyNumberFormat="1" applyFont="1" applyFill="1"/>
    <xf numFmtId="9" fontId="33" fillId="0" borderId="0" xfId="1256" applyNumberFormat="1" applyFont="1"/>
    <xf numFmtId="9" fontId="33" fillId="0" borderId="0" xfId="0" applyNumberFormat="1" applyFont="1"/>
    <xf numFmtId="0" fontId="34" fillId="0" borderId="0" xfId="0" applyFont="1"/>
    <xf numFmtId="43" fontId="34" fillId="0" borderId="0" xfId="1256" applyFont="1"/>
    <xf numFmtId="0" fontId="34" fillId="0" borderId="0" xfId="0" applyFont="1" applyAlignment="1">
      <alignment wrapText="1"/>
    </xf>
    <xf numFmtId="0" fontId="9" fillId="0" borderId="0" xfId="0" applyFont="1" applyFill="1"/>
    <xf numFmtId="167" fontId="9" fillId="0" borderId="0" xfId="514" applyNumberFormat="1" applyFont="1" applyFill="1"/>
    <xf numFmtId="38" fontId="8" fillId="0" borderId="0" xfId="0" applyNumberFormat="1" applyFont="1" applyFill="1" applyBorder="1"/>
    <xf numFmtId="0" fontId="24" fillId="0" borderId="0" xfId="0" applyFont="1" applyFill="1" applyAlignment="1">
      <alignment horizontal="left"/>
    </xf>
    <xf numFmtId="0" fontId="2" fillId="0" borderId="0" xfId="1" applyAlignment="1"/>
    <xf numFmtId="0" fontId="34" fillId="0" borderId="0" xfId="0" applyFont="1" applyAlignment="1">
      <alignment horizontal="left" vertical="top" wrapText="1"/>
    </xf>
    <xf numFmtId="0" fontId="34" fillId="0" borderId="0" xfId="0" applyFont="1" applyAlignment="1">
      <alignment horizontal="left" wrapText="1"/>
    </xf>
  </cellXfs>
  <cellStyles count="1533">
    <cellStyle name="Comma" xfId="1256" builtinId="3"/>
    <cellStyle name="Comma 2" xfId="514" xr:uid="{00000000-0005-0000-0000-000001000000}"/>
    <cellStyle name="Comma 3" xfId="1532" xr:uid="{B271D4BF-E08D-9144-BB00-9D4977C899A5}"/>
    <cellStyle name="Currency 2" xfId="513" xr:uid="{00000000-0005-0000-0000-000003000000}"/>
    <cellStyle name="Followed Hyperlink" xfId="4" builtinId="9" hidden="1"/>
    <cellStyle name="Followed Hyperlink" xfId="6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8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30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2" builtinId="9" hidden="1"/>
    <cellStyle name="Followed Hyperlink" xfId="43" builtinId="9" hidden="1"/>
    <cellStyle name="Followed Hyperlink" xfId="45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3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9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1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3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1" builtinId="9" hidden="1"/>
    <cellStyle name="Followed Hyperlink" xfId="1013" builtinId="9" hidden="1"/>
    <cellStyle name="Followed Hyperlink" xfId="1015" builtinId="9" hidden="1"/>
    <cellStyle name="Followed Hyperlink" xfId="1017" builtinId="9" hidden="1"/>
    <cellStyle name="Followed Hyperlink" xfId="1019" builtinId="9" hidden="1"/>
    <cellStyle name="Followed Hyperlink" xfId="1021" builtinId="9" hidden="1"/>
    <cellStyle name="Followed Hyperlink" xfId="1023" builtinId="9" hidden="1"/>
    <cellStyle name="Followed Hyperlink" xfId="1025" builtinId="9" hidden="1"/>
    <cellStyle name="Followed Hyperlink" xfId="1027" builtinId="9" hidden="1"/>
    <cellStyle name="Followed Hyperlink" xfId="1029" builtinId="9" hidden="1"/>
    <cellStyle name="Followed Hyperlink" xfId="1031" builtinId="9" hidden="1"/>
    <cellStyle name="Followed Hyperlink" xfId="1033" builtinId="9" hidden="1"/>
    <cellStyle name="Followed Hyperlink" xfId="1035" builtinId="9" hidden="1"/>
    <cellStyle name="Followed Hyperlink" xfId="1037" builtinId="9" hidden="1"/>
    <cellStyle name="Followed Hyperlink" xfId="1039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57" builtinId="9" hidden="1"/>
    <cellStyle name="Followed Hyperlink" xfId="1059" builtinId="9" hidden="1"/>
    <cellStyle name="Followed Hyperlink" xfId="1061" builtinId="9" hidden="1"/>
    <cellStyle name="Followed Hyperlink" xfId="1063" builtinId="9" hidden="1"/>
    <cellStyle name="Followed Hyperlink" xfId="1065" builtinId="9" hidden="1"/>
    <cellStyle name="Followed Hyperlink" xfId="1067" builtinId="9" hidden="1"/>
    <cellStyle name="Followed Hyperlink" xfId="1069" builtinId="9" hidden="1"/>
    <cellStyle name="Followed Hyperlink" xfId="1071" builtinId="9" hidden="1"/>
    <cellStyle name="Followed Hyperlink" xfId="1073" builtinId="9" hidden="1"/>
    <cellStyle name="Followed Hyperlink" xfId="1075" builtinId="9" hidden="1"/>
    <cellStyle name="Followed Hyperlink" xfId="1077" builtinId="9" hidden="1"/>
    <cellStyle name="Followed Hyperlink" xfId="1079" builtinId="9" hidden="1"/>
    <cellStyle name="Followed Hyperlink" xfId="1081" builtinId="9" hidden="1"/>
    <cellStyle name="Followed Hyperlink" xfId="1083" builtinId="9" hidden="1"/>
    <cellStyle name="Followed Hyperlink" xfId="1085" builtinId="9" hidden="1"/>
    <cellStyle name="Followed Hyperlink" xfId="1087" builtinId="9" hidden="1"/>
    <cellStyle name="Followed Hyperlink" xfId="1089" builtinId="9" hidden="1"/>
    <cellStyle name="Followed Hyperlink" xfId="1091" builtinId="9" hidden="1"/>
    <cellStyle name="Followed Hyperlink" xfId="1093" builtinId="9" hidden="1"/>
    <cellStyle name="Followed Hyperlink" xfId="1095" builtinId="9" hidden="1"/>
    <cellStyle name="Followed Hyperlink" xfId="1097" builtinId="9" hidden="1"/>
    <cellStyle name="Followed Hyperlink" xfId="1099" builtinId="9" hidden="1"/>
    <cellStyle name="Followed Hyperlink" xfId="1101" builtinId="9" hidden="1"/>
    <cellStyle name="Followed Hyperlink" xfId="1103" builtinId="9" hidden="1"/>
    <cellStyle name="Followed Hyperlink" xfId="1105" builtinId="9" hidden="1"/>
    <cellStyle name="Followed Hyperlink" xfId="1107" builtinId="9" hidden="1"/>
    <cellStyle name="Followed Hyperlink" xfId="1109" builtinId="9" hidden="1"/>
    <cellStyle name="Followed Hyperlink" xfId="1111" builtinId="9" hidden="1"/>
    <cellStyle name="Followed Hyperlink" xfId="1113" builtinId="9" hidden="1"/>
    <cellStyle name="Followed Hyperlink" xfId="1115" builtinId="9" hidden="1"/>
    <cellStyle name="Followed Hyperlink" xfId="1117" builtinId="9" hidden="1"/>
    <cellStyle name="Followed Hyperlink" xfId="1119" builtinId="9" hidden="1"/>
    <cellStyle name="Followed Hyperlink" xfId="1121" builtinId="9" hidden="1"/>
    <cellStyle name="Followed Hyperlink" xfId="1123" builtinId="9" hidden="1"/>
    <cellStyle name="Followed Hyperlink" xfId="1125" builtinId="9" hidden="1"/>
    <cellStyle name="Followed Hyperlink" xfId="1127" builtinId="9" hidden="1"/>
    <cellStyle name="Followed Hyperlink" xfId="1129" builtinId="9" hidden="1"/>
    <cellStyle name="Followed Hyperlink" xfId="1131" builtinId="9" hidden="1"/>
    <cellStyle name="Followed Hyperlink" xfId="1133" builtinId="9" hidden="1"/>
    <cellStyle name="Followed Hyperlink" xfId="1135" builtinId="9" hidden="1"/>
    <cellStyle name="Followed Hyperlink" xfId="1137" builtinId="9" hidden="1"/>
    <cellStyle name="Followed Hyperlink" xfId="1139" builtinId="9" hidden="1"/>
    <cellStyle name="Followed Hyperlink" xfId="1141" builtinId="9" hidden="1"/>
    <cellStyle name="Followed Hyperlink" xfId="1143" builtinId="9" hidden="1"/>
    <cellStyle name="Followed Hyperlink" xfId="1145" builtinId="9" hidden="1"/>
    <cellStyle name="Followed Hyperlink" xfId="1147" builtinId="9" hidden="1"/>
    <cellStyle name="Followed Hyperlink" xfId="1149" builtinId="9" hidden="1"/>
    <cellStyle name="Followed Hyperlink" xfId="1151" builtinId="9" hidden="1"/>
    <cellStyle name="Followed Hyperlink" xfId="1153" builtinId="9" hidden="1"/>
    <cellStyle name="Followed Hyperlink" xfId="1155" builtinId="9" hidden="1"/>
    <cellStyle name="Followed Hyperlink" xfId="1157" builtinId="9" hidden="1"/>
    <cellStyle name="Followed Hyperlink" xfId="1159" builtinId="9" hidden="1"/>
    <cellStyle name="Followed Hyperlink" xfId="1161" builtinId="9" hidden="1"/>
    <cellStyle name="Followed Hyperlink" xfId="1163" builtinId="9" hidden="1"/>
    <cellStyle name="Followed Hyperlink" xfId="1165" builtinId="9" hidden="1"/>
    <cellStyle name="Followed Hyperlink" xfId="1167" builtinId="9" hidden="1"/>
    <cellStyle name="Followed Hyperlink" xfId="1169" builtinId="9" hidden="1"/>
    <cellStyle name="Followed Hyperlink" xfId="1171" builtinId="9" hidden="1"/>
    <cellStyle name="Followed Hyperlink" xfId="1173" builtinId="9" hidden="1"/>
    <cellStyle name="Followed Hyperlink" xfId="1175" builtinId="9" hidden="1"/>
    <cellStyle name="Followed Hyperlink" xfId="1177" builtinId="9" hidden="1"/>
    <cellStyle name="Followed Hyperlink" xfId="1179" builtinId="9" hidden="1"/>
    <cellStyle name="Followed Hyperlink" xfId="1181" builtinId="9" hidden="1"/>
    <cellStyle name="Followed Hyperlink" xfId="1183" builtinId="9" hidden="1"/>
    <cellStyle name="Followed Hyperlink" xfId="1185" builtinId="9" hidden="1"/>
    <cellStyle name="Followed Hyperlink" xfId="1187" builtinId="9" hidden="1"/>
    <cellStyle name="Followed Hyperlink" xfId="1189" builtinId="9" hidden="1"/>
    <cellStyle name="Followed Hyperlink" xfId="1191" builtinId="9" hidden="1"/>
    <cellStyle name="Followed Hyperlink" xfId="1193" builtinId="9" hidden="1"/>
    <cellStyle name="Followed Hyperlink" xfId="1195" builtinId="9" hidden="1"/>
    <cellStyle name="Followed Hyperlink" xfId="1197" builtinId="9" hidden="1"/>
    <cellStyle name="Followed Hyperlink" xfId="1199" builtinId="9" hidden="1"/>
    <cellStyle name="Followed Hyperlink" xfId="1201" builtinId="9" hidden="1"/>
    <cellStyle name="Followed Hyperlink" xfId="1203" builtinId="9" hidden="1"/>
    <cellStyle name="Followed Hyperlink" xfId="1205" builtinId="9" hidden="1"/>
    <cellStyle name="Followed Hyperlink" xfId="1207" builtinId="9" hidden="1"/>
    <cellStyle name="Followed Hyperlink" xfId="1209" builtinId="9" hidden="1"/>
    <cellStyle name="Followed Hyperlink" xfId="1211" builtinId="9" hidden="1"/>
    <cellStyle name="Followed Hyperlink" xfId="1213" builtinId="9" hidden="1"/>
    <cellStyle name="Followed Hyperlink" xfId="1215" builtinId="9" hidden="1"/>
    <cellStyle name="Followed Hyperlink" xfId="1217" builtinId="9" hidden="1"/>
    <cellStyle name="Followed Hyperlink" xfId="1219" builtinId="9" hidden="1"/>
    <cellStyle name="Followed Hyperlink" xfId="1221" builtinId="9" hidden="1"/>
    <cellStyle name="Followed Hyperlink" xfId="1223" builtinId="9" hidden="1"/>
    <cellStyle name="Followed Hyperlink" xfId="1225" builtinId="9" hidden="1"/>
    <cellStyle name="Followed Hyperlink" xfId="1227" builtinId="9" hidden="1"/>
    <cellStyle name="Followed Hyperlink" xfId="1229" builtinId="9" hidden="1"/>
    <cellStyle name="Followed Hyperlink" xfId="1231" builtinId="9" hidden="1"/>
    <cellStyle name="Followed Hyperlink" xfId="1233" builtinId="9" hidden="1"/>
    <cellStyle name="Followed Hyperlink" xfId="1235" builtinId="9" hidden="1"/>
    <cellStyle name="Followed Hyperlink" xfId="1237" builtinId="9" hidden="1"/>
    <cellStyle name="Followed Hyperlink" xfId="1239" builtinId="9" hidden="1"/>
    <cellStyle name="Followed Hyperlink" xfId="1241" builtinId="9" hidden="1"/>
    <cellStyle name="Followed Hyperlink" xfId="1243" builtinId="9" hidden="1"/>
    <cellStyle name="Followed Hyperlink" xfId="1245" builtinId="9" hidden="1"/>
    <cellStyle name="Followed Hyperlink" xfId="1247" builtinId="9" hidden="1"/>
    <cellStyle name="Followed Hyperlink" xfId="1249" builtinId="9" hidden="1"/>
    <cellStyle name="Followed Hyperlink" xfId="1251" builtinId="9" hidden="1"/>
    <cellStyle name="Followed Hyperlink" xfId="1253" builtinId="9" hidden="1"/>
    <cellStyle name="Followed Hyperlink" xfId="1255" builtinId="9" hidden="1"/>
    <cellStyle name="Followed Hyperlink" xfId="1259" builtinId="9" hidden="1"/>
    <cellStyle name="Followed Hyperlink" xfId="1261" builtinId="9" hidden="1"/>
    <cellStyle name="Followed Hyperlink" xfId="1263" builtinId="9" hidden="1"/>
    <cellStyle name="Followed Hyperlink" xfId="1265" builtinId="9" hidden="1"/>
    <cellStyle name="Followed Hyperlink" xfId="1267" builtinId="9" hidden="1"/>
    <cellStyle name="Followed Hyperlink" xfId="1269" builtinId="9" hidden="1"/>
    <cellStyle name="Followed Hyperlink" xfId="1271" builtinId="9" hidden="1"/>
    <cellStyle name="Followed Hyperlink" xfId="1273" builtinId="9" hidden="1"/>
    <cellStyle name="Followed Hyperlink" xfId="1275" builtinId="9" hidden="1"/>
    <cellStyle name="Followed Hyperlink" xfId="1277" builtinId="9" hidden="1"/>
    <cellStyle name="Followed Hyperlink" xfId="1279" builtinId="9" hidden="1"/>
    <cellStyle name="Followed Hyperlink" xfId="1281" builtinId="9" hidden="1"/>
    <cellStyle name="Followed Hyperlink" xfId="1283" builtinId="9" hidden="1"/>
    <cellStyle name="Followed Hyperlink" xfId="1285" builtinId="9" hidden="1"/>
    <cellStyle name="Followed Hyperlink" xfId="1287" builtinId="9" hidden="1"/>
    <cellStyle name="Followed Hyperlink" xfId="1289" builtinId="9" hidden="1"/>
    <cellStyle name="Followed Hyperlink" xfId="1291" builtinId="9" hidden="1"/>
    <cellStyle name="Followed Hyperlink" xfId="1293" builtinId="9" hidden="1"/>
    <cellStyle name="Followed Hyperlink" xfId="1295" builtinId="9" hidden="1"/>
    <cellStyle name="Followed Hyperlink" xfId="1297" builtinId="9" hidden="1"/>
    <cellStyle name="Followed Hyperlink" xfId="1299" builtinId="9" hidden="1"/>
    <cellStyle name="Followed Hyperlink" xfId="1301" builtinId="9" hidden="1"/>
    <cellStyle name="Followed Hyperlink" xfId="1303" builtinId="9" hidden="1"/>
    <cellStyle name="Followed Hyperlink" xfId="1305" builtinId="9" hidden="1"/>
    <cellStyle name="Followed Hyperlink" xfId="1307" builtinId="9" hidden="1"/>
    <cellStyle name="Followed Hyperlink" xfId="1309" builtinId="9" hidden="1"/>
    <cellStyle name="Followed Hyperlink" xfId="1311" builtinId="9" hidden="1"/>
    <cellStyle name="Followed Hyperlink" xfId="1313" builtinId="9" hidden="1"/>
    <cellStyle name="Followed Hyperlink" xfId="1315" builtinId="9" hidden="1"/>
    <cellStyle name="Followed Hyperlink" xfId="1317" builtinId="9" hidden="1"/>
    <cellStyle name="Followed Hyperlink" xfId="1319" builtinId="9" hidden="1"/>
    <cellStyle name="Followed Hyperlink" xfId="1321" builtinId="9" hidden="1"/>
    <cellStyle name="Followed Hyperlink" xfId="1323" builtinId="9" hidden="1"/>
    <cellStyle name="Followed Hyperlink" xfId="1325" builtinId="9" hidden="1"/>
    <cellStyle name="Followed Hyperlink" xfId="1327" builtinId="9" hidden="1"/>
    <cellStyle name="Followed Hyperlink" xfId="1329" builtinId="9" hidden="1"/>
    <cellStyle name="Followed Hyperlink" xfId="1331" builtinId="9" hidden="1"/>
    <cellStyle name="Followed Hyperlink" xfId="1333" builtinId="9" hidden="1"/>
    <cellStyle name="Followed Hyperlink" xfId="1335" builtinId="9" hidden="1"/>
    <cellStyle name="Followed Hyperlink" xfId="1337" builtinId="9" hidden="1"/>
    <cellStyle name="Followed Hyperlink" xfId="1339" builtinId="9" hidden="1"/>
    <cellStyle name="Followed Hyperlink" xfId="1341" builtinId="9" hidden="1"/>
    <cellStyle name="Followed Hyperlink" xfId="1343" builtinId="9" hidden="1"/>
    <cellStyle name="Followed Hyperlink" xfId="1345" builtinId="9" hidden="1"/>
    <cellStyle name="Followed Hyperlink" xfId="1347" builtinId="9" hidden="1"/>
    <cellStyle name="Followed Hyperlink" xfId="1349" builtinId="9" hidden="1"/>
    <cellStyle name="Followed Hyperlink" xfId="1351" builtinId="9" hidden="1"/>
    <cellStyle name="Followed Hyperlink" xfId="1353" builtinId="9" hidden="1"/>
    <cellStyle name="Followed Hyperlink" xfId="1355" builtinId="9" hidden="1"/>
    <cellStyle name="Followed Hyperlink" xfId="1357" builtinId="9" hidden="1"/>
    <cellStyle name="Followed Hyperlink" xfId="1359" builtinId="9" hidden="1"/>
    <cellStyle name="Followed Hyperlink" xfId="1361" builtinId="9" hidden="1"/>
    <cellStyle name="Followed Hyperlink" xfId="1363" builtinId="9" hidden="1"/>
    <cellStyle name="Followed Hyperlink" xfId="1365" builtinId="9" hidden="1"/>
    <cellStyle name="Followed Hyperlink" xfId="1367" builtinId="9" hidden="1"/>
    <cellStyle name="Followed Hyperlink" xfId="1369" builtinId="9" hidden="1"/>
    <cellStyle name="Followed Hyperlink" xfId="1371" builtinId="9" hidden="1"/>
    <cellStyle name="Followed Hyperlink" xfId="1373" builtinId="9" hidden="1"/>
    <cellStyle name="Followed Hyperlink" xfId="1375" builtinId="9" hidden="1"/>
    <cellStyle name="Followed Hyperlink" xfId="1377" builtinId="9" hidden="1"/>
    <cellStyle name="Followed Hyperlink" xfId="1379" builtinId="9" hidden="1"/>
    <cellStyle name="Followed Hyperlink" xfId="1381" builtinId="9" hidden="1"/>
    <cellStyle name="Followed Hyperlink" xfId="1383" builtinId="9" hidden="1"/>
    <cellStyle name="Followed Hyperlink" xfId="1385" builtinId="9" hidden="1"/>
    <cellStyle name="Followed Hyperlink" xfId="1387" builtinId="9" hidden="1"/>
    <cellStyle name="Followed Hyperlink" xfId="1389" builtinId="9" hidden="1"/>
    <cellStyle name="Followed Hyperlink" xfId="1391" builtinId="9" hidden="1"/>
    <cellStyle name="Followed Hyperlink" xfId="1393" builtinId="9" hidden="1"/>
    <cellStyle name="Followed Hyperlink" xfId="1395" builtinId="9" hidden="1"/>
    <cellStyle name="Followed Hyperlink" xfId="1397" builtinId="9" hidden="1"/>
    <cellStyle name="Followed Hyperlink" xfId="1399" builtinId="9" hidden="1"/>
    <cellStyle name="Followed Hyperlink" xfId="1401" builtinId="9" hidden="1"/>
    <cellStyle name="Followed Hyperlink" xfId="1403" builtinId="9" hidden="1"/>
    <cellStyle name="Followed Hyperlink" xfId="1405" builtinId="9" hidden="1"/>
    <cellStyle name="Followed Hyperlink" xfId="1407" builtinId="9" hidden="1"/>
    <cellStyle name="Followed Hyperlink" xfId="1409" builtinId="9" hidden="1"/>
    <cellStyle name="Followed Hyperlink" xfId="1411" builtinId="9" hidden="1"/>
    <cellStyle name="Followed Hyperlink" xfId="1413" builtinId="9" hidden="1"/>
    <cellStyle name="Followed Hyperlink" xfId="1415" builtinId="9" hidden="1"/>
    <cellStyle name="Followed Hyperlink" xfId="1417" builtinId="9" hidden="1"/>
    <cellStyle name="Followed Hyperlink" xfId="1419" builtinId="9" hidden="1"/>
    <cellStyle name="Followed Hyperlink" xfId="1421" builtinId="9" hidden="1"/>
    <cellStyle name="Followed Hyperlink" xfId="1423" builtinId="9" hidden="1"/>
    <cellStyle name="Followed Hyperlink" xfId="1425" builtinId="9" hidden="1"/>
    <cellStyle name="Followed Hyperlink" xfId="1427" builtinId="9" hidden="1"/>
    <cellStyle name="Followed Hyperlink" xfId="1429" builtinId="9" hidden="1"/>
    <cellStyle name="Followed Hyperlink" xfId="1431" builtinId="9" hidden="1"/>
    <cellStyle name="Followed Hyperlink" xfId="1433" builtinId="9" hidden="1"/>
    <cellStyle name="Followed Hyperlink" xfId="1435" builtinId="9" hidden="1"/>
    <cellStyle name="Followed Hyperlink" xfId="1437" builtinId="9" hidden="1"/>
    <cellStyle name="Followed Hyperlink" xfId="1439" builtinId="9" hidden="1"/>
    <cellStyle name="Followed Hyperlink" xfId="1441" builtinId="9" hidden="1"/>
    <cellStyle name="Followed Hyperlink" xfId="1443" builtinId="9" hidden="1"/>
    <cellStyle name="Followed Hyperlink" xfId="1445" builtinId="9" hidden="1"/>
    <cellStyle name="Followed Hyperlink" xfId="1447" builtinId="9" hidden="1"/>
    <cellStyle name="Followed Hyperlink" xfId="1449" builtinId="9" hidden="1"/>
    <cellStyle name="Followed Hyperlink" xfId="1451" builtinId="9" hidden="1"/>
    <cellStyle name="Followed Hyperlink" xfId="1453" builtinId="9" hidden="1"/>
    <cellStyle name="Followed Hyperlink" xfId="1455" builtinId="9" hidden="1"/>
    <cellStyle name="Followed Hyperlink" xfId="1457" builtinId="9" hidden="1"/>
    <cellStyle name="Followed Hyperlink" xfId="1459" builtinId="9" hidden="1"/>
    <cellStyle name="Followed Hyperlink" xfId="1461" builtinId="9" hidden="1"/>
    <cellStyle name="Followed Hyperlink" xfId="1463" builtinId="9" hidden="1"/>
    <cellStyle name="Followed Hyperlink" xfId="1465" builtinId="9" hidden="1"/>
    <cellStyle name="Followed Hyperlink" xfId="1467" builtinId="9" hidden="1"/>
    <cellStyle name="Followed Hyperlink" xfId="1469" builtinId="9" hidden="1"/>
    <cellStyle name="Followed Hyperlink" xfId="1471" builtinId="9" hidden="1"/>
    <cellStyle name="Followed Hyperlink" xfId="1473" builtinId="9" hidden="1"/>
    <cellStyle name="Followed Hyperlink" xfId="1475" builtinId="9" hidden="1"/>
    <cellStyle name="Followed Hyperlink" xfId="1477" builtinId="9" hidden="1"/>
    <cellStyle name="Followed Hyperlink" xfId="1479" builtinId="9" hidden="1"/>
    <cellStyle name="Followed Hyperlink" xfId="1481" builtinId="9" hidden="1"/>
    <cellStyle name="Followed Hyperlink" xfId="1483" builtinId="9" hidden="1"/>
    <cellStyle name="Followed Hyperlink" xfId="1485" builtinId="9" hidden="1"/>
    <cellStyle name="Followed Hyperlink" xfId="1487" builtinId="9" hidden="1"/>
    <cellStyle name="Followed Hyperlink" xfId="1489" builtinId="9" hidden="1"/>
    <cellStyle name="Followed Hyperlink" xfId="1491" builtinId="9" hidden="1"/>
    <cellStyle name="Followed Hyperlink" xfId="1493" builtinId="9" hidden="1"/>
    <cellStyle name="Followed Hyperlink" xfId="1495" builtinId="9" hidden="1"/>
    <cellStyle name="Followed Hyperlink" xfId="1497" builtinId="9" hidden="1"/>
    <cellStyle name="Followed Hyperlink" xfId="1499" builtinId="9" hidden="1"/>
    <cellStyle name="Followed Hyperlink" xfId="1501" builtinId="9" hidden="1"/>
    <cellStyle name="Followed Hyperlink" xfId="1503" builtinId="9" hidden="1"/>
    <cellStyle name="Followed Hyperlink" xfId="1505" builtinId="9" hidden="1"/>
    <cellStyle name="Followed Hyperlink" xfId="1507" builtinId="9" hidden="1"/>
    <cellStyle name="Followed Hyperlink" xfId="1509" builtinId="9" hidden="1"/>
    <cellStyle name="Followed Hyperlink" xfId="1511" builtinId="9" hidden="1"/>
    <cellStyle name="Followed Hyperlink" xfId="1513" builtinId="9" hidden="1"/>
    <cellStyle name="Followed Hyperlink" xfId="1515" builtinId="9" hidden="1"/>
    <cellStyle name="Followed Hyperlink" xfId="1517" builtinId="9" hidden="1"/>
    <cellStyle name="Followed Hyperlink" xfId="1519" builtinId="9" hidden="1"/>
    <cellStyle name="Followed Hyperlink" xfId="1521" builtinId="9" hidden="1"/>
    <cellStyle name="Followed Hyperlink" xfId="1523" builtinId="9" hidden="1"/>
    <cellStyle name="Followed Hyperlink" xfId="1525" builtinId="9" hidden="1"/>
    <cellStyle name="Followed Hyperlink" xfId="1527" builtinId="9" hidden="1"/>
    <cellStyle name="Followed Hyperlink" xfId="1529" builtinId="9" hidden="1"/>
    <cellStyle name="Hyperlink" xfId="3" builtinId="8" hidden="1"/>
    <cellStyle name="Hyperlink" xfId="5" builtinId="8" hidden="1"/>
    <cellStyle name="Hyperlink" xfId="9" builtinId="8" hidden="1"/>
    <cellStyle name="Hyperlink" xfId="11" builtinId="8" hidden="1"/>
    <cellStyle name="Hyperlink" xfId="13" builtinId="8" hidden="1"/>
    <cellStyle name="Hyperlink" xfId="17" builtinId="8" hidden="1"/>
    <cellStyle name="Hyperlink" xfId="15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9" builtinId="8" hidden="1"/>
    <cellStyle name="Hyperlink" xfId="28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1" builtinId="8" hidden="1"/>
    <cellStyle name="Hyperlink" xfId="40" builtinId="8" hidden="1"/>
    <cellStyle name="Hyperlink" xfId="44" builtinId="8" hidden="1"/>
    <cellStyle name="Hyperlink" xfId="7" builtinId="8" hidden="1"/>
    <cellStyle name="Hyperlink" xfId="47" builtinId="8" hidden="1"/>
    <cellStyle name="Hyperlink" xfId="49" builtinId="8" hidden="1"/>
    <cellStyle name="Hyperlink" xfId="52" builtinId="8" hidden="1"/>
    <cellStyle name="Hyperlink" xfId="51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8" builtinId="8" hidden="1"/>
    <cellStyle name="Hyperlink" xfId="67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80" builtinId="8" hidden="1"/>
    <cellStyle name="Hyperlink" xfId="79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2" builtinId="8" hidden="1"/>
    <cellStyle name="Hyperlink" xfId="91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" xfId="962" builtinId="8" hidden="1"/>
    <cellStyle name="Hyperlink" xfId="964" builtinId="8" hidden="1"/>
    <cellStyle name="Hyperlink" xfId="966" builtinId="8" hidden="1"/>
    <cellStyle name="Hyperlink" xfId="968" builtinId="8" hidden="1"/>
    <cellStyle name="Hyperlink" xfId="970" builtinId="8" hidden="1"/>
    <cellStyle name="Hyperlink" xfId="972" builtinId="8" hidden="1"/>
    <cellStyle name="Hyperlink" xfId="974" builtinId="8" hidden="1"/>
    <cellStyle name="Hyperlink" xfId="976" builtinId="8" hidden="1"/>
    <cellStyle name="Hyperlink" xfId="978" builtinId="8" hidden="1"/>
    <cellStyle name="Hyperlink" xfId="980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Hyperlink" xfId="1004" builtinId="8" hidden="1"/>
    <cellStyle name="Hyperlink" xfId="1006" builtinId="8" hidden="1"/>
    <cellStyle name="Hyperlink" xfId="1008" builtinId="8" hidden="1"/>
    <cellStyle name="Hyperlink" xfId="1010" builtinId="8" hidden="1"/>
    <cellStyle name="Hyperlink" xfId="1012" builtinId="8" hidden="1"/>
    <cellStyle name="Hyperlink" xfId="1014" builtinId="8" hidden="1"/>
    <cellStyle name="Hyperlink" xfId="1016" builtinId="8" hidden="1"/>
    <cellStyle name="Hyperlink" xfId="1018" builtinId="8" hidden="1"/>
    <cellStyle name="Hyperlink" xfId="1020" builtinId="8" hidden="1"/>
    <cellStyle name="Hyperlink" xfId="1022" builtinId="8" hidden="1"/>
    <cellStyle name="Hyperlink" xfId="1024" builtinId="8" hidden="1"/>
    <cellStyle name="Hyperlink" xfId="1026" builtinId="8" hidden="1"/>
    <cellStyle name="Hyperlink" xfId="1028" builtinId="8" hidden="1"/>
    <cellStyle name="Hyperlink" xfId="1030" builtinId="8" hidden="1"/>
    <cellStyle name="Hyperlink" xfId="1032" builtinId="8" hidden="1"/>
    <cellStyle name="Hyperlink" xfId="1034" builtinId="8" hidden="1"/>
    <cellStyle name="Hyperlink" xfId="1036" builtinId="8" hidden="1"/>
    <cellStyle name="Hyperlink" xfId="1038" builtinId="8" hidden="1"/>
    <cellStyle name="Hyperlink" xfId="1040" builtinId="8" hidden="1"/>
    <cellStyle name="Hyperlink" xfId="1042" builtinId="8" hidden="1"/>
    <cellStyle name="Hyperlink" xfId="1044" builtinId="8" hidden="1"/>
    <cellStyle name="Hyperlink" xfId="1046" builtinId="8" hidden="1"/>
    <cellStyle name="Hyperlink" xfId="1048" builtinId="8" hidden="1"/>
    <cellStyle name="Hyperlink" xfId="1050" builtinId="8" hidden="1"/>
    <cellStyle name="Hyperlink" xfId="1052" builtinId="8" hidden="1"/>
    <cellStyle name="Hyperlink" xfId="1054" builtinId="8" hidden="1"/>
    <cellStyle name="Hyperlink" xfId="1056" builtinId="8" hidden="1"/>
    <cellStyle name="Hyperlink" xfId="1058" builtinId="8" hidden="1"/>
    <cellStyle name="Hyperlink" xfId="1060" builtinId="8" hidden="1"/>
    <cellStyle name="Hyperlink" xfId="1062" builtinId="8" hidden="1"/>
    <cellStyle name="Hyperlink" xfId="1064" builtinId="8" hidden="1"/>
    <cellStyle name="Hyperlink" xfId="1066" builtinId="8" hidden="1"/>
    <cellStyle name="Hyperlink" xfId="1068" builtinId="8" hidden="1"/>
    <cellStyle name="Hyperlink" xfId="1070" builtinId="8" hidden="1"/>
    <cellStyle name="Hyperlink" xfId="1072" builtinId="8" hidden="1"/>
    <cellStyle name="Hyperlink" xfId="1074" builtinId="8" hidden="1"/>
    <cellStyle name="Hyperlink" xfId="1076" builtinId="8" hidden="1"/>
    <cellStyle name="Hyperlink" xfId="1078" builtinId="8" hidden="1"/>
    <cellStyle name="Hyperlink" xfId="1080" builtinId="8" hidden="1"/>
    <cellStyle name="Hyperlink" xfId="1082" builtinId="8" hidden="1"/>
    <cellStyle name="Hyperlink" xfId="1084" builtinId="8" hidden="1"/>
    <cellStyle name="Hyperlink" xfId="1086" builtinId="8" hidden="1"/>
    <cellStyle name="Hyperlink" xfId="1088" builtinId="8" hidden="1"/>
    <cellStyle name="Hyperlink" xfId="1090" builtinId="8" hidden="1"/>
    <cellStyle name="Hyperlink" xfId="1092" builtinId="8" hidden="1"/>
    <cellStyle name="Hyperlink" xfId="1094" builtinId="8" hidden="1"/>
    <cellStyle name="Hyperlink" xfId="1096" builtinId="8" hidden="1"/>
    <cellStyle name="Hyperlink" xfId="1098" builtinId="8" hidden="1"/>
    <cellStyle name="Hyperlink" xfId="1100" builtinId="8" hidden="1"/>
    <cellStyle name="Hyperlink" xfId="1102" builtinId="8" hidden="1"/>
    <cellStyle name="Hyperlink" xfId="1104" builtinId="8" hidden="1"/>
    <cellStyle name="Hyperlink" xfId="1106" builtinId="8" hidden="1"/>
    <cellStyle name="Hyperlink" xfId="1108" builtinId="8" hidden="1"/>
    <cellStyle name="Hyperlink" xfId="1110" builtinId="8" hidden="1"/>
    <cellStyle name="Hyperlink" xfId="1112" builtinId="8" hidden="1"/>
    <cellStyle name="Hyperlink" xfId="1114" builtinId="8" hidden="1"/>
    <cellStyle name="Hyperlink" xfId="1116" builtinId="8" hidden="1"/>
    <cellStyle name="Hyperlink" xfId="1118" builtinId="8" hidden="1"/>
    <cellStyle name="Hyperlink" xfId="1120" builtinId="8" hidden="1"/>
    <cellStyle name="Hyperlink" xfId="1122" builtinId="8" hidden="1"/>
    <cellStyle name="Hyperlink" xfId="1124" builtinId="8" hidden="1"/>
    <cellStyle name="Hyperlink" xfId="1126" builtinId="8" hidden="1"/>
    <cellStyle name="Hyperlink" xfId="1128" builtinId="8" hidden="1"/>
    <cellStyle name="Hyperlink" xfId="1130" builtinId="8" hidden="1"/>
    <cellStyle name="Hyperlink" xfId="1132" builtinId="8" hidden="1"/>
    <cellStyle name="Hyperlink" xfId="1134" builtinId="8" hidden="1"/>
    <cellStyle name="Hyperlink" xfId="1136" builtinId="8" hidden="1"/>
    <cellStyle name="Hyperlink" xfId="1138" builtinId="8" hidden="1"/>
    <cellStyle name="Hyperlink" xfId="1140" builtinId="8" hidden="1"/>
    <cellStyle name="Hyperlink" xfId="1142" builtinId="8" hidden="1"/>
    <cellStyle name="Hyperlink" xfId="1144" builtinId="8" hidden="1"/>
    <cellStyle name="Hyperlink" xfId="1146" builtinId="8" hidden="1"/>
    <cellStyle name="Hyperlink" xfId="1148" builtinId="8" hidden="1"/>
    <cellStyle name="Hyperlink" xfId="1150" builtinId="8" hidden="1"/>
    <cellStyle name="Hyperlink" xfId="1152" builtinId="8" hidden="1"/>
    <cellStyle name="Hyperlink" xfId="1154" builtinId="8" hidden="1"/>
    <cellStyle name="Hyperlink" xfId="1156" builtinId="8" hidden="1"/>
    <cellStyle name="Hyperlink" xfId="1158" builtinId="8" hidden="1"/>
    <cellStyle name="Hyperlink" xfId="1160" builtinId="8" hidden="1"/>
    <cellStyle name="Hyperlink" xfId="1162" builtinId="8" hidden="1"/>
    <cellStyle name="Hyperlink" xfId="1164" builtinId="8" hidden="1"/>
    <cellStyle name="Hyperlink" xfId="1166" builtinId="8" hidden="1"/>
    <cellStyle name="Hyperlink" xfId="1168" builtinId="8" hidden="1"/>
    <cellStyle name="Hyperlink" xfId="1170" builtinId="8" hidden="1"/>
    <cellStyle name="Hyperlink" xfId="1172" builtinId="8" hidden="1"/>
    <cellStyle name="Hyperlink" xfId="1174" builtinId="8" hidden="1"/>
    <cellStyle name="Hyperlink" xfId="1176" builtinId="8" hidden="1"/>
    <cellStyle name="Hyperlink" xfId="1178" builtinId="8" hidden="1"/>
    <cellStyle name="Hyperlink" xfId="1180" builtinId="8" hidden="1"/>
    <cellStyle name="Hyperlink" xfId="1182" builtinId="8" hidden="1"/>
    <cellStyle name="Hyperlink" xfId="1184" builtinId="8" hidden="1"/>
    <cellStyle name="Hyperlink" xfId="1186" builtinId="8" hidden="1"/>
    <cellStyle name="Hyperlink" xfId="1188" builtinId="8" hidden="1"/>
    <cellStyle name="Hyperlink" xfId="1190" builtinId="8" hidden="1"/>
    <cellStyle name="Hyperlink" xfId="1192" builtinId="8" hidden="1"/>
    <cellStyle name="Hyperlink" xfId="1194" builtinId="8" hidden="1"/>
    <cellStyle name="Hyperlink" xfId="1196" builtinId="8" hidden="1"/>
    <cellStyle name="Hyperlink" xfId="1198" builtinId="8" hidden="1"/>
    <cellStyle name="Hyperlink" xfId="1200" builtinId="8" hidden="1"/>
    <cellStyle name="Hyperlink" xfId="1202" builtinId="8" hidden="1"/>
    <cellStyle name="Hyperlink" xfId="1204" builtinId="8" hidden="1"/>
    <cellStyle name="Hyperlink" xfId="1206" builtinId="8" hidden="1"/>
    <cellStyle name="Hyperlink" xfId="1208" builtinId="8" hidden="1"/>
    <cellStyle name="Hyperlink" xfId="1210" builtinId="8" hidden="1"/>
    <cellStyle name="Hyperlink" xfId="1212" builtinId="8" hidden="1"/>
    <cellStyle name="Hyperlink" xfId="1214" builtinId="8" hidden="1"/>
    <cellStyle name="Hyperlink" xfId="1216" builtinId="8" hidden="1"/>
    <cellStyle name="Hyperlink" xfId="1218" builtinId="8" hidden="1"/>
    <cellStyle name="Hyperlink" xfId="1220" builtinId="8" hidden="1"/>
    <cellStyle name="Hyperlink" xfId="1222" builtinId="8" hidden="1"/>
    <cellStyle name="Hyperlink" xfId="1224" builtinId="8" hidden="1"/>
    <cellStyle name="Hyperlink" xfId="1226" builtinId="8" hidden="1"/>
    <cellStyle name="Hyperlink" xfId="1228" builtinId="8" hidden="1"/>
    <cellStyle name="Hyperlink" xfId="1230" builtinId="8" hidden="1"/>
    <cellStyle name="Hyperlink" xfId="1232" builtinId="8" hidden="1"/>
    <cellStyle name="Hyperlink" xfId="1234" builtinId="8" hidden="1"/>
    <cellStyle name="Hyperlink" xfId="1236" builtinId="8" hidden="1"/>
    <cellStyle name="Hyperlink" xfId="1238" builtinId="8" hidden="1"/>
    <cellStyle name="Hyperlink" xfId="1240" builtinId="8" hidden="1"/>
    <cellStyle name="Hyperlink" xfId="1242" builtinId="8" hidden="1"/>
    <cellStyle name="Hyperlink" xfId="1244" builtinId="8" hidden="1"/>
    <cellStyle name="Hyperlink" xfId="1246" builtinId="8" hidden="1"/>
    <cellStyle name="Hyperlink" xfId="1248" builtinId="8" hidden="1"/>
    <cellStyle name="Hyperlink" xfId="1250" builtinId="8" hidden="1"/>
    <cellStyle name="Hyperlink" xfId="1252" builtinId="8" hidden="1"/>
    <cellStyle name="Hyperlink" xfId="1254" builtinId="8" hidden="1"/>
    <cellStyle name="Hyperlink" xfId="1258" builtinId="8" hidden="1"/>
    <cellStyle name="Hyperlink" xfId="1260" builtinId="8" hidden="1"/>
    <cellStyle name="Hyperlink" xfId="1262" builtinId="8" hidden="1"/>
    <cellStyle name="Hyperlink" xfId="1264" builtinId="8" hidden="1"/>
    <cellStyle name="Hyperlink" xfId="1266" builtinId="8" hidden="1"/>
    <cellStyle name="Hyperlink" xfId="1268" builtinId="8" hidden="1"/>
    <cellStyle name="Hyperlink" xfId="1270" builtinId="8" hidden="1"/>
    <cellStyle name="Hyperlink" xfId="1272" builtinId="8" hidden="1"/>
    <cellStyle name="Hyperlink" xfId="1274" builtinId="8" hidden="1"/>
    <cellStyle name="Hyperlink" xfId="1276" builtinId="8" hidden="1"/>
    <cellStyle name="Hyperlink" xfId="1278" builtinId="8" hidden="1"/>
    <cellStyle name="Hyperlink" xfId="1280" builtinId="8" hidden="1"/>
    <cellStyle name="Hyperlink" xfId="1282" builtinId="8" hidden="1"/>
    <cellStyle name="Hyperlink" xfId="1284" builtinId="8" hidden="1"/>
    <cellStyle name="Hyperlink" xfId="1286" builtinId="8" hidden="1"/>
    <cellStyle name="Hyperlink" xfId="1288" builtinId="8" hidden="1"/>
    <cellStyle name="Hyperlink" xfId="1290" builtinId="8" hidden="1"/>
    <cellStyle name="Hyperlink" xfId="1292" builtinId="8" hidden="1"/>
    <cellStyle name="Hyperlink" xfId="1294" builtinId="8" hidden="1"/>
    <cellStyle name="Hyperlink" xfId="1296" builtinId="8" hidden="1"/>
    <cellStyle name="Hyperlink" xfId="1298" builtinId="8" hidden="1"/>
    <cellStyle name="Hyperlink" xfId="1300" builtinId="8" hidden="1"/>
    <cellStyle name="Hyperlink" xfId="1302" builtinId="8" hidden="1"/>
    <cellStyle name="Hyperlink" xfId="1304" builtinId="8" hidden="1"/>
    <cellStyle name="Hyperlink" xfId="1306" builtinId="8" hidden="1"/>
    <cellStyle name="Hyperlink" xfId="1308" builtinId="8" hidden="1"/>
    <cellStyle name="Hyperlink" xfId="1310" builtinId="8" hidden="1"/>
    <cellStyle name="Hyperlink" xfId="1312" builtinId="8" hidden="1"/>
    <cellStyle name="Hyperlink" xfId="1314" builtinId="8" hidden="1"/>
    <cellStyle name="Hyperlink" xfId="1316" builtinId="8" hidden="1"/>
    <cellStyle name="Hyperlink" xfId="1318" builtinId="8" hidden="1"/>
    <cellStyle name="Hyperlink" xfId="1320" builtinId="8" hidden="1"/>
    <cellStyle name="Hyperlink" xfId="1322" builtinId="8" hidden="1"/>
    <cellStyle name="Hyperlink" xfId="1324" builtinId="8" hidden="1"/>
    <cellStyle name="Hyperlink" xfId="1326" builtinId="8" hidden="1"/>
    <cellStyle name="Hyperlink" xfId="1328" builtinId="8" hidden="1"/>
    <cellStyle name="Hyperlink" xfId="1330" builtinId="8" hidden="1"/>
    <cellStyle name="Hyperlink" xfId="1332" builtinId="8" hidden="1"/>
    <cellStyle name="Hyperlink" xfId="1334" builtinId="8" hidden="1"/>
    <cellStyle name="Hyperlink" xfId="1336" builtinId="8" hidden="1"/>
    <cellStyle name="Hyperlink" xfId="1338" builtinId="8" hidden="1"/>
    <cellStyle name="Hyperlink" xfId="1340" builtinId="8" hidden="1"/>
    <cellStyle name="Hyperlink" xfId="1342" builtinId="8" hidden="1"/>
    <cellStyle name="Hyperlink" xfId="1344" builtinId="8" hidden="1"/>
    <cellStyle name="Hyperlink" xfId="1346" builtinId="8" hidden="1"/>
    <cellStyle name="Hyperlink" xfId="1348" builtinId="8" hidden="1"/>
    <cellStyle name="Hyperlink" xfId="1350" builtinId="8" hidden="1"/>
    <cellStyle name="Hyperlink" xfId="1352" builtinId="8" hidden="1"/>
    <cellStyle name="Hyperlink" xfId="1354" builtinId="8" hidden="1"/>
    <cellStyle name="Hyperlink" xfId="1356" builtinId="8" hidden="1"/>
    <cellStyle name="Hyperlink" xfId="1358" builtinId="8" hidden="1"/>
    <cellStyle name="Hyperlink" xfId="1360" builtinId="8" hidden="1"/>
    <cellStyle name="Hyperlink" xfId="1362" builtinId="8" hidden="1"/>
    <cellStyle name="Hyperlink" xfId="1364" builtinId="8" hidden="1"/>
    <cellStyle name="Hyperlink" xfId="1366" builtinId="8" hidden="1"/>
    <cellStyle name="Hyperlink" xfId="1368" builtinId="8" hidden="1"/>
    <cellStyle name="Hyperlink" xfId="1370" builtinId="8" hidden="1"/>
    <cellStyle name="Hyperlink" xfId="1372" builtinId="8" hidden="1"/>
    <cellStyle name="Hyperlink" xfId="1374" builtinId="8" hidden="1"/>
    <cellStyle name="Hyperlink" xfId="1376" builtinId="8" hidden="1"/>
    <cellStyle name="Hyperlink" xfId="1378" builtinId="8" hidden="1"/>
    <cellStyle name="Hyperlink" xfId="1380" builtinId="8" hidden="1"/>
    <cellStyle name="Hyperlink" xfId="1382" builtinId="8" hidden="1"/>
    <cellStyle name="Hyperlink" xfId="1384" builtinId="8" hidden="1"/>
    <cellStyle name="Hyperlink" xfId="1386" builtinId="8" hidden="1"/>
    <cellStyle name="Hyperlink" xfId="1388" builtinId="8" hidden="1"/>
    <cellStyle name="Hyperlink" xfId="1390" builtinId="8" hidden="1"/>
    <cellStyle name="Hyperlink" xfId="1392" builtinId="8" hidden="1"/>
    <cellStyle name="Hyperlink" xfId="1394" builtinId="8" hidden="1"/>
    <cellStyle name="Hyperlink" xfId="1396" builtinId="8" hidden="1"/>
    <cellStyle name="Hyperlink" xfId="1398" builtinId="8" hidden="1"/>
    <cellStyle name="Hyperlink" xfId="1400" builtinId="8" hidden="1"/>
    <cellStyle name="Hyperlink" xfId="1402" builtinId="8" hidden="1"/>
    <cellStyle name="Hyperlink" xfId="1404" builtinId="8" hidden="1"/>
    <cellStyle name="Hyperlink" xfId="1406" builtinId="8" hidden="1"/>
    <cellStyle name="Hyperlink" xfId="1408" builtinId="8" hidden="1"/>
    <cellStyle name="Hyperlink" xfId="1410" builtinId="8" hidden="1"/>
    <cellStyle name="Hyperlink" xfId="1412" builtinId="8" hidden="1"/>
    <cellStyle name="Hyperlink" xfId="1414" builtinId="8" hidden="1"/>
    <cellStyle name="Hyperlink" xfId="1416" builtinId="8" hidden="1"/>
    <cellStyle name="Hyperlink" xfId="1418" builtinId="8" hidden="1"/>
    <cellStyle name="Hyperlink" xfId="1420" builtinId="8" hidden="1"/>
    <cellStyle name="Hyperlink" xfId="1422" builtinId="8" hidden="1"/>
    <cellStyle name="Hyperlink" xfId="1424" builtinId="8" hidden="1"/>
    <cellStyle name="Hyperlink" xfId="1426" builtinId="8" hidden="1"/>
    <cellStyle name="Hyperlink" xfId="1428" builtinId="8" hidden="1"/>
    <cellStyle name="Hyperlink" xfId="1430" builtinId="8" hidden="1"/>
    <cellStyle name="Hyperlink" xfId="1432" builtinId="8" hidden="1"/>
    <cellStyle name="Hyperlink" xfId="1434" builtinId="8" hidden="1"/>
    <cellStyle name="Hyperlink" xfId="1436" builtinId="8" hidden="1"/>
    <cellStyle name="Hyperlink" xfId="1438" builtinId="8" hidden="1"/>
    <cellStyle name="Hyperlink" xfId="1440" builtinId="8" hidden="1"/>
    <cellStyle name="Hyperlink" xfId="1442" builtinId="8" hidden="1"/>
    <cellStyle name="Hyperlink" xfId="1444" builtinId="8" hidden="1"/>
    <cellStyle name="Hyperlink" xfId="1446" builtinId="8" hidden="1"/>
    <cellStyle name="Hyperlink" xfId="1448" builtinId="8" hidden="1"/>
    <cellStyle name="Hyperlink" xfId="1450" builtinId="8" hidden="1"/>
    <cellStyle name="Hyperlink" xfId="1452" builtinId="8" hidden="1"/>
    <cellStyle name="Hyperlink" xfId="1454" builtinId="8" hidden="1"/>
    <cellStyle name="Hyperlink" xfId="1456" builtinId="8" hidden="1"/>
    <cellStyle name="Hyperlink" xfId="1458" builtinId="8" hidden="1"/>
    <cellStyle name="Hyperlink" xfId="1460" builtinId="8" hidden="1"/>
    <cellStyle name="Hyperlink" xfId="1462" builtinId="8" hidden="1"/>
    <cellStyle name="Hyperlink" xfId="1464" builtinId="8" hidden="1"/>
    <cellStyle name="Hyperlink" xfId="1466" builtinId="8" hidden="1"/>
    <cellStyle name="Hyperlink" xfId="1468" builtinId="8" hidden="1"/>
    <cellStyle name="Hyperlink" xfId="1470" builtinId="8" hidden="1"/>
    <cellStyle name="Hyperlink" xfId="1472" builtinId="8" hidden="1"/>
    <cellStyle name="Hyperlink" xfId="1474" builtinId="8" hidden="1"/>
    <cellStyle name="Hyperlink" xfId="1476" builtinId="8" hidden="1"/>
    <cellStyle name="Hyperlink" xfId="1478" builtinId="8" hidden="1"/>
    <cellStyle name="Hyperlink" xfId="1480" builtinId="8" hidden="1"/>
    <cellStyle name="Hyperlink" xfId="1482" builtinId="8" hidden="1"/>
    <cellStyle name="Hyperlink" xfId="1484" builtinId="8" hidden="1"/>
    <cellStyle name="Hyperlink" xfId="1486" builtinId="8" hidden="1"/>
    <cellStyle name="Hyperlink" xfId="1488" builtinId="8" hidden="1"/>
    <cellStyle name="Hyperlink" xfId="1490" builtinId="8" hidden="1"/>
    <cellStyle name="Hyperlink" xfId="1492" builtinId="8" hidden="1"/>
    <cellStyle name="Hyperlink" xfId="1494" builtinId="8" hidden="1"/>
    <cellStyle name="Hyperlink" xfId="1496" builtinId="8" hidden="1"/>
    <cellStyle name="Hyperlink" xfId="1498" builtinId="8" hidden="1"/>
    <cellStyle name="Hyperlink" xfId="1500" builtinId="8" hidden="1"/>
    <cellStyle name="Hyperlink" xfId="1502" builtinId="8" hidden="1"/>
    <cellStyle name="Hyperlink" xfId="1504" builtinId="8" hidden="1"/>
    <cellStyle name="Hyperlink" xfId="1506" builtinId="8" hidden="1"/>
    <cellStyle name="Hyperlink" xfId="1508" builtinId="8" hidden="1"/>
    <cellStyle name="Hyperlink" xfId="1510" builtinId="8" hidden="1"/>
    <cellStyle name="Hyperlink" xfId="1512" builtinId="8" hidden="1"/>
    <cellStyle name="Hyperlink" xfId="1514" builtinId="8" hidden="1"/>
    <cellStyle name="Hyperlink" xfId="1516" builtinId="8" hidden="1"/>
    <cellStyle name="Hyperlink" xfId="1518" builtinId="8" hidden="1"/>
    <cellStyle name="Hyperlink" xfId="1520" builtinId="8" hidden="1"/>
    <cellStyle name="Hyperlink" xfId="1522" builtinId="8" hidden="1"/>
    <cellStyle name="Hyperlink" xfId="1524" builtinId="8" hidden="1"/>
    <cellStyle name="Hyperlink" xfId="1526" builtinId="8" hidden="1"/>
    <cellStyle name="Hyperlink" xfId="1528" builtinId="8" hidden="1"/>
    <cellStyle name="Normal" xfId="0" builtinId="0"/>
    <cellStyle name="Normal 2" xfId="1" xr:uid="{00000000-0005-0000-0000-0000F5050000}"/>
    <cellStyle name="Normal 3" xfId="2" xr:uid="{00000000-0005-0000-0000-0000F6050000}"/>
    <cellStyle name="Normal 3 2" xfId="16" xr:uid="{00000000-0005-0000-0000-0000F7050000}"/>
    <cellStyle name="Normal 3 3" xfId="8" xr:uid="{00000000-0005-0000-0000-0000F8050000}"/>
    <cellStyle name="Normal 4" xfId="1530" xr:uid="{0C9B2F20-F60E-6649-A4F1-9080C26F2F00}"/>
    <cellStyle name="Percent" xfId="1257" builtinId="5"/>
    <cellStyle name="Percent 2" xfId="515" xr:uid="{00000000-0005-0000-0000-0000FA050000}"/>
    <cellStyle name="Percent 3" xfId="1531" xr:uid="{556122AA-F119-0E4F-AE44-34C6D9B16AA5}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CE6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000"/>
              <a:t>Unit Holder</a:t>
            </a:r>
            <a:r>
              <a:rPr lang="en-US" sz="2000" baseline="0"/>
              <a:t> </a:t>
            </a:r>
            <a:r>
              <a:rPr lang="en-US" sz="2000"/>
              <a:t>Internal Rate of Return</a:t>
            </a:r>
          </a:p>
          <a:p>
            <a:pPr>
              <a:defRPr/>
            </a:pPr>
            <a:r>
              <a:rPr lang="en-US" sz="2000"/>
              <a:t>(based on </a:t>
            </a:r>
            <a:r>
              <a:rPr lang="en-US" sz="2000" baseline="0"/>
              <a:t>unit market value and c</a:t>
            </a:r>
            <a:r>
              <a:rPr lang="en-US" sz="2000"/>
              <a:t>umulative annual distributions </a:t>
            </a:r>
            <a:r>
              <a:rPr lang="en-US"/>
              <a:t>)</a:t>
            </a:r>
          </a:p>
        </c:rich>
      </c:tx>
      <c:layout>
        <c:manualLayout>
          <c:xMode val="edge"/>
          <c:yMode val="edge"/>
          <c:x val="0.19706102390564501"/>
          <c:y val="1.915154404527559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2497679047236602E-2"/>
          <c:y val="0.171922982283465"/>
          <c:w val="0.84922477138096597"/>
          <c:h val="0.69078078863188996"/>
        </c:manualLayout>
      </c:layout>
      <c:barChart>
        <c:barDir val="col"/>
        <c:grouping val="clustered"/>
        <c:varyColors val="0"/>
        <c:ser>
          <c:idx val="1"/>
          <c:order val="0"/>
          <c:tx>
            <c:v> IRR</c:v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c:spPr>
          <c:invertIfNegative val="0"/>
          <c:val>
            <c:numRef>
              <c:f>'Woodfine original - 50M'!#REF!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80-D84F-823B-271A4689B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19634488"/>
        <c:axId val="-2020233240"/>
      </c:barChart>
      <c:catAx>
        <c:axId val="-2019634488"/>
        <c:scaling>
          <c:orientation val="minMax"/>
        </c:scaling>
        <c:delete val="0"/>
        <c:axPos val="b"/>
        <c:numFmt formatCode="General" sourceLinked="0"/>
        <c:majorTickMark val="none"/>
        <c:minorTickMark val="cross"/>
        <c:tickLblPos val="low"/>
        <c:txPr>
          <a:bodyPr rot="0" vert="horz"/>
          <a:lstStyle/>
          <a:p>
            <a:pPr>
              <a:defRPr sz="2000">
                <a:latin typeface="Arial"/>
              </a:defRPr>
            </a:pPr>
            <a:endParaRPr lang="en-US"/>
          </a:p>
        </c:txPr>
        <c:crossAx val="-2020233240"/>
        <c:crosses val="autoZero"/>
        <c:auto val="1"/>
        <c:lblAlgn val="ctr"/>
        <c:lblOffset val="100"/>
        <c:noMultiLvlLbl val="0"/>
      </c:catAx>
      <c:valAx>
        <c:axId val="-2020233240"/>
        <c:scaling>
          <c:orientation val="minMax"/>
          <c:max val="0.18"/>
          <c:min val="-0.17"/>
        </c:scaling>
        <c:delete val="0"/>
        <c:axPos val="r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0"/>
        <c:majorTickMark val="cross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 rot="0" vert="horz"/>
          <a:lstStyle/>
          <a:p>
            <a:pPr>
              <a:defRPr sz="2000">
                <a:latin typeface="Arial"/>
              </a:defRPr>
            </a:pPr>
            <a:endParaRPr lang="en-US"/>
          </a:p>
        </c:txPr>
        <c:crossAx val="-2019634488"/>
        <c:crosses val="max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000"/>
              <a:t>Unit Holder</a:t>
            </a:r>
            <a:r>
              <a:rPr lang="en-US" sz="2000" baseline="0"/>
              <a:t> </a:t>
            </a:r>
            <a:r>
              <a:rPr lang="en-US" sz="2000"/>
              <a:t>Internal Rate of Return</a:t>
            </a:r>
          </a:p>
          <a:p>
            <a:pPr>
              <a:defRPr/>
            </a:pPr>
            <a:r>
              <a:rPr lang="en-US" sz="2000"/>
              <a:t>(based on </a:t>
            </a:r>
            <a:r>
              <a:rPr lang="en-US" sz="2000" baseline="0"/>
              <a:t>unit market value and c</a:t>
            </a:r>
            <a:r>
              <a:rPr lang="en-US" sz="2000"/>
              <a:t>umulative annual distributions </a:t>
            </a:r>
            <a:r>
              <a:rPr lang="en-US"/>
              <a:t>)</a:t>
            </a:r>
          </a:p>
        </c:rich>
      </c:tx>
      <c:layout>
        <c:manualLayout>
          <c:xMode val="edge"/>
          <c:yMode val="edge"/>
          <c:x val="0.19706102390564501"/>
          <c:y val="1.915154404527559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2497679047236602E-2"/>
          <c:y val="0.171922982283465"/>
          <c:w val="0.84922477138096597"/>
          <c:h val="0.69078078863188996"/>
        </c:manualLayout>
      </c:layout>
      <c:barChart>
        <c:barDir val="col"/>
        <c:grouping val="clustered"/>
        <c:varyColors val="0"/>
        <c:ser>
          <c:idx val="1"/>
          <c:order val="0"/>
          <c:tx>
            <c:v> IRR</c:v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c:spPr>
          <c:invertIfNegative val="0"/>
          <c:val>
            <c:numRef>
              <c:f>'Woodfine original - 50M'!#REF!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E-B745-ACD2-C3D7B33B9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19634488"/>
        <c:axId val="-2020233240"/>
      </c:barChart>
      <c:catAx>
        <c:axId val="-2019634488"/>
        <c:scaling>
          <c:orientation val="minMax"/>
        </c:scaling>
        <c:delete val="0"/>
        <c:axPos val="b"/>
        <c:numFmt formatCode="General" sourceLinked="0"/>
        <c:majorTickMark val="none"/>
        <c:minorTickMark val="cross"/>
        <c:tickLblPos val="low"/>
        <c:txPr>
          <a:bodyPr rot="0" vert="horz"/>
          <a:lstStyle/>
          <a:p>
            <a:pPr>
              <a:defRPr sz="2000">
                <a:latin typeface="Arial"/>
              </a:defRPr>
            </a:pPr>
            <a:endParaRPr lang="en-US"/>
          </a:p>
        </c:txPr>
        <c:crossAx val="-2020233240"/>
        <c:crosses val="autoZero"/>
        <c:auto val="1"/>
        <c:lblAlgn val="ctr"/>
        <c:lblOffset val="100"/>
        <c:noMultiLvlLbl val="0"/>
      </c:catAx>
      <c:valAx>
        <c:axId val="-2020233240"/>
        <c:scaling>
          <c:orientation val="minMax"/>
          <c:max val="0.18"/>
          <c:min val="-0.17"/>
        </c:scaling>
        <c:delete val="0"/>
        <c:axPos val="r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0"/>
        <c:majorTickMark val="cross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 rot="0" vert="horz"/>
          <a:lstStyle/>
          <a:p>
            <a:pPr>
              <a:defRPr sz="2000">
                <a:latin typeface="Arial"/>
              </a:defRPr>
            </a:pPr>
            <a:endParaRPr lang="en-US"/>
          </a:p>
        </c:txPr>
        <c:crossAx val="-2019634488"/>
        <c:crosses val="max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000"/>
              <a:t>Unit Holder</a:t>
            </a:r>
            <a:r>
              <a:rPr lang="en-US" sz="2000" baseline="0"/>
              <a:t> </a:t>
            </a:r>
            <a:r>
              <a:rPr lang="en-US" sz="2000"/>
              <a:t>Internal Rate of Return</a:t>
            </a:r>
          </a:p>
          <a:p>
            <a:pPr>
              <a:defRPr/>
            </a:pPr>
            <a:r>
              <a:rPr lang="en-US" sz="2000"/>
              <a:t>(based on </a:t>
            </a:r>
            <a:r>
              <a:rPr lang="en-US" sz="2000" baseline="0"/>
              <a:t>unit market value and c</a:t>
            </a:r>
            <a:r>
              <a:rPr lang="en-US" sz="2000"/>
              <a:t>umulative annual distributions </a:t>
            </a:r>
            <a:r>
              <a:rPr lang="en-US"/>
              <a:t>)</a:t>
            </a:r>
          </a:p>
        </c:rich>
      </c:tx>
      <c:layout>
        <c:manualLayout>
          <c:xMode val="edge"/>
          <c:yMode val="edge"/>
          <c:x val="0.19706102390564501"/>
          <c:y val="1.915154404527559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2497679047236602E-2"/>
          <c:y val="0.171922982283465"/>
          <c:w val="0.84922477138096597"/>
          <c:h val="0.69078078863188996"/>
        </c:manualLayout>
      </c:layout>
      <c:barChart>
        <c:barDir val="col"/>
        <c:grouping val="clustered"/>
        <c:varyColors val="0"/>
        <c:ser>
          <c:idx val="1"/>
          <c:order val="0"/>
          <c:tx>
            <c:v> IRR</c:v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c:spPr>
          <c:invertIfNegative val="0"/>
          <c:val>
            <c:numRef>
              <c:f>'Woodfine original - 50M'!#REF!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5-A143-BDE6-6A3568B64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19634488"/>
        <c:axId val="-2020233240"/>
      </c:barChart>
      <c:catAx>
        <c:axId val="-2019634488"/>
        <c:scaling>
          <c:orientation val="minMax"/>
        </c:scaling>
        <c:delete val="0"/>
        <c:axPos val="b"/>
        <c:numFmt formatCode="General" sourceLinked="0"/>
        <c:majorTickMark val="none"/>
        <c:minorTickMark val="cross"/>
        <c:tickLblPos val="low"/>
        <c:txPr>
          <a:bodyPr rot="0" vert="horz"/>
          <a:lstStyle/>
          <a:p>
            <a:pPr>
              <a:defRPr sz="2000">
                <a:latin typeface="Arial"/>
              </a:defRPr>
            </a:pPr>
            <a:endParaRPr lang="en-US"/>
          </a:p>
        </c:txPr>
        <c:crossAx val="-2020233240"/>
        <c:crosses val="autoZero"/>
        <c:auto val="1"/>
        <c:lblAlgn val="ctr"/>
        <c:lblOffset val="100"/>
        <c:noMultiLvlLbl val="0"/>
      </c:catAx>
      <c:valAx>
        <c:axId val="-2020233240"/>
        <c:scaling>
          <c:orientation val="minMax"/>
          <c:max val="0.18"/>
          <c:min val="-0.17"/>
        </c:scaling>
        <c:delete val="0"/>
        <c:axPos val="r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0"/>
        <c:majorTickMark val="cross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 rot="0" vert="horz"/>
          <a:lstStyle/>
          <a:p>
            <a:pPr>
              <a:defRPr sz="2000">
                <a:latin typeface="Arial"/>
              </a:defRPr>
            </a:pPr>
            <a:endParaRPr lang="en-US"/>
          </a:p>
        </c:txPr>
        <c:crossAx val="-2019634488"/>
        <c:crosses val="max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390525</xdr:colOff>
      <xdr:row>28</xdr:row>
      <xdr:rowOff>9525</xdr:rowOff>
    </xdr:to>
    <xdr:pic>
      <xdr:nvPicPr>
        <xdr:cNvPr id="2748531" name="Picture 11">
          <a:extLst>
            <a:ext uri="{FF2B5EF4-FFF2-40B4-BE49-F238E27FC236}">
              <a16:creationId xmlns:a16="http://schemas.microsoft.com/office/drawing/2014/main" id="{00000000-0008-0000-0000-000073F02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963525" cy="454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33866</xdr:colOff>
      <xdr:row>258</xdr:row>
      <xdr:rowOff>135467</xdr:rowOff>
    </xdr:from>
    <xdr:to>
      <xdr:col>24</xdr:col>
      <xdr:colOff>33867</xdr:colOff>
      <xdr:row>286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751309-6F3F-684C-8D5D-BDF13AD67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33866</xdr:colOff>
      <xdr:row>258</xdr:row>
      <xdr:rowOff>135467</xdr:rowOff>
    </xdr:from>
    <xdr:to>
      <xdr:col>24</xdr:col>
      <xdr:colOff>33867</xdr:colOff>
      <xdr:row>286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11DE65-96C8-BE42-8875-2895242FE0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258</xdr:row>
      <xdr:rowOff>135467</xdr:rowOff>
    </xdr:from>
    <xdr:to>
      <xdr:col>12</xdr:col>
      <xdr:colOff>33867</xdr:colOff>
      <xdr:row>286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3CB06-A268-A642-8CE5-0EE33A0899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ffice/Desktop/Proforma/WCP_Proforma_42M_Cash%20Flow%20and%20Valuation_JW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ert"/>
      <sheetName val="SPV"/>
      <sheetName val="PCLP 1_250M"/>
      <sheetName val="WCP_42M"/>
    </sheetNames>
    <sheetDataSet>
      <sheetData sheetId="0"/>
      <sheetData sheetId="1"/>
      <sheetData sheetId="2">
        <row r="115">
          <cell r="E115">
            <v>100.02602800728785</v>
          </cell>
          <cell r="F115">
            <v>100.25224457062846</v>
          </cell>
          <cell r="G115">
            <v>100.17684165776565</v>
          </cell>
          <cell r="H115">
            <v>133.26803551398035</v>
          </cell>
          <cell r="I115">
            <v>133.4913226764107</v>
          </cell>
          <cell r="J115">
            <v>216.91739879997698</v>
          </cell>
          <cell r="K115">
            <v>217.38954309578057</v>
          </cell>
          <cell r="L115">
            <v>380.34925720547784</v>
          </cell>
          <cell r="M115">
            <v>383.03951078213106</v>
          </cell>
          <cell r="N115">
            <v>385.74321562666751</v>
          </cell>
          <cell r="O115">
            <v>452.97590371197867</v>
          </cell>
          <cell r="P115">
            <v>455.70671319759964</v>
          </cell>
          <cell r="Q115">
            <v>458.45117673068478</v>
          </cell>
          <cell r="R115">
            <v>461.20936258148924</v>
          </cell>
          <cell r="S115">
            <v>463.98133936161975</v>
          </cell>
          <cell r="T115">
            <v>466.76717602574092</v>
          </cell>
          <cell r="U115">
            <v>469.56694187329077</v>
          </cell>
          <cell r="V115">
            <v>472.38070655020425</v>
          </cell>
          <cell r="W115">
            <v>475.20854005064632</v>
          </cell>
          <cell r="X115">
            <v>478.0505127187526</v>
          </cell>
        </row>
        <row r="123">
          <cell r="E123">
            <v>0</v>
          </cell>
          <cell r="F123">
            <v>0</v>
          </cell>
          <cell r="G123">
            <v>0</v>
          </cell>
          <cell r="H123">
            <v>1.4416617197889942E-2</v>
          </cell>
          <cell r="I123">
            <v>2.0095844618731679E-2</v>
          </cell>
          <cell r="J123">
            <v>2.8480756758456679E-2</v>
          </cell>
          <cell r="K123">
            <v>4.2492986622320206E-2</v>
          </cell>
          <cell r="L123">
            <v>0.2409182307450648</v>
          </cell>
          <cell r="M123">
            <v>0.24212282189879011</v>
          </cell>
          <cell r="N123">
            <v>0.24333343600828405</v>
          </cell>
          <cell r="O123">
            <v>0.24455010318832546</v>
          </cell>
          <cell r="P123">
            <v>0.24577285370588708</v>
          </cell>
          <cell r="Q123">
            <v>0.24700171797765652</v>
          </cell>
          <cell r="R123">
            <v>0.24823672657240484</v>
          </cell>
          <cell r="S123">
            <v>0.24947791021174684</v>
          </cell>
          <cell r="T123">
            <v>0.25072529977090563</v>
          </cell>
          <cell r="U123">
            <v>0.2519789262794801</v>
          </cell>
          <cell r="V123">
            <v>0.2532388209222175</v>
          </cell>
          <cell r="W123">
            <v>0.25450501503978862</v>
          </cell>
          <cell r="X123">
            <v>0.25577754012956755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4"/>
  <sheetViews>
    <sheetView workbookViewId="0">
      <selection sqref="A1:AK64"/>
    </sheetView>
  </sheetViews>
  <sheetFormatPr baseColWidth="10" defaultColWidth="11" defaultRowHeight="13"/>
  <cols>
    <col min="1" max="16384" width="11" style="1"/>
  </cols>
  <sheetData>
    <row r="1" spans="1:37">
      <c r="A1" s="332"/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2"/>
      <c r="V1" s="332"/>
      <c r="W1" s="332"/>
      <c r="X1" s="332"/>
      <c r="Y1" s="332"/>
      <c r="Z1" s="332"/>
      <c r="AA1" s="332"/>
      <c r="AB1" s="332"/>
      <c r="AC1" s="332"/>
      <c r="AD1" s="332"/>
      <c r="AE1" s="332"/>
      <c r="AF1" s="332"/>
      <c r="AG1" s="332"/>
      <c r="AH1" s="332"/>
      <c r="AI1" s="332"/>
      <c r="AJ1" s="332"/>
      <c r="AK1" s="332"/>
    </row>
    <row r="2" spans="1:37">
      <c r="A2" s="332"/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W2" s="332"/>
      <c r="X2" s="332"/>
      <c r="Y2" s="332"/>
      <c r="Z2" s="332"/>
      <c r="AA2" s="332"/>
      <c r="AB2" s="332"/>
      <c r="AC2" s="332"/>
      <c r="AD2" s="332"/>
      <c r="AE2" s="332"/>
      <c r="AF2" s="332"/>
      <c r="AG2" s="332"/>
      <c r="AH2" s="332"/>
      <c r="AI2" s="332"/>
      <c r="AJ2" s="332"/>
      <c r="AK2" s="332"/>
    </row>
    <row r="3" spans="1:37">
      <c r="A3" s="332"/>
      <c r="B3" s="332"/>
      <c r="C3" s="332"/>
      <c r="D3" s="332"/>
      <c r="E3" s="332"/>
      <c r="F3" s="332"/>
      <c r="G3" s="332"/>
      <c r="H3" s="332"/>
      <c r="I3" s="332"/>
      <c r="J3" s="332"/>
      <c r="K3" s="332"/>
      <c r="L3" s="332"/>
      <c r="M3" s="332"/>
      <c r="N3" s="332"/>
      <c r="O3" s="332"/>
      <c r="P3" s="332"/>
      <c r="Q3" s="332"/>
      <c r="R3" s="332"/>
      <c r="S3" s="332"/>
      <c r="T3" s="332"/>
      <c r="U3" s="332"/>
      <c r="V3" s="332"/>
      <c r="W3" s="332"/>
      <c r="X3" s="332"/>
      <c r="Y3" s="332"/>
      <c r="Z3" s="332"/>
      <c r="AA3" s="332"/>
      <c r="AB3" s="332"/>
      <c r="AC3" s="332"/>
      <c r="AD3" s="332"/>
      <c r="AE3" s="332"/>
      <c r="AF3" s="332"/>
      <c r="AG3" s="332"/>
      <c r="AH3" s="332"/>
      <c r="AI3" s="332"/>
      <c r="AJ3" s="332"/>
      <c r="AK3" s="332"/>
    </row>
    <row r="4" spans="1:37">
      <c r="A4" s="332"/>
      <c r="B4" s="332"/>
      <c r="C4" s="332"/>
      <c r="D4" s="332"/>
      <c r="E4" s="332"/>
      <c r="F4" s="332"/>
      <c r="G4" s="332"/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</row>
    <row r="5" spans="1:37">
      <c r="A5" s="332"/>
      <c r="B5" s="332"/>
      <c r="C5" s="332"/>
      <c r="D5" s="332"/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2"/>
      <c r="P5" s="332"/>
      <c r="Q5" s="332"/>
      <c r="R5" s="332"/>
      <c r="S5" s="332"/>
      <c r="T5" s="332"/>
      <c r="U5" s="332"/>
      <c r="V5" s="332"/>
      <c r="W5" s="332"/>
      <c r="X5" s="332"/>
      <c r="Y5" s="332"/>
      <c r="Z5" s="332"/>
      <c r="AA5" s="332"/>
      <c r="AB5" s="332"/>
      <c r="AC5" s="332"/>
      <c r="AD5" s="332"/>
      <c r="AE5" s="332"/>
      <c r="AF5" s="332"/>
      <c r="AG5" s="332"/>
      <c r="AH5" s="332"/>
      <c r="AI5" s="332"/>
      <c r="AJ5" s="332"/>
      <c r="AK5" s="332"/>
    </row>
    <row r="6" spans="1:37">
      <c r="A6" s="332"/>
      <c r="B6" s="332"/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  <c r="AA6" s="332"/>
      <c r="AB6" s="332"/>
      <c r="AC6" s="332"/>
      <c r="AD6" s="332"/>
      <c r="AE6" s="332"/>
      <c r="AF6" s="332"/>
      <c r="AG6" s="332"/>
      <c r="AH6" s="332"/>
      <c r="AI6" s="332"/>
      <c r="AJ6" s="332"/>
      <c r="AK6" s="332"/>
    </row>
    <row r="7" spans="1:37">
      <c r="A7" s="332"/>
      <c r="B7" s="332"/>
      <c r="C7" s="332"/>
      <c r="D7" s="332"/>
      <c r="E7" s="332"/>
      <c r="F7" s="332"/>
      <c r="G7" s="332"/>
      <c r="H7" s="332"/>
      <c r="I7" s="332"/>
      <c r="J7" s="332"/>
      <c r="K7" s="332"/>
      <c r="L7" s="332"/>
      <c r="M7" s="332"/>
      <c r="N7" s="332"/>
      <c r="O7" s="332"/>
      <c r="P7" s="332"/>
      <c r="Q7" s="332"/>
      <c r="R7" s="332"/>
      <c r="S7" s="332"/>
      <c r="T7" s="332"/>
      <c r="U7" s="332"/>
      <c r="V7" s="332"/>
      <c r="W7" s="332"/>
      <c r="X7" s="332"/>
      <c r="Y7" s="332"/>
      <c r="Z7" s="332"/>
      <c r="AA7" s="332"/>
      <c r="AB7" s="332"/>
      <c r="AC7" s="332"/>
      <c r="AD7" s="332"/>
      <c r="AE7" s="332"/>
      <c r="AF7" s="332"/>
      <c r="AG7" s="332"/>
      <c r="AH7" s="332"/>
      <c r="AI7" s="332"/>
      <c r="AJ7" s="332"/>
      <c r="AK7" s="332"/>
    </row>
    <row r="8" spans="1:37">
      <c r="A8" s="332"/>
      <c r="B8" s="332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32"/>
      <c r="AK8" s="332"/>
    </row>
    <row r="9" spans="1:37">
      <c r="A9" s="332"/>
      <c r="B9" s="332"/>
      <c r="C9" s="332"/>
      <c r="D9" s="332"/>
      <c r="E9" s="332"/>
      <c r="F9" s="332"/>
      <c r="G9" s="332"/>
      <c r="H9" s="332"/>
      <c r="I9" s="332"/>
      <c r="J9" s="332"/>
      <c r="K9" s="332"/>
      <c r="L9" s="332"/>
      <c r="M9" s="332"/>
      <c r="N9" s="332"/>
      <c r="O9" s="332"/>
      <c r="P9" s="332"/>
      <c r="Q9" s="332"/>
      <c r="R9" s="332"/>
      <c r="S9" s="332"/>
      <c r="T9" s="332"/>
      <c r="U9" s="332"/>
      <c r="V9" s="332"/>
      <c r="W9" s="332"/>
      <c r="X9" s="332"/>
      <c r="Y9" s="332"/>
      <c r="Z9" s="332"/>
      <c r="AA9" s="332"/>
      <c r="AB9" s="332"/>
      <c r="AC9" s="332"/>
      <c r="AD9" s="332"/>
      <c r="AE9" s="332"/>
      <c r="AF9" s="332"/>
      <c r="AG9" s="332"/>
      <c r="AH9" s="332"/>
      <c r="AI9" s="332"/>
      <c r="AJ9" s="332"/>
      <c r="AK9" s="332"/>
    </row>
    <row r="10" spans="1:37">
      <c r="A10" s="332"/>
      <c r="B10" s="332"/>
      <c r="C10" s="332"/>
      <c r="D10" s="332"/>
      <c r="E10" s="332"/>
      <c r="F10" s="332"/>
      <c r="G10" s="332"/>
      <c r="H10" s="332"/>
      <c r="I10" s="332"/>
      <c r="J10" s="332"/>
      <c r="K10" s="332"/>
      <c r="L10" s="332"/>
      <c r="M10" s="332"/>
      <c r="N10" s="332"/>
      <c r="O10" s="332"/>
      <c r="P10" s="332"/>
      <c r="Q10" s="332"/>
      <c r="R10" s="332"/>
      <c r="S10" s="332"/>
      <c r="T10" s="332"/>
      <c r="U10" s="332"/>
      <c r="V10" s="332"/>
      <c r="W10" s="332"/>
      <c r="X10" s="332"/>
      <c r="Y10" s="332"/>
      <c r="Z10" s="332"/>
      <c r="AA10" s="332"/>
      <c r="AB10" s="332"/>
      <c r="AC10" s="332"/>
      <c r="AD10" s="332"/>
      <c r="AE10" s="332"/>
      <c r="AF10" s="332"/>
      <c r="AG10" s="332"/>
      <c r="AH10" s="332"/>
      <c r="AI10" s="332"/>
      <c r="AJ10" s="332"/>
      <c r="AK10" s="332"/>
    </row>
    <row r="11" spans="1:37">
      <c r="A11" s="332"/>
      <c r="B11" s="332"/>
      <c r="C11" s="332"/>
      <c r="D11" s="332"/>
      <c r="E11" s="332"/>
      <c r="F11" s="332"/>
      <c r="G11" s="332"/>
      <c r="H11" s="332"/>
      <c r="I11" s="332"/>
      <c r="J11" s="332"/>
      <c r="K11" s="332"/>
      <c r="L11" s="332"/>
      <c r="M11" s="332"/>
      <c r="N11" s="332"/>
      <c r="O11" s="332"/>
      <c r="P11" s="332"/>
      <c r="Q11" s="332"/>
      <c r="R11" s="332"/>
      <c r="S11" s="332"/>
      <c r="T11" s="332"/>
      <c r="U11" s="332"/>
      <c r="V11" s="332"/>
      <c r="W11" s="332"/>
      <c r="X11" s="332"/>
      <c r="Y11" s="332"/>
      <c r="Z11" s="332"/>
      <c r="AA11" s="332"/>
      <c r="AB11" s="332"/>
      <c r="AC11" s="332"/>
      <c r="AD11" s="332"/>
      <c r="AE11" s="332"/>
      <c r="AF11" s="332"/>
      <c r="AG11" s="332"/>
      <c r="AH11" s="332"/>
      <c r="AI11" s="332"/>
      <c r="AJ11" s="332"/>
      <c r="AK11" s="332"/>
    </row>
    <row r="12" spans="1:37">
      <c r="A12" s="332"/>
      <c r="B12" s="332"/>
      <c r="C12" s="332"/>
      <c r="D12" s="332"/>
      <c r="E12" s="332"/>
      <c r="F12" s="332"/>
      <c r="G12" s="332"/>
      <c r="H12" s="332"/>
      <c r="I12" s="332"/>
      <c r="J12" s="332"/>
      <c r="K12" s="332"/>
      <c r="L12" s="332"/>
      <c r="M12" s="332"/>
      <c r="N12" s="332"/>
      <c r="O12" s="332"/>
      <c r="P12" s="332"/>
      <c r="Q12" s="332"/>
      <c r="R12" s="332"/>
      <c r="S12" s="332"/>
      <c r="T12" s="332"/>
      <c r="U12" s="332"/>
      <c r="V12" s="332"/>
      <c r="W12" s="332"/>
      <c r="X12" s="332"/>
      <c r="Y12" s="332"/>
      <c r="Z12" s="332"/>
      <c r="AA12" s="332"/>
      <c r="AB12" s="332"/>
      <c r="AC12" s="332"/>
      <c r="AD12" s="332"/>
      <c r="AE12" s="332"/>
      <c r="AF12" s="332"/>
      <c r="AG12" s="332"/>
      <c r="AH12" s="332"/>
      <c r="AI12" s="332"/>
      <c r="AJ12" s="332"/>
      <c r="AK12" s="332"/>
    </row>
    <row r="13" spans="1:37">
      <c r="A13" s="332"/>
      <c r="B13" s="332"/>
      <c r="C13" s="332"/>
      <c r="D13" s="332"/>
      <c r="E13" s="332"/>
      <c r="F13" s="332"/>
      <c r="G13" s="332"/>
      <c r="H13" s="332"/>
      <c r="I13" s="332"/>
      <c r="J13" s="332"/>
      <c r="K13" s="332"/>
      <c r="L13" s="332"/>
      <c r="M13" s="332"/>
      <c r="N13" s="332"/>
      <c r="O13" s="332"/>
      <c r="P13" s="332"/>
      <c r="Q13" s="332"/>
      <c r="R13" s="332"/>
      <c r="S13" s="332"/>
      <c r="T13" s="332"/>
      <c r="U13" s="332"/>
      <c r="V13" s="332"/>
      <c r="W13" s="332"/>
      <c r="X13" s="332"/>
      <c r="Y13" s="332"/>
      <c r="Z13" s="332"/>
      <c r="AA13" s="332"/>
      <c r="AB13" s="332"/>
      <c r="AC13" s="332"/>
      <c r="AD13" s="332"/>
      <c r="AE13" s="332"/>
      <c r="AF13" s="332"/>
      <c r="AG13" s="332"/>
      <c r="AH13" s="332"/>
      <c r="AI13" s="332"/>
      <c r="AJ13" s="332"/>
      <c r="AK13" s="332"/>
    </row>
    <row r="14" spans="1:37">
      <c r="A14" s="332"/>
      <c r="B14" s="332"/>
      <c r="C14" s="332"/>
      <c r="D14" s="332"/>
      <c r="E14" s="332"/>
      <c r="F14" s="332"/>
      <c r="G14" s="332"/>
      <c r="H14" s="332"/>
      <c r="I14" s="332"/>
      <c r="J14" s="332"/>
      <c r="K14" s="332"/>
      <c r="L14" s="332"/>
      <c r="M14" s="332"/>
      <c r="N14" s="332"/>
      <c r="O14" s="332"/>
      <c r="P14" s="332"/>
      <c r="Q14" s="332"/>
      <c r="R14" s="332"/>
      <c r="S14" s="332"/>
      <c r="T14" s="332"/>
      <c r="U14" s="332"/>
      <c r="V14" s="332"/>
      <c r="W14" s="332"/>
      <c r="X14" s="332"/>
      <c r="Y14" s="332"/>
      <c r="Z14" s="332"/>
      <c r="AA14" s="332"/>
      <c r="AB14" s="332"/>
      <c r="AC14" s="332"/>
      <c r="AD14" s="332"/>
      <c r="AE14" s="332"/>
      <c r="AF14" s="332"/>
      <c r="AG14" s="332"/>
      <c r="AH14" s="332"/>
      <c r="AI14" s="332"/>
      <c r="AJ14" s="332"/>
      <c r="AK14" s="332"/>
    </row>
    <row r="15" spans="1:37">
      <c r="A15" s="332"/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332"/>
      <c r="O15" s="332"/>
      <c r="P15" s="332"/>
      <c r="Q15" s="332"/>
      <c r="R15" s="332"/>
      <c r="S15" s="332"/>
      <c r="T15" s="332"/>
      <c r="U15" s="332"/>
      <c r="V15" s="332"/>
      <c r="W15" s="332"/>
      <c r="X15" s="332"/>
      <c r="Y15" s="332"/>
      <c r="Z15" s="332"/>
      <c r="AA15" s="332"/>
      <c r="AB15" s="332"/>
      <c r="AC15" s="332"/>
      <c r="AD15" s="332"/>
      <c r="AE15" s="332"/>
      <c r="AF15" s="332"/>
      <c r="AG15" s="332"/>
      <c r="AH15" s="332"/>
      <c r="AI15" s="332"/>
      <c r="AJ15" s="332"/>
      <c r="AK15" s="332"/>
    </row>
    <row r="16" spans="1:37">
      <c r="A16" s="332"/>
      <c r="B16" s="332"/>
      <c r="C16" s="332"/>
      <c r="D16" s="332"/>
      <c r="E16" s="332"/>
      <c r="F16" s="332"/>
      <c r="G16" s="332"/>
      <c r="H16" s="332"/>
      <c r="I16" s="332"/>
      <c r="J16" s="332"/>
      <c r="K16" s="332"/>
      <c r="L16" s="332"/>
      <c r="M16" s="332"/>
      <c r="N16" s="332"/>
      <c r="O16" s="332"/>
      <c r="P16" s="332"/>
      <c r="Q16" s="332"/>
      <c r="R16" s="332"/>
      <c r="S16" s="332"/>
      <c r="T16" s="332"/>
      <c r="U16" s="332"/>
      <c r="V16" s="332"/>
      <c r="W16" s="332"/>
      <c r="X16" s="332"/>
      <c r="Y16" s="332"/>
      <c r="Z16" s="332"/>
      <c r="AA16" s="332"/>
      <c r="AB16" s="332"/>
      <c r="AC16" s="332"/>
      <c r="AD16" s="332"/>
      <c r="AE16" s="332"/>
      <c r="AF16" s="332"/>
      <c r="AG16" s="332"/>
      <c r="AH16" s="332"/>
      <c r="AI16" s="332"/>
      <c r="AJ16" s="332"/>
      <c r="AK16" s="332"/>
    </row>
    <row r="17" spans="1:37">
      <c r="A17" s="332"/>
      <c r="B17" s="332"/>
      <c r="C17" s="332"/>
      <c r="D17" s="332"/>
      <c r="E17" s="332"/>
      <c r="F17" s="332"/>
      <c r="G17" s="332"/>
      <c r="H17" s="332"/>
      <c r="I17" s="332"/>
      <c r="J17" s="332"/>
      <c r="K17" s="332"/>
      <c r="L17" s="332"/>
      <c r="M17" s="332"/>
      <c r="N17" s="332"/>
      <c r="O17" s="332"/>
      <c r="P17" s="332"/>
      <c r="Q17" s="332"/>
      <c r="R17" s="332"/>
      <c r="S17" s="332"/>
      <c r="T17" s="332"/>
      <c r="U17" s="332"/>
      <c r="V17" s="332"/>
      <c r="W17" s="332"/>
      <c r="X17" s="332"/>
      <c r="Y17" s="332"/>
      <c r="Z17" s="332"/>
      <c r="AA17" s="332"/>
      <c r="AB17" s="332"/>
      <c r="AC17" s="332"/>
      <c r="AD17" s="332"/>
      <c r="AE17" s="332"/>
      <c r="AF17" s="332"/>
      <c r="AG17" s="332"/>
      <c r="AH17" s="332"/>
      <c r="AI17" s="332"/>
      <c r="AJ17" s="332"/>
      <c r="AK17" s="332"/>
    </row>
    <row r="18" spans="1:37">
      <c r="A18" s="332"/>
      <c r="B18" s="332"/>
      <c r="C18" s="332"/>
      <c r="D18" s="332"/>
      <c r="E18" s="332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2"/>
      <c r="Q18" s="332"/>
      <c r="R18" s="332"/>
      <c r="S18" s="332"/>
      <c r="T18" s="332"/>
      <c r="U18" s="332"/>
      <c r="V18" s="332"/>
      <c r="W18" s="332"/>
      <c r="X18" s="332"/>
      <c r="Y18" s="332"/>
      <c r="Z18" s="332"/>
      <c r="AA18" s="332"/>
      <c r="AB18" s="332"/>
      <c r="AC18" s="332"/>
      <c r="AD18" s="332"/>
      <c r="AE18" s="332"/>
      <c r="AF18" s="332"/>
      <c r="AG18" s="332"/>
      <c r="AH18" s="332"/>
      <c r="AI18" s="332"/>
      <c r="AJ18" s="332"/>
      <c r="AK18" s="332"/>
    </row>
    <row r="19" spans="1:37">
      <c r="A19" s="332"/>
      <c r="B19" s="332"/>
      <c r="C19" s="332"/>
      <c r="D19" s="332"/>
      <c r="E19" s="332"/>
      <c r="F19" s="332"/>
      <c r="G19" s="332"/>
      <c r="H19" s="332"/>
      <c r="I19" s="332"/>
      <c r="J19" s="332"/>
      <c r="K19" s="332"/>
      <c r="L19" s="332"/>
      <c r="M19" s="332"/>
      <c r="N19" s="332"/>
      <c r="O19" s="332"/>
      <c r="P19" s="332"/>
      <c r="Q19" s="332"/>
      <c r="R19" s="332"/>
      <c r="S19" s="332"/>
      <c r="T19" s="332"/>
      <c r="U19" s="332"/>
      <c r="V19" s="332"/>
      <c r="W19" s="332"/>
      <c r="X19" s="332"/>
      <c r="Y19" s="332"/>
      <c r="Z19" s="332"/>
      <c r="AA19" s="332"/>
      <c r="AB19" s="332"/>
      <c r="AC19" s="332"/>
      <c r="AD19" s="332"/>
      <c r="AE19" s="332"/>
      <c r="AF19" s="332"/>
      <c r="AG19" s="332"/>
      <c r="AH19" s="332"/>
      <c r="AI19" s="332"/>
      <c r="AJ19" s="332"/>
      <c r="AK19" s="332"/>
    </row>
    <row r="20" spans="1:37">
      <c r="A20" s="332"/>
      <c r="B20" s="332"/>
      <c r="C20" s="332"/>
      <c r="D20" s="332"/>
      <c r="E20" s="332"/>
      <c r="F20" s="332"/>
      <c r="G20" s="332"/>
      <c r="H20" s="332"/>
      <c r="I20" s="332"/>
      <c r="J20" s="332"/>
      <c r="K20" s="332"/>
      <c r="L20" s="332"/>
      <c r="M20" s="332"/>
      <c r="N20" s="332"/>
      <c r="O20" s="332"/>
      <c r="P20" s="332"/>
      <c r="Q20" s="332"/>
      <c r="R20" s="332"/>
      <c r="S20" s="332"/>
      <c r="T20" s="332"/>
      <c r="U20" s="332"/>
      <c r="V20" s="332"/>
      <c r="W20" s="332"/>
      <c r="X20" s="332"/>
      <c r="Y20" s="332"/>
      <c r="Z20" s="332"/>
      <c r="AA20" s="332"/>
      <c r="AB20" s="332"/>
      <c r="AC20" s="332"/>
      <c r="AD20" s="332"/>
      <c r="AE20" s="332"/>
      <c r="AF20" s="332"/>
      <c r="AG20" s="332"/>
      <c r="AH20" s="332"/>
      <c r="AI20" s="332"/>
      <c r="AJ20" s="332"/>
      <c r="AK20" s="332"/>
    </row>
    <row r="21" spans="1:37">
      <c r="A21" s="332"/>
      <c r="B21" s="332"/>
      <c r="C21" s="332"/>
      <c r="D21" s="332"/>
      <c r="E21" s="332"/>
      <c r="F21" s="332"/>
      <c r="G21" s="332"/>
      <c r="H21" s="332"/>
      <c r="I21" s="332"/>
      <c r="J21" s="332"/>
      <c r="K21" s="332"/>
      <c r="L21" s="332"/>
      <c r="M21" s="332"/>
      <c r="N21" s="332"/>
      <c r="O21" s="332"/>
      <c r="P21" s="332"/>
      <c r="Q21" s="332"/>
      <c r="R21" s="332"/>
      <c r="S21" s="332"/>
      <c r="T21" s="332"/>
      <c r="U21" s="332"/>
      <c r="V21" s="332"/>
      <c r="W21" s="332"/>
      <c r="X21" s="332"/>
      <c r="Y21" s="332"/>
      <c r="Z21" s="332"/>
      <c r="AA21" s="332"/>
      <c r="AB21" s="332"/>
      <c r="AC21" s="332"/>
      <c r="AD21" s="332"/>
      <c r="AE21" s="332"/>
      <c r="AF21" s="332"/>
      <c r="AG21" s="332"/>
      <c r="AH21" s="332"/>
      <c r="AI21" s="332"/>
      <c r="AJ21" s="332"/>
      <c r="AK21" s="332"/>
    </row>
    <row r="22" spans="1:37">
      <c r="A22" s="332"/>
      <c r="B22" s="332"/>
      <c r="C22" s="332"/>
      <c r="D22" s="332"/>
      <c r="E22" s="332"/>
      <c r="F22" s="332"/>
      <c r="G22" s="332"/>
      <c r="H22" s="332"/>
      <c r="I22" s="332"/>
      <c r="J22" s="332"/>
      <c r="K22" s="332"/>
      <c r="L22" s="332"/>
      <c r="M22" s="332"/>
      <c r="N22" s="332"/>
      <c r="O22" s="332"/>
      <c r="P22" s="332"/>
      <c r="Q22" s="332"/>
      <c r="R22" s="332"/>
      <c r="S22" s="332"/>
      <c r="T22" s="332"/>
      <c r="U22" s="332"/>
      <c r="V22" s="332"/>
      <c r="W22" s="332"/>
      <c r="X22" s="332"/>
      <c r="Y22" s="332"/>
      <c r="Z22" s="332"/>
      <c r="AA22" s="332"/>
      <c r="AB22" s="332"/>
      <c r="AC22" s="332"/>
      <c r="AD22" s="332"/>
      <c r="AE22" s="332"/>
      <c r="AF22" s="332"/>
      <c r="AG22" s="332"/>
      <c r="AH22" s="332"/>
      <c r="AI22" s="332"/>
      <c r="AJ22" s="332"/>
      <c r="AK22" s="332"/>
    </row>
    <row r="23" spans="1:37">
      <c r="A23" s="332"/>
      <c r="B23" s="332"/>
      <c r="C23" s="332"/>
      <c r="D23" s="332"/>
      <c r="E23" s="332"/>
      <c r="F23" s="332"/>
      <c r="G23" s="332"/>
      <c r="H23" s="332"/>
      <c r="I23" s="332"/>
      <c r="J23" s="332"/>
      <c r="K23" s="332"/>
      <c r="L23" s="332"/>
      <c r="M23" s="332"/>
      <c r="N23" s="332"/>
      <c r="O23" s="332"/>
      <c r="P23" s="332"/>
      <c r="Q23" s="332"/>
      <c r="R23" s="332"/>
      <c r="S23" s="332"/>
      <c r="T23" s="332"/>
      <c r="U23" s="332"/>
      <c r="V23" s="332"/>
      <c r="W23" s="332"/>
      <c r="X23" s="332"/>
      <c r="Y23" s="332"/>
      <c r="Z23" s="332"/>
      <c r="AA23" s="332"/>
      <c r="AB23" s="332"/>
      <c r="AC23" s="332"/>
      <c r="AD23" s="332"/>
      <c r="AE23" s="332"/>
      <c r="AF23" s="332"/>
      <c r="AG23" s="332"/>
      <c r="AH23" s="332"/>
      <c r="AI23" s="332"/>
      <c r="AJ23" s="332"/>
      <c r="AK23" s="332"/>
    </row>
    <row r="24" spans="1:37">
      <c r="A24" s="332"/>
      <c r="B24" s="332"/>
      <c r="C24" s="332"/>
      <c r="D24" s="332"/>
      <c r="E24" s="332"/>
      <c r="F24" s="332"/>
      <c r="G24" s="332"/>
      <c r="H24" s="332"/>
      <c r="I24" s="332"/>
      <c r="J24" s="332"/>
      <c r="K24" s="332"/>
      <c r="L24" s="332"/>
      <c r="M24" s="332"/>
      <c r="N24" s="332"/>
      <c r="O24" s="332"/>
      <c r="P24" s="332"/>
      <c r="Q24" s="332"/>
      <c r="R24" s="332"/>
      <c r="S24" s="332"/>
      <c r="T24" s="332"/>
      <c r="U24" s="332"/>
      <c r="V24" s="332"/>
      <c r="W24" s="332"/>
      <c r="X24" s="332"/>
      <c r="Y24" s="332"/>
      <c r="Z24" s="332"/>
      <c r="AA24" s="332"/>
      <c r="AB24" s="332"/>
      <c r="AC24" s="332"/>
      <c r="AD24" s="332"/>
      <c r="AE24" s="332"/>
      <c r="AF24" s="332"/>
      <c r="AG24" s="332"/>
      <c r="AH24" s="332"/>
      <c r="AI24" s="332"/>
      <c r="AJ24" s="332"/>
      <c r="AK24" s="332"/>
    </row>
    <row r="25" spans="1:37">
      <c r="A25" s="332"/>
      <c r="B25" s="332"/>
      <c r="C25" s="332"/>
      <c r="D25" s="332"/>
      <c r="E25" s="332"/>
      <c r="F25" s="332"/>
      <c r="G25" s="332"/>
      <c r="H25" s="332"/>
      <c r="I25" s="332"/>
      <c r="J25" s="332"/>
      <c r="K25" s="332"/>
      <c r="L25" s="332"/>
      <c r="M25" s="332"/>
      <c r="N25" s="332"/>
      <c r="O25" s="332"/>
      <c r="P25" s="332"/>
      <c r="Q25" s="332"/>
      <c r="R25" s="332"/>
      <c r="S25" s="332"/>
      <c r="T25" s="332"/>
      <c r="U25" s="332"/>
      <c r="V25" s="332"/>
      <c r="W25" s="332"/>
      <c r="X25" s="332"/>
      <c r="Y25" s="332"/>
      <c r="Z25" s="332"/>
      <c r="AA25" s="332"/>
      <c r="AB25" s="332"/>
      <c r="AC25" s="332"/>
      <c r="AD25" s="332"/>
      <c r="AE25" s="332"/>
      <c r="AF25" s="332"/>
      <c r="AG25" s="332"/>
      <c r="AH25" s="332"/>
      <c r="AI25" s="332"/>
      <c r="AJ25" s="332"/>
      <c r="AK25" s="332"/>
    </row>
    <row r="26" spans="1:37">
      <c r="A26" s="332"/>
      <c r="B26" s="332"/>
      <c r="C26" s="332"/>
      <c r="D26" s="332"/>
      <c r="E26" s="332"/>
      <c r="F26" s="332"/>
      <c r="G26" s="332"/>
      <c r="H26" s="332"/>
      <c r="I26" s="332"/>
      <c r="J26" s="332"/>
      <c r="K26" s="332"/>
      <c r="L26" s="332"/>
      <c r="M26" s="332"/>
      <c r="N26" s="332"/>
      <c r="O26" s="332"/>
      <c r="P26" s="332"/>
      <c r="Q26" s="332"/>
      <c r="R26" s="332"/>
      <c r="S26" s="332"/>
      <c r="T26" s="332"/>
      <c r="U26" s="332"/>
      <c r="V26" s="332"/>
      <c r="W26" s="332"/>
      <c r="X26" s="332"/>
      <c r="Y26" s="332"/>
      <c r="Z26" s="332"/>
      <c r="AA26" s="332"/>
      <c r="AB26" s="332"/>
      <c r="AC26" s="332"/>
      <c r="AD26" s="332"/>
      <c r="AE26" s="332"/>
      <c r="AF26" s="332"/>
      <c r="AG26" s="332"/>
      <c r="AH26" s="332"/>
      <c r="AI26" s="332"/>
      <c r="AJ26" s="332"/>
      <c r="AK26" s="332"/>
    </row>
    <row r="27" spans="1:37">
      <c r="A27" s="332"/>
      <c r="B27" s="332"/>
      <c r="C27" s="332"/>
      <c r="D27" s="332"/>
      <c r="E27" s="332"/>
      <c r="F27" s="332"/>
      <c r="G27" s="332"/>
      <c r="H27" s="332"/>
      <c r="I27" s="332"/>
      <c r="J27" s="332"/>
      <c r="K27" s="332"/>
      <c r="L27" s="332"/>
      <c r="M27" s="332"/>
      <c r="N27" s="332"/>
      <c r="O27" s="332"/>
      <c r="P27" s="332"/>
      <c r="Q27" s="332"/>
      <c r="R27" s="332"/>
      <c r="S27" s="332"/>
      <c r="T27" s="332"/>
      <c r="U27" s="332"/>
      <c r="V27" s="332"/>
      <c r="W27" s="332"/>
      <c r="X27" s="332"/>
      <c r="Y27" s="332"/>
      <c r="Z27" s="332"/>
      <c r="AA27" s="332"/>
      <c r="AB27" s="332"/>
      <c r="AC27" s="332"/>
      <c r="AD27" s="332"/>
      <c r="AE27" s="332"/>
      <c r="AF27" s="332"/>
      <c r="AG27" s="332"/>
      <c r="AH27" s="332"/>
      <c r="AI27" s="332"/>
      <c r="AJ27" s="332"/>
      <c r="AK27" s="332"/>
    </row>
    <row r="28" spans="1:37">
      <c r="A28" s="332"/>
      <c r="B28" s="332"/>
      <c r="C28" s="332"/>
      <c r="D28" s="332"/>
      <c r="E28" s="332"/>
      <c r="F28" s="332"/>
      <c r="G28" s="332"/>
      <c r="H28" s="332"/>
      <c r="I28" s="332"/>
      <c r="J28" s="332"/>
      <c r="K28" s="332"/>
      <c r="L28" s="332"/>
      <c r="M28" s="332"/>
      <c r="N28" s="332"/>
      <c r="O28" s="332"/>
      <c r="P28" s="332"/>
      <c r="Q28" s="332"/>
      <c r="R28" s="332"/>
      <c r="S28" s="332"/>
      <c r="T28" s="332"/>
      <c r="U28" s="332"/>
      <c r="V28" s="332"/>
      <c r="W28" s="332"/>
      <c r="X28" s="332"/>
      <c r="Y28" s="332"/>
      <c r="Z28" s="332"/>
      <c r="AA28" s="332"/>
      <c r="AB28" s="332"/>
      <c r="AC28" s="332"/>
      <c r="AD28" s="332"/>
      <c r="AE28" s="332"/>
      <c r="AF28" s="332"/>
      <c r="AG28" s="332"/>
      <c r="AH28" s="332"/>
      <c r="AI28" s="332"/>
      <c r="AJ28" s="332"/>
      <c r="AK28" s="332"/>
    </row>
    <row r="29" spans="1:37">
      <c r="A29" s="332"/>
      <c r="B29" s="332"/>
      <c r="C29" s="332"/>
      <c r="D29" s="332"/>
      <c r="E29" s="332"/>
      <c r="F29" s="332"/>
      <c r="G29" s="332"/>
      <c r="H29" s="332"/>
      <c r="I29" s="332"/>
      <c r="J29" s="332"/>
      <c r="K29" s="332"/>
      <c r="L29" s="332"/>
      <c r="M29" s="332"/>
      <c r="N29" s="332"/>
      <c r="O29" s="332"/>
      <c r="P29" s="332"/>
      <c r="Q29" s="332"/>
      <c r="R29" s="332"/>
      <c r="S29" s="332"/>
      <c r="T29" s="332"/>
      <c r="U29" s="332"/>
      <c r="V29" s="332"/>
      <c r="W29" s="332"/>
      <c r="X29" s="332"/>
      <c r="Y29" s="332"/>
      <c r="Z29" s="332"/>
      <c r="AA29" s="332"/>
      <c r="AB29" s="332"/>
      <c r="AC29" s="332"/>
      <c r="AD29" s="332"/>
      <c r="AE29" s="332"/>
      <c r="AF29" s="332"/>
      <c r="AG29" s="332"/>
      <c r="AH29" s="332"/>
      <c r="AI29" s="332"/>
      <c r="AJ29" s="332"/>
      <c r="AK29" s="332"/>
    </row>
    <row r="30" spans="1:37">
      <c r="A30" s="332"/>
      <c r="B30" s="332"/>
      <c r="C30" s="332"/>
      <c r="D30" s="332"/>
      <c r="E30" s="332"/>
      <c r="F30" s="332"/>
      <c r="G30" s="332"/>
      <c r="H30" s="332"/>
      <c r="I30" s="332"/>
      <c r="J30" s="332"/>
      <c r="K30" s="332"/>
      <c r="L30" s="332"/>
      <c r="M30" s="332"/>
      <c r="N30" s="332"/>
      <c r="O30" s="332"/>
      <c r="P30" s="332"/>
      <c r="Q30" s="332"/>
      <c r="R30" s="332"/>
      <c r="S30" s="332"/>
      <c r="T30" s="332"/>
      <c r="U30" s="332"/>
      <c r="V30" s="332"/>
      <c r="W30" s="332"/>
      <c r="X30" s="332"/>
      <c r="Y30" s="332"/>
      <c r="Z30" s="332"/>
      <c r="AA30" s="332"/>
      <c r="AB30" s="332"/>
      <c r="AC30" s="332"/>
      <c r="AD30" s="332"/>
      <c r="AE30" s="332"/>
      <c r="AF30" s="332"/>
      <c r="AG30" s="332"/>
      <c r="AH30" s="332"/>
      <c r="AI30" s="332"/>
      <c r="AJ30" s="332"/>
      <c r="AK30" s="332"/>
    </row>
    <row r="31" spans="1:37">
      <c r="A31" s="332"/>
      <c r="B31" s="332"/>
      <c r="C31" s="332"/>
      <c r="D31" s="332"/>
      <c r="E31" s="332"/>
      <c r="F31" s="332"/>
      <c r="G31" s="332"/>
      <c r="H31" s="332"/>
      <c r="I31" s="332"/>
      <c r="J31" s="332"/>
      <c r="K31" s="332"/>
      <c r="L31" s="332"/>
      <c r="M31" s="332"/>
      <c r="N31" s="332"/>
      <c r="O31" s="332"/>
      <c r="P31" s="332"/>
      <c r="Q31" s="332"/>
      <c r="R31" s="332"/>
      <c r="S31" s="332"/>
      <c r="T31" s="332"/>
      <c r="U31" s="332"/>
      <c r="V31" s="332"/>
      <c r="W31" s="332"/>
      <c r="X31" s="332"/>
      <c r="Y31" s="332"/>
      <c r="Z31" s="332"/>
      <c r="AA31" s="332"/>
      <c r="AB31" s="332"/>
      <c r="AC31" s="332"/>
      <c r="AD31" s="332"/>
      <c r="AE31" s="332"/>
      <c r="AF31" s="332"/>
      <c r="AG31" s="332"/>
      <c r="AH31" s="332"/>
      <c r="AI31" s="332"/>
      <c r="AJ31" s="332"/>
      <c r="AK31" s="332"/>
    </row>
    <row r="32" spans="1:37">
      <c r="A32" s="332"/>
      <c r="B32" s="332"/>
      <c r="C32" s="332"/>
      <c r="D32" s="332"/>
      <c r="E32" s="332"/>
      <c r="F32" s="332"/>
      <c r="G32" s="332"/>
      <c r="H32" s="332"/>
      <c r="I32" s="332"/>
      <c r="J32" s="332"/>
      <c r="K32" s="332"/>
      <c r="L32" s="332"/>
      <c r="M32" s="332"/>
      <c r="N32" s="332"/>
      <c r="O32" s="332"/>
      <c r="P32" s="332"/>
      <c r="Q32" s="332"/>
      <c r="R32" s="332"/>
      <c r="S32" s="332"/>
      <c r="T32" s="332"/>
      <c r="U32" s="332"/>
      <c r="V32" s="332"/>
      <c r="W32" s="332"/>
      <c r="X32" s="332"/>
      <c r="Y32" s="332"/>
      <c r="Z32" s="332"/>
      <c r="AA32" s="332"/>
      <c r="AB32" s="332"/>
      <c r="AC32" s="332"/>
      <c r="AD32" s="332"/>
      <c r="AE32" s="332"/>
      <c r="AF32" s="332"/>
      <c r="AG32" s="332"/>
      <c r="AH32" s="332"/>
      <c r="AI32" s="332"/>
      <c r="AJ32" s="332"/>
      <c r="AK32" s="332"/>
    </row>
    <row r="33" spans="1:37">
      <c r="A33" s="332"/>
      <c r="B33" s="332"/>
      <c r="C33" s="332"/>
      <c r="D33" s="332"/>
      <c r="E33" s="332"/>
      <c r="F33" s="332"/>
      <c r="G33" s="332"/>
      <c r="H33" s="332"/>
      <c r="I33" s="332"/>
      <c r="J33" s="332"/>
      <c r="K33" s="332"/>
      <c r="L33" s="332"/>
      <c r="M33" s="332"/>
      <c r="N33" s="332"/>
      <c r="O33" s="332"/>
      <c r="P33" s="332"/>
      <c r="Q33" s="332"/>
      <c r="R33" s="332"/>
      <c r="S33" s="332"/>
      <c r="T33" s="332"/>
      <c r="U33" s="332"/>
      <c r="V33" s="332"/>
      <c r="W33" s="332"/>
      <c r="X33" s="332"/>
      <c r="Y33" s="332"/>
      <c r="Z33" s="332"/>
      <c r="AA33" s="332"/>
      <c r="AB33" s="332"/>
      <c r="AC33" s="332"/>
      <c r="AD33" s="332"/>
      <c r="AE33" s="332"/>
      <c r="AF33" s="332"/>
      <c r="AG33" s="332"/>
      <c r="AH33" s="332"/>
      <c r="AI33" s="332"/>
      <c r="AJ33" s="332"/>
      <c r="AK33" s="332"/>
    </row>
    <row r="34" spans="1:37">
      <c r="A34" s="332"/>
      <c r="B34" s="332"/>
      <c r="C34" s="332"/>
      <c r="D34" s="332"/>
      <c r="E34" s="332"/>
      <c r="F34" s="332"/>
      <c r="G34" s="332"/>
      <c r="H34" s="332"/>
      <c r="I34" s="332"/>
      <c r="J34" s="332"/>
      <c r="K34" s="332"/>
      <c r="L34" s="332"/>
      <c r="M34" s="332"/>
      <c r="N34" s="332"/>
      <c r="O34" s="332"/>
      <c r="P34" s="332"/>
      <c r="Q34" s="332"/>
      <c r="R34" s="332"/>
      <c r="S34" s="332"/>
      <c r="T34" s="332"/>
      <c r="U34" s="332"/>
      <c r="V34" s="332"/>
      <c r="W34" s="332"/>
      <c r="X34" s="332"/>
      <c r="Y34" s="332"/>
      <c r="Z34" s="332"/>
      <c r="AA34" s="332"/>
      <c r="AB34" s="332"/>
      <c r="AC34" s="332"/>
      <c r="AD34" s="332"/>
      <c r="AE34" s="332"/>
      <c r="AF34" s="332"/>
      <c r="AG34" s="332"/>
      <c r="AH34" s="332"/>
      <c r="AI34" s="332"/>
      <c r="AJ34" s="332"/>
      <c r="AK34" s="332"/>
    </row>
    <row r="35" spans="1:37">
      <c r="A35" s="332"/>
      <c r="B35" s="332"/>
      <c r="C35" s="332"/>
      <c r="D35" s="332"/>
      <c r="E35" s="332"/>
      <c r="F35" s="332"/>
      <c r="G35" s="332"/>
      <c r="H35" s="332"/>
      <c r="I35" s="332"/>
      <c r="J35" s="332"/>
      <c r="K35" s="332"/>
      <c r="L35" s="332"/>
      <c r="M35" s="332"/>
      <c r="N35" s="332"/>
      <c r="O35" s="332"/>
      <c r="P35" s="332"/>
      <c r="Q35" s="332"/>
      <c r="R35" s="332"/>
      <c r="S35" s="332"/>
      <c r="T35" s="332"/>
      <c r="U35" s="332"/>
      <c r="V35" s="332"/>
      <c r="W35" s="332"/>
      <c r="X35" s="332"/>
      <c r="Y35" s="332"/>
      <c r="Z35" s="332"/>
      <c r="AA35" s="332"/>
      <c r="AB35" s="332"/>
      <c r="AC35" s="332"/>
      <c r="AD35" s="332"/>
      <c r="AE35" s="332"/>
      <c r="AF35" s="332"/>
      <c r="AG35" s="332"/>
      <c r="AH35" s="332"/>
      <c r="AI35" s="332"/>
      <c r="AJ35" s="332"/>
      <c r="AK35" s="332"/>
    </row>
    <row r="36" spans="1:37">
      <c r="A36" s="332"/>
      <c r="B36" s="332"/>
      <c r="C36" s="332"/>
      <c r="D36" s="332"/>
      <c r="E36" s="332"/>
      <c r="F36" s="332"/>
      <c r="G36" s="332"/>
      <c r="H36" s="332"/>
      <c r="I36" s="332"/>
      <c r="J36" s="332"/>
      <c r="K36" s="332"/>
      <c r="L36" s="332"/>
      <c r="M36" s="332"/>
      <c r="N36" s="332"/>
      <c r="O36" s="332"/>
      <c r="P36" s="332"/>
      <c r="Q36" s="332"/>
      <c r="R36" s="332"/>
      <c r="S36" s="332"/>
      <c r="T36" s="332"/>
      <c r="U36" s="332"/>
      <c r="V36" s="332"/>
      <c r="W36" s="332"/>
      <c r="X36" s="332"/>
      <c r="Y36" s="332"/>
      <c r="Z36" s="332"/>
      <c r="AA36" s="332"/>
      <c r="AB36" s="332"/>
      <c r="AC36" s="332"/>
      <c r="AD36" s="332"/>
      <c r="AE36" s="332"/>
      <c r="AF36" s="332"/>
      <c r="AG36" s="332"/>
      <c r="AH36" s="332"/>
      <c r="AI36" s="332"/>
      <c r="AJ36" s="332"/>
      <c r="AK36" s="332"/>
    </row>
    <row r="37" spans="1:37">
      <c r="A37" s="332"/>
      <c r="B37" s="332"/>
      <c r="C37" s="332"/>
      <c r="D37" s="332"/>
      <c r="E37" s="332"/>
      <c r="F37" s="332"/>
      <c r="G37" s="332"/>
      <c r="H37" s="332"/>
      <c r="I37" s="332"/>
      <c r="J37" s="332"/>
      <c r="K37" s="332"/>
      <c r="L37" s="332"/>
      <c r="M37" s="332"/>
      <c r="N37" s="332"/>
      <c r="O37" s="332"/>
      <c r="P37" s="332"/>
      <c r="Q37" s="332"/>
      <c r="R37" s="332"/>
      <c r="S37" s="332"/>
      <c r="T37" s="332"/>
      <c r="U37" s="332"/>
      <c r="V37" s="332"/>
      <c r="W37" s="332"/>
      <c r="X37" s="332"/>
      <c r="Y37" s="332"/>
      <c r="Z37" s="332"/>
      <c r="AA37" s="332"/>
      <c r="AB37" s="332"/>
      <c r="AC37" s="332"/>
      <c r="AD37" s="332"/>
      <c r="AE37" s="332"/>
      <c r="AF37" s="332"/>
      <c r="AG37" s="332"/>
      <c r="AH37" s="332"/>
      <c r="AI37" s="332"/>
      <c r="AJ37" s="332"/>
      <c r="AK37" s="332"/>
    </row>
    <row r="38" spans="1:37">
      <c r="A38" s="332"/>
      <c r="B38" s="332"/>
      <c r="C38" s="332"/>
      <c r="D38" s="332"/>
      <c r="E38" s="332"/>
      <c r="F38" s="332"/>
      <c r="G38" s="332"/>
      <c r="H38" s="332"/>
      <c r="I38" s="332"/>
      <c r="J38" s="332"/>
      <c r="K38" s="332"/>
      <c r="L38" s="332"/>
      <c r="M38" s="332"/>
      <c r="N38" s="332"/>
      <c r="O38" s="332"/>
      <c r="P38" s="332"/>
      <c r="Q38" s="332"/>
      <c r="R38" s="332"/>
      <c r="S38" s="332"/>
      <c r="T38" s="332"/>
      <c r="U38" s="332"/>
      <c r="V38" s="332"/>
      <c r="W38" s="332"/>
      <c r="X38" s="332"/>
      <c r="Y38" s="332"/>
      <c r="Z38" s="332"/>
      <c r="AA38" s="332"/>
      <c r="AB38" s="332"/>
      <c r="AC38" s="332"/>
      <c r="AD38" s="332"/>
      <c r="AE38" s="332"/>
      <c r="AF38" s="332"/>
      <c r="AG38" s="332"/>
      <c r="AH38" s="332"/>
      <c r="AI38" s="332"/>
      <c r="AJ38" s="332"/>
      <c r="AK38" s="332"/>
    </row>
    <row r="39" spans="1:37">
      <c r="A39" s="332"/>
      <c r="B39" s="332"/>
      <c r="C39" s="332"/>
      <c r="D39" s="332"/>
      <c r="E39" s="332"/>
      <c r="F39" s="332"/>
      <c r="G39" s="332"/>
      <c r="H39" s="332"/>
      <c r="I39" s="332"/>
      <c r="J39" s="332"/>
      <c r="K39" s="332"/>
      <c r="L39" s="332"/>
      <c r="M39" s="332"/>
      <c r="N39" s="332"/>
      <c r="O39" s="332"/>
      <c r="P39" s="332"/>
      <c r="Q39" s="332"/>
      <c r="R39" s="332"/>
      <c r="S39" s="332"/>
      <c r="T39" s="332"/>
      <c r="U39" s="332"/>
      <c r="V39" s="332"/>
      <c r="W39" s="332"/>
      <c r="X39" s="332"/>
      <c r="Y39" s="332"/>
      <c r="Z39" s="332"/>
      <c r="AA39" s="332"/>
      <c r="AB39" s="332"/>
      <c r="AC39" s="332"/>
      <c r="AD39" s="332"/>
      <c r="AE39" s="332"/>
      <c r="AF39" s="332"/>
      <c r="AG39" s="332"/>
      <c r="AH39" s="332"/>
      <c r="AI39" s="332"/>
      <c r="AJ39" s="332"/>
      <c r="AK39" s="332"/>
    </row>
    <row r="40" spans="1:37">
      <c r="A40" s="332"/>
      <c r="B40" s="332"/>
      <c r="C40" s="332"/>
      <c r="D40" s="332"/>
      <c r="E40" s="332"/>
      <c r="F40" s="332"/>
      <c r="G40" s="332"/>
      <c r="H40" s="332"/>
      <c r="I40" s="332"/>
      <c r="J40" s="332"/>
      <c r="K40" s="332"/>
      <c r="L40" s="332"/>
      <c r="M40" s="332"/>
      <c r="N40" s="332"/>
      <c r="O40" s="332"/>
      <c r="P40" s="332"/>
      <c r="Q40" s="332"/>
      <c r="R40" s="332"/>
      <c r="S40" s="332"/>
      <c r="T40" s="332"/>
      <c r="U40" s="332"/>
      <c r="V40" s="332"/>
      <c r="W40" s="332"/>
      <c r="X40" s="332"/>
      <c r="Y40" s="332"/>
      <c r="Z40" s="332"/>
      <c r="AA40" s="332"/>
      <c r="AB40" s="332"/>
      <c r="AC40" s="332"/>
      <c r="AD40" s="332"/>
      <c r="AE40" s="332"/>
      <c r="AF40" s="332"/>
      <c r="AG40" s="332"/>
      <c r="AH40" s="332"/>
      <c r="AI40" s="332"/>
      <c r="AJ40" s="332"/>
      <c r="AK40" s="332"/>
    </row>
    <row r="41" spans="1:37">
      <c r="A41" s="332"/>
      <c r="B41" s="332"/>
      <c r="C41" s="332"/>
      <c r="D41" s="332"/>
      <c r="E41" s="332"/>
      <c r="F41" s="332"/>
      <c r="G41" s="332"/>
      <c r="H41" s="332"/>
      <c r="I41" s="332"/>
      <c r="J41" s="332"/>
      <c r="K41" s="332"/>
      <c r="L41" s="332"/>
      <c r="M41" s="332"/>
      <c r="N41" s="332"/>
      <c r="O41" s="332"/>
      <c r="P41" s="332"/>
      <c r="Q41" s="332"/>
      <c r="R41" s="332"/>
      <c r="S41" s="332"/>
      <c r="T41" s="332"/>
      <c r="U41" s="332"/>
      <c r="V41" s="332"/>
      <c r="W41" s="332"/>
      <c r="X41" s="332"/>
      <c r="Y41" s="332"/>
      <c r="Z41" s="332"/>
      <c r="AA41" s="332"/>
      <c r="AB41" s="332"/>
      <c r="AC41" s="332"/>
      <c r="AD41" s="332"/>
      <c r="AE41" s="332"/>
      <c r="AF41" s="332"/>
      <c r="AG41" s="332"/>
      <c r="AH41" s="332"/>
      <c r="AI41" s="332"/>
      <c r="AJ41" s="332"/>
      <c r="AK41" s="332"/>
    </row>
    <row r="42" spans="1:37">
      <c r="A42" s="332"/>
      <c r="B42" s="332"/>
      <c r="C42" s="332"/>
      <c r="D42" s="332"/>
      <c r="E42" s="332"/>
      <c r="F42" s="332"/>
      <c r="G42" s="332"/>
      <c r="H42" s="332"/>
      <c r="I42" s="332"/>
      <c r="J42" s="332"/>
      <c r="K42" s="332"/>
      <c r="L42" s="332"/>
      <c r="M42" s="332"/>
      <c r="N42" s="332"/>
      <c r="O42" s="332"/>
      <c r="P42" s="332"/>
      <c r="Q42" s="332"/>
      <c r="R42" s="332"/>
      <c r="S42" s="332"/>
      <c r="T42" s="332"/>
      <c r="U42" s="332"/>
      <c r="V42" s="332"/>
      <c r="W42" s="332"/>
      <c r="X42" s="332"/>
      <c r="Y42" s="332"/>
      <c r="Z42" s="332"/>
      <c r="AA42" s="332"/>
      <c r="AB42" s="332"/>
      <c r="AC42" s="332"/>
      <c r="AD42" s="332"/>
      <c r="AE42" s="332"/>
      <c r="AF42" s="332"/>
      <c r="AG42" s="332"/>
      <c r="AH42" s="332"/>
      <c r="AI42" s="332"/>
      <c r="AJ42" s="332"/>
      <c r="AK42" s="332"/>
    </row>
    <row r="43" spans="1:37">
      <c r="A43" s="332"/>
      <c r="B43" s="332"/>
      <c r="C43" s="332"/>
      <c r="D43" s="332"/>
      <c r="E43" s="332"/>
      <c r="F43" s="332"/>
      <c r="G43" s="332"/>
      <c r="H43" s="332"/>
      <c r="I43" s="332"/>
      <c r="J43" s="332"/>
      <c r="K43" s="332"/>
      <c r="L43" s="332"/>
      <c r="M43" s="332"/>
      <c r="N43" s="332"/>
      <c r="O43" s="332"/>
      <c r="P43" s="332"/>
      <c r="Q43" s="332"/>
      <c r="R43" s="332"/>
      <c r="S43" s="332"/>
      <c r="T43" s="332"/>
      <c r="U43" s="332"/>
      <c r="V43" s="332"/>
      <c r="W43" s="332"/>
      <c r="X43" s="332"/>
      <c r="Y43" s="332"/>
      <c r="Z43" s="332"/>
      <c r="AA43" s="332"/>
      <c r="AB43" s="332"/>
      <c r="AC43" s="332"/>
      <c r="AD43" s="332"/>
      <c r="AE43" s="332"/>
      <c r="AF43" s="332"/>
      <c r="AG43" s="332"/>
      <c r="AH43" s="332"/>
      <c r="AI43" s="332"/>
      <c r="AJ43" s="332"/>
      <c r="AK43" s="332"/>
    </row>
    <row r="44" spans="1:37">
      <c r="A44" s="332"/>
      <c r="B44" s="332"/>
      <c r="C44" s="332"/>
      <c r="D44" s="332"/>
      <c r="E44" s="332"/>
      <c r="F44" s="332"/>
      <c r="G44" s="332"/>
      <c r="H44" s="332"/>
      <c r="I44" s="332"/>
      <c r="J44" s="332"/>
      <c r="K44" s="332"/>
      <c r="L44" s="332"/>
      <c r="M44" s="332"/>
      <c r="N44" s="332"/>
      <c r="O44" s="332"/>
      <c r="P44" s="332"/>
      <c r="Q44" s="332"/>
      <c r="R44" s="332"/>
      <c r="S44" s="332"/>
      <c r="T44" s="332"/>
      <c r="U44" s="332"/>
      <c r="V44" s="332"/>
      <c r="W44" s="332"/>
      <c r="X44" s="332"/>
      <c r="Y44" s="332"/>
      <c r="Z44" s="332"/>
      <c r="AA44" s="332"/>
      <c r="AB44" s="332"/>
      <c r="AC44" s="332"/>
      <c r="AD44" s="332"/>
      <c r="AE44" s="332"/>
      <c r="AF44" s="332"/>
      <c r="AG44" s="332"/>
      <c r="AH44" s="332"/>
      <c r="AI44" s="332"/>
      <c r="AJ44" s="332"/>
      <c r="AK44" s="332"/>
    </row>
    <row r="45" spans="1:37">
      <c r="A45" s="332"/>
      <c r="B45" s="332"/>
      <c r="C45" s="332"/>
      <c r="D45" s="332"/>
      <c r="E45" s="332"/>
      <c r="F45" s="332"/>
      <c r="G45" s="332"/>
      <c r="H45" s="332"/>
      <c r="I45" s="332"/>
      <c r="J45" s="332"/>
      <c r="K45" s="332"/>
      <c r="L45" s="332"/>
      <c r="M45" s="332"/>
      <c r="N45" s="332"/>
      <c r="O45" s="332"/>
      <c r="P45" s="332"/>
      <c r="Q45" s="332"/>
      <c r="R45" s="332"/>
      <c r="S45" s="332"/>
      <c r="T45" s="332"/>
      <c r="U45" s="332"/>
      <c r="V45" s="332"/>
      <c r="W45" s="332"/>
      <c r="X45" s="332"/>
      <c r="Y45" s="332"/>
      <c r="Z45" s="332"/>
      <c r="AA45" s="332"/>
      <c r="AB45" s="332"/>
      <c r="AC45" s="332"/>
      <c r="AD45" s="332"/>
      <c r="AE45" s="332"/>
      <c r="AF45" s="332"/>
      <c r="AG45" s="332"/>
      <c r="AH45" s="332"/>
      <c r="AI45" s="332"/>
      <c r="AJ45" s="332"/>
      <c r="AK45" s="332"/>
    </row>
    <row r="46" spans="1:37">
      <c r="A46" s="332"/>
      <c r="B46" s="332"/>
      <c r="C46" s="332"/>
      <c r="D46" s="332"/>
      <c r="E46" s="332"/>
      <c r="F46" s="332"/>
      <c r="G46" s="332"/>
      <c r="H46" s="332"/>
      <c r="I46" s="332"/>
      <c r="J46" s="332"/>
      <c r="K46" s="332"/>
      <c r="L46" s="332"/>
      <c r="M46" s="332"/>
      <c r="N46" s="332"/>
      <c r="O46" s="332"/>
      <c r="P46" s="332"/>
      <c r="Q46" s="332"/>
      <c r="R46" s="332"/>
      <c r="S46" s="332"/>
      <c r="T46" s="332"/>
      <c r="U46" s="332"/>
      <c r="V46" s="332"/>
      <c r="W46" s="332"/>
      <c r="X46" s="332"/>
      <c r="Y46" s="332"/>
      <c r="Z46" s="332"/>
      <c r="AA46" s="332"/>
      <c r="AB46" s="332"/>
      <c r="AC46" s="332"/>
      <c r="AD46" s="332"/>
      <c r="AE46" s="332"/>
      <c r="AF46" s="332"/>
      <c r="AG46" s="332"/>
      <c r="AH46" s="332"/>
      <c r="AI46" s="332"/>
      <c r="AJ46" s="332"/>
      <c r="AK46" s="332"/>
    </row>
    <row r="47" spans="1:37">
      <c r="A47" s="332"/>
      <c r="B47" s="332"/>
      <c r="C47" s="332"/>
      <c r="D47" s="332"/>
      <c r="E47" s="332"/>
      <c r="F47" s="332"/>
      <c r="G47" s="332"/>
      <c r="H47" s="332"/>
      <c r="I47" s="332"/>
      <c r="J47" s="332"/>
      <c r="K47" s="332"/>
      <c r="L47" s="332"/>
      <c r="M47" s="332"/>
      <c r="N47" s="332"/>
      <c r="O47" s="332"/>
      <c r="P47" s="332"/>
      <c r="Q47" s="332"/>
      <c r="R47" s="332"/>
      <c r="S47" s="332"/>
      <c r="T47" s="332"/>
      <c r="U47" s="332"/>
      <c r="V47" s="332"/>
      <c r="W47" s="332"/>
      <c r="X47" s="332"/>
      <c r="Y47" s="332"/>
      <c r="Z47" s="332"/>
      <c r="AA47" s="332"/>
      <c r="AB47" s="332"/>
      <c r="AC47" s="332"/>
      <c r="AD47" s="332"/>
      <c r="AE47" s="332"/>
      <c r="AF47" s="332"/>
      <c r="AG47" s="332"/>
      <c r="AH47" s="332"/>
      <c r="AI47" s="332"/>
      <c r="AJ47" s="332"/>
      <c r="AK47" s="332"/>
    </row>
    <row r="48" spans="1:37">
      <c r="A48" s="332"/>
      <c r="B48" s="332"/>
      <c r="C48" s="332"/>
      <c r="D48" s="332"/>
      <c r="E48" s="332"/>
      <c r="F48" s="332"/>
      <c r="G48" s="332"/>
      <c r="H48" s="332"/>
      <c r="I48" s="332"/>
      <c r="J48" s="332"/>
      <c r="K48" s="332"/>
      <c r="L48" s="332"/>
      <c r="M48" s="332"/>
      <c r="N48" s="332"/>
      <c r="O48" s="332"/>
      <c r="P48" s="332"/>
      <c r="Q48" s="332"/>
      <c r="R48" s="332"/>
      <c r="S48" s="332"/>
      <c r="T48" s="332"/>
      <c r="U48" s="332"/>
      <c r="V48" s="332"/>
      <c r="W48" s="332"/>
      <c r="X48" s="332"/>
      <c r="Y48" s="332"/>
      <c r="Z48" s="332"/>
      <c r="AA48" s="332"/>
      <c r="AB48" s="332"/>
      <c r="AC48" s="332"/>
      <c r="AD48" s="332"/>
      <c r="AE48" s="332"/>
      <c r="AF48" s="332"/>
      <c r="AG48" s="332"/>
      <c r="AH48" s="332"/>
      <c r="AI48" s="332"/>
      <c r="AJ48" s="332"/>
      <c r="AK48" s="332"/>
    </row>
    <row r="49" spans="1:37">
      <c r="A49" s="332"/>
      <c r="B49" s="332"/>
      <c r="C49" s="332"/>
      <c r="D49" s="332"/>
      <c r="E49" s="332"/>
      <c r="F49" s="332"/>
      <c r="G49" s="332"/>
      <c r="H49" s="332"/>
      <c r="I49" s="332"/>
      <c r="J49" s="332"/>
      <c r="K49" s="332"/>
      <c r="L49" s="332"/>
      <c r="M49" s="332"/>
      <c r="N49" s="332"/>
      <c r="O49" s="332"/>
      <c r="P49" s="332"/>
      <c r="Q49" s="332"/>
      <c r="R49" s="332"/>
      <c r="S49" s="332"/>
      <c r="T49" s="332"/>
      <c r="U49" s="332"/>
      <c r="V49" s="332"/>
      <c r="W49" s="332"/>
      <c r="X49" s="332"/>
      <c r="Y49" s="332"/>
      <c r="Z49" s="332"/>
      <c r="AA49" s="332"/>
      <c r="AB49" s="332"/>
      <c r="AC49" s="332"/>
      <c r="AD49" s="332"/>
      <c r="AE49" s="332"/>
      <c r="AF49" s="332"/>
      <c r="AG49" s="332"/>
      <c r="AH49" s="332"/>
      <c r="AI49" s="332"/>
      <c r="AJ49" s="332"/>
      <c r="AK49" s="332"/>
    </row>
    <row r="50" spans="1:37">
      <c r="A50" s="332"/>
      <c r="B50" s="332"/>
      <c r="C50" s="332"/>
      <c r="D50" s="332"/>
      <c r="E50" s="332"/>
      <c r="F50" s="332"/>
      <c r="G50" s="332"/>
      <c r="H50" s="332"/>
      <c r="I50" s="332"/>
      <c r="J50" s="332"/>
      <c r="K50" s="332"/>
      <c r="L50" s="332"/>
      <c r="M50" s="332"/>
      <c r="N50" s="332"/>
      <c r="O50" s="332"/>
      <c r="P50" s="332"/>
      <c r="Q50" s="332"/>
      <c r="R50" s="332"/>
      <c r="S50" s="332"/>
      <c r="T50" s="332"/>
      <c r="U50" s="332"/>
      <c r="V50" s="332"/>
      <c r="W50" s="332"/>
      <c r="X50" s="332"/>
      <c r="Y50" s="332"/>
      <c r="Z50" s="332"/>
      <c r="AA50" s="332"/>
      <c r="AB50" s="332"/>
      <c r="AC50" s="332"/>
      <c r="AD50" s="332"/>
      <c r="AE50" s="332"/>
      <c r="AF50" s="332"/>
      <c r="AG50" s="332"/>
      <c r="AH50" s="332"/>
      <c r="AI50" s="332"/>
      <c r="AJ50" s="332"/>
      <c r="AK50" s="332"/>
    </row>
    <row r="51" spans="1:37">
      <c r="A51" s="332"/>
      <c r="B51" s="332"/>
      <c r="C51" s="332"/>
      <c r="D51" s="332"/>
      <c r="E51" s="332"/>
      <c r="F51" s="332"/>
      <c r="G51" s="332"/>
      <c r="H51" s="332"/>
      <c r="I51" s="332"/>
      <c r="J51" s="332"/>
      <c r="K51" s="332"/>
      <c r="L51" s="332"/>
      <c r="M51" s="332"/>
      <c r="N51" s="332"/>
      <c r="O51" s="332"/>
      <c r="P51" s="332"/>
      <c r="Q51" s="332"/>
      <c r="R51" s="332"/>
      <c r="S51" s="332"/>
      <c r="T51" s="332"/>
      <c r="U51" s="332"/>
      <c r="V51" s="332"/>
      <c r="W51" s="332"/>
      <c r="X51" s="332"/>
      <c r="Y51" s="332"/>
      <c r="Z51" s="332"/>
      <c r="AA51" s="332"/>
      <c r="AB51" s="332"/>
      <c r="AC51" s="332"/>
      <c r="AD51" s="332"/>
      <c r="AE51" s="332"/>
      <c r="AF51" s="332"/>
      <c r="AG51" s="332"/>
      <c r="AH51" s="332"/>
      <c r="AI51" s="332"/>
      <c r="AJ51" s="332"/>
      <c r="AK51" s="332"/>
    </row>
    <row r="52" spans="1:37">
      <c r="A52" s="332"/>
      <c r="B52" s="332"/>
      <c r="C52" s="332"/>
      <c r="D52" s="332"/>
      <c r="E52" s="332"/>
      <c r="F52" s="332"/>
      <c r="G52" s="332"/>
      <c r="H52" s="332"/>
      <c r="I52" s="332"/>
      <c r="J52" s="332"/>
      <c r="K52" s="332"/>
      <c r="L52" s="332"/>
      <c r="M52" s="332"/>
      <c r="N52" s="332"/>
      <c r="O52" s="332"/>
      <c r="P52" s="332"/>
      <c r="Q52" s="332"/>
      <c r="R52" s="332"/>
      <c r="S52" s="332"/>
      <c r="T52" s="332"/>
      <c r="U52" s="332"/>
      <c r="V52" s="332"/>
      <c r="W52" s="332"/>
      <c r="X52" s="332"/>
      <c r="Y52" s="332"/>
      <c r="Z52" s="332"/>
      <c r="AA52" s="332"/>
      <c r="AB52" s="332"/>
      <c r="AC52" s="332"/>
      <c r="AD52" s="332"/>
      <c r="AE52" s="332"/>
      <c r="AF52" s="332"/>
      <c r="AG52" s="332"/>
      <c r="AH52" s="332"/>
      <c r="AI52" s="332"/>
      <c r="AJ52" s="332"/>
      <c r="AK52" s="332"/>
    </row>
    <row r="53" spans="1:37">
      <c r="A53" s="332"/>
      <c r="B53" s="332"/>
      <c r="C53" s="332"/>
      <c r="D53" s="332"/>
      <c r="E53" s="332"/>
      <c r="F53" s="332"/>
      <c r="G53" s="332"/>
      <c r="H53" s="332"/>
      <c r="I53" s="332"/>
      <c r="J53" s="332"/>
      <c r="K53" s="332"/>
      <c r="L53" s="332"/>
      <c r="M53" s="332"/>
      <c r="N53" s="332"/>
      <c r="O53" s="332"/>
      <c r="P53" s="332"/>
      <c r="Q53" s="332"/>
      <c r="R53" s="332"/>
      <c r="S53" s="332"/>
      <c r="T53" s="332"/>
      <c r="U53" s="332"/>
      <c r="V53" s="332"/>
      <c r="W53" s="332"/>
      <c r="X53" s="332"/>
      <c r="Y53" s="332"/>
      <c r="Z53" s="332"/>
      <c r="AA53" s="332"/>
      <c r="AB53" s="332"/>
      <c r="AC53" s="332"/>
      <c r="AD53" s="332"/>
      <c r="AE53" s="332"/>
      <c r="AF53" s="332"/>
      <c r="AG53" s="332"/>
      <c r="AH53" s="332"/>
      <c r="AI53" s="332"/>
      <c r="AJ53" s="332"/>
      <c r="AK53" s="332"/>
    </row>
    <row r="54" spans="1:37">
      <c r="A54" s="332"/>
      <c r="B54" s="332"/>
      <c r="C54" s="332"/>
      <c r="D54" s="332"/>
      <c r="E54" s="332"/>
      <c r="F54" s="332"/>
      <c r="G54" s="332"/>
      <c r="H54" s="332"/>
      <c r="I54" s="332"/>
      <c r="J54" s="332"/>
      <c r="K54" s="332"/>
      <c r="L54" s="332"/>
      <c r="M54" s="332"/>
      <c r="N54" s="332"/>
      <c r="O54" s="332"/>
      <c r="P54" s="332"/>
      <c r="Q54" s="332"/>
      <c r="R54" s="332"/>
      <c r="S54" s="332"/>
      <c r="T54" s="332"/>
      <c r="U54" s="332"/>
      <c r="V54" s="332"/>
      <c r="W54" s="332"/>
      <c r="X54" s="332"/>
      <c r="Y54" s="332"/>
      <c r="Z54" s="332"/>
      <c r="AA54" s="332"/>
      <c r="AB54" s="332"/>
      <c r="AC54" s="332"/>
      <c r="AD54" s="332"/>
      <c r="AE54" s="332"/>
      <c r="AF54" s="332"/>
      <c r="AG54" s="332"/>
      <c r="AH54" s="332"/>
      <c r="AI54" s="332"/>
      <c r="AJ54" s="332"/>
      <c r="AK54" s="332"/>
    </row>
    <row r="55" spans="1:37">
      <c r="A55" s="332"/>
      <c r="B55" s="332"/>
      <c r="C55" s="332"/>
      <c r="D55" s="332"/>
      <c r="E55" s="332"/>
      <c r="F55" s="332"/>
      <c r="G55" s="332"/>
      <c r="H55" s="332"/>
      <c r="I55" s="332"/>
      <c r="J55" s="332"/>
      <c r="K55" s="332"/>
      <c r="L55" s="332"/>
      <c r="M55" s="332"/>
      <c r="N55" s="332"/>
      <c r="O55" s="332"/>
      <c r="P55" s="332"/>
      <c r="Q55" s="332"/>
      <c r="R55" s="332"/>
      <c r="S55" s="332"/>
      <c r="T55" s="332"/>
      <c r="U55" s="332"/>
      <c r="V55" s="332"/>
      <c r="W55" s="332"/>
      <c r="X55" s="332"/>
      <c r="Y55" s="332"/>
      <c r="Z55" s="332"/>
      <c r="AA55" s="332"/>
      <c r="AB55" s="332"/>
      <c r="AC55" s="332"/>
      <c r="AD55" s="332"/>
      <c r="AE55" s="332"/>
      <c r="AF55" s="332"/>
      <c r="AG55" s="332"/>
      <c r="AH55" s="332"/>
      <c r="AI55" s="332"/>
      <c r="AJ55" s="332"/>
      <c r="AK55" s="332"/>
    </row>
    <row r="56" spans="1:37">
      <c r="A56" s="332"/>
      <c r="B56" s="332"/>
      <c r="C56" s="332"/>
      <c r="D56" s="332"/>
      <c r="E56" s="332"/>
      <c r="F56" s="332"/>
      <c r="G56" s="332"/>
      <c r="H56" s="332"/>
      <c r="I56" s="332"/>
      <c r="J56" s="332"/>
      <c r="K56" s="332"/>
      <c r="L56" s="332"/>
      <c r="M56" s="332"/>
      <c r="N56" s="332"/>
      <c r="O56" s="332"/>
      <c r="P56" s="332"/>
      <c r="Q56" s="332"/>
      <c r="R56" s="332"/>
      <c r="S56" s="332"/>
      <c r="T56" s="332"/>
      <c r="U56" s="332"/>
      <c r="V56" s="332"/>
      <c r="W56" s="332"/>
      <c r="X56" s="332"/>
      <c r="Y56" s="332"/>
      <c r="Z56" s="332"/>
      <c r="AA56" s="332"/>
      <c r="AB56" s="332"/>
      <c r="AC56" s="332"/>
      <c r="AD56" s="332"/>
      <c r="AE56" s="332"/>
      <c r="AF56" s="332"/>
      <c r="AG56" s="332"/>
      <c r="AH56" s="332"/>
      <c r="AI56" s="332"/>
      <c r="AJ56" s="332"/>
      <c r="AK56" s="332"/>
    </row>
    <row r="57" spans="1:37">
      <c r="A57" s="332"/>
      <c r="B57" s="332"/>
      <c r="C57" s="332"/>
      <c r="D57" s="332"/>
      <c r="E57" s="332"/>
      <c r="F57" s="332"/>
      <c r="G57" s="332"/>
      <c r="H57" s="332"/>
      <c r="I57" s="332"/>
      <c r="J57" s="332"/>
      <c r="K57" s="332"/>
      <c r="L57" s="332"/>
      <c r="M57" s="332"/>
      <c r="N57" s="332"/>
      <c r="O57" s="332"/>
      <c r="P57" s="332"/>
      <c r="Q57" s="332"/>
      <c r="R57" s="332"/>
      <c r="S57" s="332"/>
      <c r="T57" s="332"/>
      <c r="U57" s="332"/>
      <c r="V57" s="332"/>
      <c r="W57" s="332"/>
      <c r="X57" s="332"/>
      <c r="Y57" s="332"/>
      <c r="Z57" s="332"/>
      <c r="AA57" s="332"/>
      <c r="AB57" s="332"/>
      <c r="AC57" s="332"/>
      <c r="AD57" s="332"/>
      <c r="AE57" s="332"/>
      <c r="AF57" s="332"/>
      <c r="AG57" s="332"/>
      <c r="AH57" s="332"/>
      <c r="AI57" s="332"/>
      <c r="AJ57" s="332"/>
      <c r="AK57" s="332"/>
    </row>
    <row r="58" spans="1:37">
      <c r="A58" s="332"/>
      <c r="B58" s="332"/>
      <c r="C58" s="332"/>
      <c r="D58" s="332"/>
      <c r="E58" s="332"/>
      <c r="F58" s="332"/>
      <c r="G58" s="332"/>
      <c r="H58" s="332"/>
      <c r="I58" s="332"/>
      <c r="J58" s="332"/>
      <c r="K58" s="332"/>
      <c r="L58" s="332"/>
      <c r="M58" s="332"/>
      <c r="N58" s="332"/>
      <c r="O58" s="332"/>
      <c r="P58" s="332"/>
      <c r="Q58" s="332"/>
      <c r="R58" s="332"/>
      <c r="S58" s="332"/>
      <c r="T58" s="332"/>
      <c r="U58" s="332"/>
      <c r="V58" s="332"/>
      <c r="W58" s="332"/>
      <c r="X58" s="332"/>
      <c r="Y58" s="332"/>
      <c r="Z58" s="332"/>
      <c r="AA58" s="332"/>
      <c r="AB58" s="332"/>
      <c r="AC58" s="332"/>
      <c r="AD58" s="332"/>
      <c r="AE58" s="332"/>
      <c r="AF58" s="332"/>
      <c r="AG58" s="332"/>
      <c r="AH58" s="332"/>
      <c r="AI58" s="332"/>
      <c r="AJ58" s="332"/>
      <c r="AK58" s="332"/>
    </row>
    <row r="59" spans="1:37">
      <c r="A59" s="332"/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2"/>
      <c r="R59" s="332"/>
      <c r="S59" s="332"/>
      <c r="T59" s="332"/>
      <c r="U59" s="332"/>
      <c r="V59" s="332"/>
      <c r="W59" s="332"/>
      <c r="X59" s="332"/>
      <c r="Y59" s="332"/>
      <c r="Z59" s="332"/>
      <c r="AA59" s="332"/>
      <c r="AB59" s="332"/>
      <c r="AC59" s="332"/>
      <c r="AD59" s="332"/>
      <c r="AE59" s="332"/>
      <c r="AF59" s="332"/>
      <c r="AG59" s="332"/>
      <c r="AH59" s="332"/>
      <c r="AI59" s="332"/>
      <c r="AJ59" s="332"/>
      <c r="AK59" s="332"/>
    </row>
    <row r="60" spans="1:37">
      <c r="A60" s="332"/>
      <c r="B60" s="332"/>
      <c r="C60" s="332"/>
      <c r="D60" s="332"/>
      <c r="E60" s="332"/>
      <c r="F60" s="332"/>
      <c r="G60" s="332"/>
      <c r="H60" s="332"/>
      <c r="I60" s="332"/>
      <c r="J60" s="332"/>
      <c r="K60" s="332"/>
      <c r="L60" s="332"/>
      <c r="M60" s="332"/>
      <c r="N60" s="332"/>
      <c r="O60" s="332"/>
      <c r="P60" s="332"/>
      <c r="Q60" s="332"/>
      <c r="R60" s="332"/>
      <c r="S60" s="332"/>
      <c r="T60" s="332"/>
      <c r="U60" s="332"/>
      <c r="V60" s="332"/>
      <c r="W60" s="332"/>
      <c r="X60" s="332"/>
      <c r="Y60" s="332"/>
      <c r="Z60" s="332"/>
      <c r="AA60" s="332"/>
      <c r="AB60" s="332"/>
      <c r="AC60" s="332"/>
      <c r="AD60" s="332"/>
      <c r="AE60" s="332"/>
      <c r="AF60" s="332"/>
      <c r="AG60" s="332"/>
      <c r="AH60" s="332"/>
      <c r="AI60" s="332"/>
      <c r="AJ60" s="332"/>
      <c r="AK60" s="332"/>
    </row>
    <row r="61" spans="1:37">
      <c r="A61" s="332"/>
      <c r="B61" s="332"/>
      <c r="C61" s="332"/>
      <c r="D61" s="332"/>
      <c r="E61" s="332"/>
      <c r="F61" s="332"/>
      <c r="G61" s="332"/>
      <c r="H61" s="332"/>
      <c r="I61" s="332"/>
      <c r="J61" s="332"/>
      <c r="K61" s="332"/>
      <c r="L61" s="332"/>
      <c r="M61" s="332"/>
      <c r="N61" s="332"/>
      <c r="O61" s="332"/>
      <c r="P61" s="332"/>
      <c r="Q61" s="332"/>
      <c r="R61" s="332"/>
      <c r="S61" s="332"/>
      <c r="T61" s="332"/>
      <c r="U61" s="332"/>
      <c r="V61" s="332"/>
      <c r="W61" s="332"/>
      <c r="X61" s="332"/>
      <c r="Y61" s="332"/>
      <c r="Z61" s="332"/>
      <c r="AA61" s="332"/>
      <c r="AB61" s="332"/>
      <c r="AC61" s="332"/>
      <c r="AD61" s="332"/>
      <c r="AE61" s="332"/>
      <c r="AF61" s="332"/>
      <c r="AG61" s="332"/>
      <c r="AH61" s="332"/>
      <c r="AI61" s="332"/>
      <c r="AJ61" s="332"/>
      <c r="AK61" s="332"/>
    </row>
    <row r="62" spans="1:37">
      <c r="A62" s="332"/>
      <c r="B62" s="332"/>
      <c r="C62" s="332"/>
      <c r="D62" s="332"/>
      <c r="E62" s="332"/>
      <c r="F62" s="332"/>
      <c r="G62" s="332"/>
      <c r="H62" s="332"/>
      <c r="I62" s="332"/>
      <c r="J62" s="332"/>
      <c r="K62" s="332"/>
      <c r="L62" s="332"/>
      <c r="M62" s="332"/>
      <c r="N62" s="332"/>
      <c r="O62" s="332"/>
      <c r="P62" s="332"/>
      <c r="Q62" s="332"/>
      <c r="R62" s="332"/>
      <c r="S62" s="332"/>
      <c r="T62" s="332"/>
      <c r="U62" s="332"/>
      <c r="V62" s="332"/>
      <c r="W62" s="332"/>
      <c r="X62" s="332"/>
      <c r="Y62" s="332"/>
      <c r="Z62" s="332"/>
      <c r="AA62" s="332"/>
      <c r="AB62" s="332"/>
      <c r="AC62" s="332"/>
      <c r="AD62" s="332"/>
      <c r="AE62" s="332"/>
      <c r="AF62" s="332"/>
      <c r="AG62" s="332"/>
      <c r="AH62" s="332"/>
      <c r="AI62" s="332"/>
      <c r="AJ62" s="332"/>
      <c r="AK62" s="332"/>
    </row>
    <row r="63" spans="1:37">
      <c r="A63" s="332"/>
      <c r="B63" s="332"/>
      <c r="C63" s="332"/>
      <c r="D63" s="332"/>
      <c r="E63" s="332"/>
      <c r="F63" s="332"/>
      <c r="G63" s="332"/>
      <c r="H63" s="332"/>
      <c r="I63" s="332"/>
      <c r="J63" s="332"/>
      <c r="K63" s="332"/>
      <c r="L63" s="332"/>
      <c r="M63" s="332"/>
      <c r="N63" s="332"/>
      <c r="O63" s="332"/>
      <c r="P63" s="332"/>
      <c r="Q63" s="332"/>
      <c r="R63" s="332"/>
      <c r="S63" s="332"/>
      <c r="T63" s="332"/>
      <c r="U63" s="332"/>
      <c r="V63" s="332"/>
      <c r="W63" s="332"/>
      <c r="X63" s="332"/>
      <c r="Y63" s="332"/>
      <c r="Z63" s="332"/>
      <c r="AA63" s="332"/>
      <c r="AB63" s="332"/>
      <c r="AC63" s="332"/>
      <c r="AD63" s="332"/>
      <c r="AE63" s="332"/>
      <c r="AF63" s="332"/>
      <c r="AG63" s="332"/>
      <c r="AH63" s="332"/>
      <c r="AI63" s="332"/>
      <c r="AJ63" s="332"/>
      <c r="AK63" s="332"/>
    </row>
    <row r="64" spans="1:37">
      <c r="A64" s="332"/>
      <c r="B64" s="332"/>
      <c r="C64" s="332"/>
      <c r="D64" s="332"/>
      <c r="E64" s="332"/>
      <c r="F64" s="332"/>
      <c r="G64" s="332"/>
      <c r="H64" s="332"/>
      <c r="I64" s="332"/>
      <c r="J64" s="332"/>
      <c r="K64" s="332"/>
      <c r="L64" s="332"/>
      <c r="M64" s="332"/>
      <c r="N64" s="332"/>
      <c r="O64" s="332"/>
      <c r="P64" s="332"/>
      <c r="Q64" s="332"/>
      <c r="R64" s="332"/>
      <c r="S64" s="332"/>
      <c r="T64" s="332"/>
      <c r="U64" s="332"/>
      <c r="V64" s="332"/>
      <c r="W64" s="332"/>
      <c r="X64" s="332"/>
      <c r="Y64" s="332"/>
      <c r="Z64" s="332"/>
      <c r="AA64" s="332"/>
      <c r="AB64" s="332"/>
      <c r="AC64" s="332"/>
      <c r="AD64" s="332"/>
      <c r="AE64" s="332"/>
      <c r="AF64" s="332"/>
      <c r="AG64" s="332"/>
      <c r="AH64" s="332"/>
      <c r="AI64" s="332"/>
      <c r="AJ64" s="332"/>
      <c r="AK64" s="332"/>
    </row>
  </sheetData>
  <mergeCells count="1">
    <mergeCell ref="A1:AK64"/>
  </mergeCells>
  <pageMargins left="0.75" right="0.75" top="1" bottom="1" header="0.5" footer="0.5"/>
  <pageSetup orientation="portrait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65FC7-F9FE-D94C-A11A-73E74B11FF04}">
  <sheetPr>
    <pageSetUpPr fitToPage="1"/>
  </sheetPr>
  <dimension ref="C2:N34"/>
  <sheetViews>
    <sheetView tabSelected="1" zoomScale="80" zoomScaleNormal="80" workbookViewId="0"/>
  </sheetViews>
  <sheetFormatPr baseColWidth="10" defaultRowHeight="21"/>
  <cols>
    <col min="1" max="2" width="10.83203125" style="303"/>
    <col min="3" max="3" width="12.5" style="303" bestFit="1" customWidth="1"/>
    <col min="4" max="7" width="10.83203125" style="303"/>
    <col min="8" max="8" width="7.5" style="303" customWidth="1"/>
    <col min="9" max="9" width="15.33203125" style="304" customWidth="1"/>
    <col min="10" max="10" width="10.83203125" style="303"/>
    <col min="11" max="11" width="16" style="303" customWidth="1"/>
    <col min="12" max="12" width="10.83203125" style="303"/>
    <col min="13" max="13" width="17.33203125" style="303" customWidth="1"/>
    <col min="14" max="14" width="4.5" style="303" customWidth="1"/>
    <col min="15" max="16384" width="10.83203125" style="303"/>
  </cols>
  <sheetData>
    <row r="2" spans="3:14">
      <c r="C2" s="302" t="s">
        <v>135</v>
      </c>
    </row>
    <row r="3" spans="3:14">
      <c r="C3" s="302" t="s">
        <v>142</v>
      </c>
    </row>
    <row r="4" spans="3:14">
      <c r="C4" s="303" t="s">
        <v>134</v>
      </c>
    </row>
    <row r="5" spans="3:14">
      <c r="C5" s="303" t="s">
        <v>133</v>
      </c>
    </row>
    <row r="6" spans="3:14">
      <c r="C6" s="305" t="s">
        <v>122</v>
      </c>
    </row>
    <row r="7" spans="3:14">
      <c r="C7" s="303" t="s">
        <v>121</v>
      </c>
    </row>
    <row r="8" spans="3:14">
      <c r="C8" s="306"/>
      <c r="D8" s="307"/>
      <c r="E8" s="307"/>
      <c r="F8" s="307"/>
      <c r="G8" s="307"/>
      <c r="H8" s="307"/>
      <c r="I8" s="308">
        <v>0.1</v>
      </c>
      <c r="J8" s="309"/>
      <c r="K8" s="310">
        <v>0.15</v>
      </c>
      <c r="L8" s="309"/>
      <c r="M8" s="311" t="s">
        <v>132</v>
      </c>
      <c r="N8" s="307"/>
    </row>
    <row r="10" spans="3:14">
      <c r="C10" s="303" t="s">
        <v>131</v>
      </c>
      <c r="I10" s="312">
        <f>'SPV_Compensations_10 percent'!AL7</f>
        <v>800000</v>
      </c>
      <c r="J10" s="312"/>
      <c r="K10" s="312">
        <f>'SPV_Compensations_15 percent'!AL7</f>
        <v>800000</v>
      </c>
      <c r="L10" s="312"/>
      <c r="M10" s="313">
        <f>'SPV_Compensations_2&amp;20'!Z7</f>
        <v>2693097.5</v>
      </c>
      <c r="N10" s="314" t="s">
        <v>130</v>
      </c>
    </row>
    <row r="11" spans="3:14">
      <c r="C11" s="303" t="s">
        <v>129</v>
      </c>
      <c r="I11" s="312">
        <f>'SPV_Compensations_10 percent'!AL8</f>
        <v>2860705.8556386628</v>
      </c>
      <c r="J11" s="312"/>
      <c r="K11" s="312">
        <f>'SPV_Compensations_15 percent'!AL8</f>
        <v>4291226.1517062197</v>
      </c>
      <c r="L11" s="312"/>
      <c r="M11" s="312">
        <f>'SPV_Compensations_2&amp;20'!Z8</f>
        <v>7454845.4000000004</v>
      </c>
    </row>
    <row r="12" spans="3:14">
      <c r="C12" s="303" t="s">
        <v>36</v>
      </c>
      <c r="I12" s="315">
        <f>'SPV_Compensations_10 percent'!AL9</f>
        <v>240670.69690725935</v>
      </c>
      <c r="J12" s="312"/>
      <c r="K12" s="315">
        <f>'SPV_Compensations_15 percent'!AL9</f>
        <v>361006.04536088899</v>
      </c>
      <c r="L12" s="312"/>
      <c r="M12" s="315">
        <v>0</v>
      </c>
    </row>
    <row r="13" spans="3:14">
      <c r="I13" s="312">
        <f>SUM(I10:I12)</f>
        <v>3901376.5525459223</v>
      </c>
      <c r="J13" s="316"/>
      <c r="K13" s="312">
        <f>SUM(K10:K12)</f>
        <v>5452232.1970671089</v>
      </c>
      <c r="L13" s="316"/>
      <c r="M13" s="313">
        <f>SUM(M10:M12)</f>
        <v>10147942.9</v>
      </c>
      <c r="N13" s="314" t="s">
        <v>128</v>
      </c>
    </row>
    <row r="14" spans="3:14">
      <c r="I14" s="312"/>
      <c r="J14" s="316"/>
      <c r="K14" s="312"/>
      <c r="L14" s="316"/>
      <c r="M14" s="312"/>
    </row>
    <row r="15" spans="3:14">
      <c r="C15" s="303" t="s">
        <v>4</v>
      </c>
      <c r="I15" s="317">
        <f>'SPV_Compensations_10 percent'!AC8</f>
        <v>50000</v>
      </c>
      <c r="J15" s="317"/>
      <c r="K15" s="317">
        <f>'SPV_Compensations_15 percent'!AC8</f>
        <v>50000</v>
      </c>
      <c r="L15" s="317"/>
      <c r="M15" s="317">
        <f>'SPV_Compensations_2&amp;20'!Q8</f>
        <v>30000</v>
      </c>
    </row>
    <row r="16" spans="3:14">
      <c r="C16" s="303" t="s">
        <v>0</v>
      </c>
      <c r="I16" s="317">
        <f>'SPV_Compensations_10 percent'!AC9</f>
        <v>20000</v>
      </c>
      <c r="J16" s="317"/>
      <c r="K16" s="317">
        <f>'SPV_Compensations_15 percent'!AC9</f>
        <v>20000</v>
      </c>
      <c r="L16" s="317"/>
      <c r="M16" s="317">
        <f>'SPV_Compensations_2&amp;20'!Q9</f>
        <v>20000</v>
      </c>
    </row>
    <row r="17" spans="3:13">
      <c r="C17" s="303" t="s">
        <v>127</v>
      </c>
      <c r="I17" s="318">
        <f>'SPV_Compensations_10 percent'!AC10</f>
        <v>5.0999999999999997E-2</v>
      </c>
      <c r="K17" s="319">
        <f>'SPV_Compensations_15 percent'!AC10</f>
        <v>5.0999999999999997E-2</v>
      </c>
      <c r="M17" s="319">
        <f>'SPV_Compensations_2&amp;20'!Q10</f>
        <v>0.02</v>
      </c>
    </row>
    <row r="18" spans="3:13">
      <c r="C18" s="303" t="s">
        <v>126</v>
      </c>
      <c r="I18" s="312">
        <f>'SPV_Compensations_10 percent'!AC11</f>
        <v>4463.0537938987763</v>
      </c>
      <c r="J18" s="312"/>
      <c r="K18" s="312">
        <f>'SPV_Compensations_15 percent'!AC11</f>
        <v>4463.0537938987763</v>
      </c>
      <c r="L18" s="312"/>
      <c r="M18" s="312">
        <v>0</v>
      </c>
    </row>
    <row r="20" spans="3:13">
      <c r="C20" s="320" t="s">
        <v>113</v>
      </c>
      <c r="D20" s="320"/>
      <c r="E20" s="320"/>
      <c r="F20" s="320"/>
      <c r="G20" s="320"/>
      <c r="H20" s="320"/>
      <c r="I20" s="321">
        <f>'SPV_Compensations_10 percent'!AL16</f>
        <v>0.19054206419195413</v>
      </c>
      <c r="J20" s="320"/>
      <c r="K20" s="321">
        <f>'SPV_Compensations_15 percent'!AL16</f>
        <v>0.17995621400105422</v>
      </c>
      <c r="L20" s="320"/>
      <c r="M20" s="322">
        <f>'SPV_Compensations_2&amp;20'!Z16</f>
        <v>0.15943835451370861</v>
      </c>
    </row>
    <row r="21" spans="3:13">
      <c r="C21" s="303" t="s">
        <v>108</v>
      </c>
      <c r="I21" s="304">
        <f>'SPV_Compensations_10 percent'!AL23</f>
        <v>257.48927593507318</v>
      </c>
      <c r="K21" s="304">
        <f>'SPV_Compensations_15 percent'!AL23</f>
        <v>243.18407297439759</v>
      </c>
      <c r="M21" s="304">
        <f>'SPV_Compensations_2&amp;20'!Z23</f>
        <v>229.40770433627137</v>
      </c>
    </row>
    <row r="22" spans="3:13">
      <c r="K22" s="304"/>
    </row>
    <row r="23" spans="3:13">
      <c r="C23" s="303" t="s">
        <v>106</v>
      </c>
      <c r="I23" s="323">
        <f>'SPV_Compensations_10 percent'!AL24</f>
        <v>-0.20825891937329585</v>
      </c>
      <c r="K23" s="323">
        <f>'SPV_Compensations_15 percent'!AL24</f>
        <v>-0.20825891937329594</v>
      </c>
      <c r="M23" s="324">
        <f>'SPV_Compensations_2&amp;20'!Z24</f>
        <v>-0.21051811815858354</v>
      </c>
    </row>
    <row r="24" spans="3:13">
      <c r="K24" s="304"/>
    </row>
    <row r="25" spans="3:13">
      <c r="C25" s="320" t="s">
        <v>105</v>
      </c>
      <c r="D25" s="320"/>
      <c r="E25" s="320"/>
      <c r="F25" s="320"/>
      <c r="G25" s="320"/>
      <c r="H25" s="320"/>
      <c r="I25" s="321">
        <f>'SPV_Compensations_10 percent'!AL27</f>
        <v>0.12549842929228916</v>
      </c>
      <c r="J25" s="320"/>
      <c r="K25" s="321">
        <f>'SPV_Compensations_15 percent'!AL27</f>
        <v>0.1174854855153844</v>
      </c>
      <c r="L25" s="320"/>
      <c r="M25" s="322">
        <f>'SPV_Compensations_2&amp;20'!Z27</f>
        <v>0.10936893359584565</v>
      </c>
    </row>
    <row r="26" spans="3:13">
      <c r="C26" s="303" t="s">
        <v>104</v>
      </c>
      <c r="I26" s="318">
        <f>'SPV_Compensations_10 percent'!AL28</f>
        <v>7.3999999999999996E-2</v>
      </c>
      <c r="K26" s="318">
        <f>'SPV_Compensations_15 percent'!AL28</f>
        <v>7.3999999999999996E-2</v>
      </c>
      <c r="M26" s="319">
        <f>'SPV_Compensations_2&amp;20'!Z28</f>
        <v>6.9500000000000006E-2</v>
      </c>
    </row>
    <row r="28" spans="3:13">
      <c r="C28" s="333" t="s">
        <v>125</v>
      </c>
      <c r="D28" s="333"/>
      <c r="E28" s="333"/>
      <c r="F28" s="333"/>
      <c r="G28" s="333"/>
      <c r="H28" s="333"/>
      <c r="I28" s="333"/>
      <c r="J28" s="333"/>
      <c r="K28" s="333"/>
      <c r="L28" s="333"/>
      <c r="M28" s="333"/>
    </row>
    <row r="29" spans="3:13">
      <c r="C29" s="333"/>
      <c r="D29" s="333"/>
      <c r="E29" s="333"/>
      <c r="F29" s="333"/>
      <c r="G29" s="333"/>
      <c r="H29" s="333"/>
      <c r="I29" s="333"/>
      <c r="J29" s="333"/>
      <c r="K29" s="333"/>
      <c r="L29" s="333"/>
      <c r="M29" s="333"/>
    </row>
    <row r="30" spans="3:13" ht="7" customHeight="1">
      <c r="C30" s="325"/>
      <c r="D30" s="325"/>
      <c r="E30" s="325"/>
      <c r="F30" s="325"/>
      <c r="G30" s="325"/>
      <c r="H30" s="325"/>
      <c r="I30" s="326"/>
      <c r="J30" s="325"/>
      <c r="K30" s="325"/>
      <c r="L30" s="325"/>
      <c r="M30" s="325"/>
    </row>
    <row r="31" spans="3:13">
      <c r="C31" s="325" t="s">
        <v>124</v>
      </c>
      <c r="D31" s="325"/>
      <c r="E31" s="325"/>
      <c r="F31" s="325"/>
      <c r="G31" s="325"/>
      <c r="H31" s="325"/>
      <c r="I31" s="326"/>
      <c r="J31" s="325"/>
      <c r="K31" s="325"/>
      <c r="L31" s="325"/>
      <c r="M31" s="325"/>
    </row>
    <row r="32" spans="3:13" ht="10" customHeight="1">
      <c r="C32" s="325"/>
      <c r="D32" s="325"/>
      <c r="E32" s="325"/>
      <c r="F32" s="325"/>
      <c r="G32" s="325"/>
      <c r="H32" s="325"/>
      <c r="I32" s="326"/>
      <c r="J32" s="325"/>
      <c r="K32" s="325"/>
      <c r="L32" s="325"/>
      <c r="M32" s="325"/>
    </row>
    <row r="33" spans="3:13" ht="20" customHeight="1">
      <c r="C33" s="334" t="s">
        <v>123</v>
      </c>
      <c r="D33" s="334"/>
      <c r="E33" s="334"/>
      <c r="F33" s="334"/>
      <c r="G33" s="334"/>
      <c r="H33" s="334"/>
      <c r="I33" s="334"/>
      <c r="J33" s="334"/>
      <c r="K33" s="334"/>
      <c r="L33" s="334"/>
      <c r="M33" s="334"/>
    </row>
    <row r="34" spans="3:13"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</row>
  </sheetData>
  <mergeCells count="2">
    <mergeCell ref="C28:M29"/>
    <mergeCell ref="C33:M33"/>
  </mergeCells>
  <pageMargins left="0.7" right="0.7" top="0.75" bottom="0.75" header="0.3" footer="0.3"/>
  <pageSetup paperSize="5" scale="86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9E3F8-0564-4E4B-85BF-DC617FD74960}">
  <sheetPr>
    <pageSetUpPr fitToPage="1"/>
  </sheetPr>
  <dimension ref="A1:BY138"/>
  <sheetViews>
    <sheetView showGridLines="0" topLeftCell="Y3" zoomScale="80" zoomScaleNormal="80" zoomScalePageLayoutView="60" workbookViewId="0">
      <selection activeCell="AC84" sqref="AC84"/>
    </sheetView>
  </sheetViews>
  <sheetFormatPr baseColWidth="10" defaultColWidth="11" defaultRowHeight="18" customHeight="1"/>
  <cols>
    <col min="1" max="1" width="4.33203125" style="2" customWidth="1"/>
    <col min="2" max="2" width="3.1640625" style="2" customWidth="1"/>
    <col min="3" max="3" width="66.83203125" style="2" customWidth="1"/>
    <col min="4" max="4" width="22.6640625" style="2" customWidth="1"/>
    <col min="5" max="5" width="30.6640625" style="2" customWidth="1"/>
    <col min="6" max="7" width="36.1640625" style="2" customWidth="1"/>
    <col min="8" max="8" width="25.83203125" style="2" customWidth="1"/>
    <col min="9" max="9" width="23.5" style="2" bestFit="1" customWidth="1"/>
    <col min="10" max="11" width="23.83203125" style="2" bestFit="1" customWidth="1"/>
    <col min="12" max="12" width="23.5" style="2" bestFit="1" customWidth="1"/>
    <col min="13" max="13" width="26.5" style="2" customWidth="1"/>
    <col min="14" max="18" width="23.5" style="2" bestFit="1" customWidth="1"/>
    <col min="19" max="19" width="26.5" style="2" customWidth="1"/>
    <col min="20" max="23" width="23.5" style="2" bestFit="1" customWidth="1"/>
    <col min="24" max="24" width="23.6640625" style="2" bestFit="1" customWidth="1"/>
    <col min="25" max="37" width="18.6640625" style="2" customWidth="1"/>
    <col min="38" max="38" width="22.1640625" style="2" customWidth="1"/>
    <col min="39" max="68" width="18.6640625" style="2" customWidth="1"/>
    <col min="69" max="69" width="11" style="2"/>
    <col min="70" max="70" width="11.33203125" style="2" bestFit="1" customWidth="1"/>
    <col min="71" max="16384" width="11" style="2"/>
  </cols>
  <sheetData>
    <row r="1" spans="2:40" ht="31" customHeight="1">
      <c r="C1" s="189" t="s">
        <v>72</v>
      </c>
      <c r="D1" s="188"/>
      <c r="E1" s="188"/>
    </row>
    <row r="2" spans="2:40" ht="31" customHeight="1">
      <c r="C2" s="190" t="s">
        <v>120</v>
      </c>
      <c r="D2" s="186"/>
      <c r="E2" s="186"/>
    </row>
    <row r="3" spans="2:40" ht="31" customHeight="1">
      <c r="B3" s="187"/>
      <c r="C3" s="191" t="s">
        <v>122</v>
      </c>
      <c r="D3" s="186"/>
      <c r="E3" s="186"/>
    </row>
    <row r="4" spans="2:40" ht="18" customHeight="1">
      <c r="B4" s="186"/>
      <c r="C4" s="186"/>
      <c r="D4" s="186"/>
      <c r="E4" s="186"/>
    </row>
    <row r="5" spans="2:40" s="14" customFormat="1" ht="24" customHeight="1">
      <c r="D5" s="185" t="s">
        <v>28</v>
      </c>
      <c r="E5" s="184" t="s">
        <v>1</v>
      </c>
      <c r="F5" s="184" t="s">
        <v>119</v>
      </c>
      <c r="G5" s="183" t="s">
        <v>118</v>
      </c>
      <c r="H5" s="173"/>
      <c r="I5" s="173"/>
    </row>
    <row r="6" spans="2:40" s="14" customFormat="1" ht="24" customHeight="1">
      <c r="C6" s="101" t="s">
        <v>117</v>
      </c>
      <c r="D6" s="179">
        <v>1</v>
      </c>
      <c r="E6" s="182">
        <v>310</v>
      </c>
      <c r="F6" s="126">
        <f>$D$43/$E6</f>
        <v>30612.903225806451</v>
      </c>
      <c r="G6" s="181">
        <f>+F6*E6</f>
        <v>9490000</v>
      </c>
      <c r="H6" s="173"/>
      <c r="I6" s="173"/>
      <c r="AA6" s="38" t="s">
        <v>135</v>
      </c>
    </row>
    <row r="7" spans="2:40" s="14" customFormat="1" ht="24" customHeight="1">
      <c r="C7" s="101" t="s">
        <v>116</v>
      </c>
      <c r="D7" s="179">
        <v>2</v>
      </c>
      <c r="E7" s="178">
        <f>+E6</f>
        <v>310</v>
      </c>
      <c r="F7" s="126">
        <f>$D$48/$E7</f>
        <v>0</v>
      </c>
      <c r="G7" s="177">
        <f>+F7*E7</f>
        <v>0</v>
      </c>
      <c r="H7" s="180"/>
      <c r="I7" s="173"/>
      <c r="AA7" s="14" t="s">
        <v>139</v>
      </c>
      <c r="AC7" s="268">
        <f>D21</f>
        <v>0.1</v>
      </c>
      <c r="AI7" s="14" t="s">
        <v>138</v>
      </c>
      <c r="AL7" s="229">
        <f>SUM(E63:L63)</f>
        <v>800000</v>
      </c>
    </row>
    <row r="8" spans="2:40" s="14" customFormat="1" ht="24" customHeight="1">
      <c r="C8" s="101" t="s">
        <v>115</v>
      </c>
      <c r="D8" s="179">
        <v>2</v>
      </c>
      <c r="E8" s="178">
        <f>+E7</f>
        <v>310</v>
      </c>
      <c r="F8" s="126">
        <f>$D$49/$E8</f>
        <v>0</v>
      </c>
      <c r="G8" s="177">
        <f>+F8*E8</f>
        <v>0</v>
      </c>
      <c r="H8" s="173"/>
      <c r="I8" s="173"/>
      <c r="AA8" s="14" t="str">
        <f>C23</f>
        <v>Board of Directors Expense</v>
      </c>
      <c r="AC8" s="256">
        <f>D23</f>
        <v>50000</v>
      </c>
      <c r="AI8" s="14" t="s">
        <v>137</v>
      </c>
      <c r="AL8" s="107">
        <f>AL23*(D45-100000)</f>
        <v>2860705.8556386628</v>
      </c>
    </row>
    <row r="9" spans="2:40" s="14" customFormat="1" ht="24" customHeight="1">
      <c r="C9" s="101"/>
      <c r="D9" s="168"/>
      <c r="E9" s="167"/>
      <c r="F9" s="176">
        <f>SUM(F6:F8)</f>
        <v>30612.903225806451</v>
      </c>
      <c r="G9" s="175">
        <f>SUM(G6:G8)</f>
        <v>9490000</v>
      </c>
      <c r="H9" s="174"/>
      <c r="I9" s="173"/>
      <c r="AA9" s="14" t="str">
        <f>C24</f>
        <v>Admin Costs</v>
      </c>
      <c r="AC9" s="256">
        <f>D24</f>
        <v>20000</v>
      </c>
      <c r="AI9" s="14" t="s">
        <v>36</v>
      </c>
      <c r="AL9" s="292">
        <f>SUM(E120:L120)*AC7</f>
        <v>240670.69690725935</v>
      </c>
    </row>
    <row r="10" spans="2:40" s="14" customFormat="1" ht="24" customHeight="1">
      <c r="C10" s="101" t="s">
        <v>45</v>
      </c>
      <c r="D10" s="141">
        <v>0.105</v>
      </c>
      <c r="E10" s="167"/>
      <c r="F10" s="126"/>
      <c r="G10" s="173"/>
      <c r="AA10" s="14" t="s">
        <v>127</v>
      </c>
      <c r="AC10" s="34">
        <f>D34</f>
        <v>5.0999999999999997E-2</v>
      </c>
    </row>
    <row r="11" spans="2:40" s="14" customFormat="1" ht="24" customHeight="1">
      <c r="C11" s="101"/>
      <c r="D11" s="141"/>
      <c r="E11" s="167"/>
      <c r="AA11" s="14" t="s">
        <v>126</v>
      </c>
      <c r="AC11" s="256">
        <f>H86</f>
        <v>4463.0537938987763</v>
      </c>
    </row>
    <row r="12" spans="2:40" s="14" customFormat="1" ht="24" customHeight="1">
      <c r="C12" s="101" t="s">
        <v>78</v>
      </c>
      <c r="D12" s="141">
        <v>6.25E-2</v>
      </c>
      <c r="E12" s="167"/>
      <c r="U12" s="124"/>
      <c r="V12" s="124"/>
      <c r="W12" s="124"/>
      <c r="X12" s="124"/>
      <c r="Y12" s="124"/>
      <c r="Z12" s="124"/>
      <c r="AA12" s="172"/>
      <c r="AB12" s="171"/>
      <c r="AC12" s="171"/>
      <c r="AD12" s="52"/>
      <c r="AE12" s="170" t="s">
        <v>60</v>
      </c>
      <c r="AF12" s="170" t="s">
        <v>61</v>
      </c>
      <c r="AG12" s="170" t="s">
        <v>62</v>
      </c>
      <c r="AH12" s="170" t="s">
        <v>63</v>
      </c>
      <c r="AI12" s="170" t="s">
        <v>64</v>
      </c>
      <c r="AJ12" s="170" t="s">
        <v>65</v>
      </c>
      <c r="AK12" s="170" t="s">
        <v>66</v>
      </c>
      <c r="AL12" s="170" t="s">
        <v>67</v>
      </c>
      <c r="AM12" s="291" t="s">
        <v>68</v>
      </c>
      <c r="AN12" s="290" t="s">
        <v>69</v>
      </c>
    </row>
    <row r="13" spans="2:40" s="14" customFormat="1" ht="24" customHeight="1">
      <c r="C13" s="101"/>
      <c r="D13" s="141"/>
      <c r="E13" s="167"/>
      <c r="AA13" s="139" t="s">
        <v>94</v>
      </c>
      <c r="AE13" s="121" t="s">
        <v>46</v>
      </c>
      <c r="AF13" s="121" t="s">
        <v>46</v>
      </c>
      <c r="AG13" s="121" t="s">
        <v>46</v>
      </c>
      <c r="AH13" s="152">
        <f t="shared" ref="AH13:AN13" si="0">H57/$D45</f>
        <v>1.2313355882276622</v>
      </c>
      <c r="AI13" s="152">
        <f t="shared" si="0"/>
        <v>1.7164032529184021</v>
      </c>
      <c r="AJ13" s="152">
        <f t="shared" si="0"/>
        <v>2.4325657603973894</v>
      </c>
      <c r="AK13" s="152">
        <f t="shared" si="0"/>
        <v>3.6293622810351791</v>
      </c>
      <c r="AL13" s="152">
        <f t="shared" si="0"/>
        <v>20.577031858254568</v>
      </c>
      <c r="AM13" s="273">
        <f t="shared" si="0"/>
        <v>20.67991701754584</v>
      </c>
      <c r="AN13" s="272">
        <f t="shared" si="0"/>
        <v>20.783316602633569</v>
      </c>
    </row>
    <row r="14" spans="2:40" s="14" customFormat="1" ht="24" customHeight="1">
      <c r="C14" s="101"/>
      <c r="D14" s="168"/>
      <c r="E14" s="167"/>
      <c r="AA14" s="139" t="s">
        <v>36</v>
      </c>
      <c r="AE14" s="166" t="s">
        <v>46</v>
      </c>
      <c r="AF14" s="166" t="s">
        <v>46</v>
      </c>
      <c r="AG14" s="166" t="s">
        <v>46</v>
      </c>
      <c r="AH14" s="165">
        <f t="shared" ref="AH14:AN14" si="1">H122</f>
        <v>-0.26755361156484458</v>
      </c>
      <c r="AI14" s="165">
        <f t="shared" si="1"/>
        <v>0.1684721794336915</v>
      </c>
      <c r="AJ14" s="165">
        <f t="shared" si="1"/>
        <v>0.81335538052364731</v>
      </c>
      <c r="AK14" s="165">
        <f t="shared" si="1"/>
        <v>1.8920989598587059</v>
      </c>
      <c r="AL14" s="165">
        <f t="shared" si="1"/>
        <v>19.054206419195413</v>
      </c>
      <c r="AM14" s="289">
        <f t="shared" si="1"/>
        <v>19.157091578486686</v>
      </c>
      <c r="AN14" s="288">
        <f t="shared" si="1"/>
        <v>19.260491163574418</v>
      </c>
    </row>
    <row r="15" spans="2:40" s="14" customFormat="1" ht="24" customHeight="1">
      <c r="C15" s="101" t="s">
        <v>114</v>
      </c>
      <c r="D15" s="163">
        <v>10000000</v>
      </c>
      <c r="E15" s="105"/>
      <c r="T15" s="2"/>
      <c r="AA15" s="139"/>
      <c r="AE15" s="101"/>
      <c r="AF15" s="101"/>
      <c r="AG15" s="101"/>
      <c r="AM15" s="265"/>
      <c r="AN15" s="264"/>
    </row>
    <row r="16" spans="2:40" s="14" customFormat="1" ht="24" customHeight="1">
      <c r="C16" s="101" t="s">
        <v>10</v>
      </c>
      <c r="D16" s="162">
        <v>100</v>
      </c>
      <c r="E16" s="161"/>
      <c r="G16" s="159"/>
      <c r="I16" s="38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2"/>
      <c r="AA16" s="287" t="s">
        <v>113</v>
      </c>
      <c r="AB16" s="286"/>
      <c r="AC16" s="286"/>
      <c r="AD16" s="286"/>
      <c r="AE16" s="285" t="s">
        <v>46</v>
      </c>
      <c r="AF16" s="285" t="s">
        <v>46</v>
      </c>
      <c r="AG16" s="285" t="s">
        <v>46</v>
      </c>
      <c r="AH16" s="284">
        <f t="shared" ref="AH16:AN16" si="2">AH14/100</f>
        <v>-2.6755361156484457E-3</v>
      </c>
      <c r="AI16" s="284">
        <f t="shared" si="2"/>
        <v>1.684721794336915E-3</v>
      </c>
      <c r="AJ16" s="284">
        <f t="shared" si="2"/>
        <v>8.1335538052364729E-3</v>
      </c>
      <c r="AK16" s="284">
        <f t="shared" si="2"/>
        <v>1.8920989598587058E-2</v>
      </c>
      <c r="AL16" s="283">
        <f t="shared" si="2"/>
        <v>0.19054206419195413</v>
      </c>
      <c r="AM16" s="282">
        <f t="shared" si="2"/>
        <v>0.19157091578486685</v>
      </c>
      <c r="AN16" s="281">
        <f t="shared" si="2"/>
        <v>0.19260491163574417</v>
      </c>
    </row>
    <row r="17" spans="3:40" s="14" customFormat="1" ht="24" customHeight="1">
      <c r="C17" s="95" t="s">
        <v>73</v>
      </c>
      <c r="D17" s="141">
        <v>0</v>
      </c>
      <c r="G17" s="159"/>
      <c r="I17" s="3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2"/>
      <c r="AA17" s="139"/>
      <c r="AE17" s="101"/>
      <c r="AF17" s="101"/>
      <c r="AG17" s="101"/>
      <c r="AM17" s="265"/>
      <c r="AN17" s="264"/>
    </row>
    <row r="18" spans="3:40" s="14" customFormat="1" ht="24" customHeight="1">
      <c r="C18" s="101"/>
      <c r="D18" s="154"/>
      <c r="G18" s="192"/>
      <c r="Q18" s="13"/>
      <c r="T18" s="2"/>
      <c r="AA18" s="139" t="s">
        <v>112</v>
      </c>
      <c r="AE18" s="147">
        <f t="shared" ref="AE18:AN18" si="3">E110</f>
        <v>88.470884708847095</v>
      </c>
      <c r="AF18" s="147">
        <f t="shared" si="3"/>
        <v>87.19483890471777</v>
      </c>
      <c r="AG18" s="147">
        <f t="shared" si="3"/>
        <v>85.63179214374513</v>
      </c>
      <c r="AH18" s="147">
        <f t="shared" si="3"/>
        <v>113.86553527198842</v>
      </c>
      <c r="AI18" s="147">
        <f t="shared" si="3"/>
        <v>114.0749658755831</v>
      </c>
      <c r="AJ18" s="147">
        <f t="shared" si="3"/>
        <v>185.42026286202091</v>
      </c>
      <c r="AK18" s="147">
        <f t="shared" si="3"/>
        <v>186.0337585554536</v>
      </c>
      <c r="AL18" s="147">
        <f t="shared" si="3"/>
        <v>325.21904222938269</v>
      </c>
      <c r="AM18" s="278">
        <f t="shared" si="3"/>
        <v>327.51681078688785</v>
      </c>
      <c r="AN18" s="277">
        <f t="shared" si="3"/>
        <v>329.8260681871804</v>
      </c>
    </row>
    <row r="19" spans="3:40" s="14" customFormat="1" ht="24" customHeight="1">
      <c r="C19" s="101" t="s">
        <v>111</v>
      </c>
      <c r="D19" s="148">
        <v>0.01</v>
      </c>
      <c r="G19" s="192"/>
      <c r="T19" s="2"/>
      <c r="AA19" s="139" t="s">
        <v>110</v>
      </c>
      <c r="AE19" s="157">
        <f t="shared" ref="AE19:AN19" si="4">E92/$D45</f>
        <v>0</v>
      </c>
      <c r="AF19" s="157">
        <f t="shared" si="4"/>
        <v>0</v>
      </c>
      <c r="AG19" s="157">
        <f t="shared" si="4"/>
        <v>0</v>
      </c>
      <c r="AH19" s="157">
        <f t="shared" si="4"/>
        <v>0</v>
      </c>
      <c r="AI19" s="157">
        <f t="shared" si="4"/>
        <v>0</v>
      </c>
      <c r="AJ19" s="157">
        <f t="shared" si="4"/>
        <v>0</v>
      </c>
      <c r="AK19" s="157">
        <f t="shared" si="4"/>
        <v>0</v>
      </c>
      <c r="AL19" s="157">
        <f t="shared" si="4"/>
        <v>0</v>
      </c>
      <c r="AM19" s="280">
        <f t="shared" si="4"/>
        <v>0</v>
      </c>
      <c r="AN19" s="279">
        <f t="shared" si="4"/>
        <v>0</v>
      </c>
    </row>
    <row r="20" spans="3:40" s="14" customFormat="1" ht="24" customHeight="1">
      <c r="C20" s="101"/>
      <c r="D20" s="148"/>
      <c r="G20" s="328"/>
      <c r="T20" s="2"/>
      <c r="AA20" s="139"/>
      <c r="AE20" s="101"/>
      <c r="AF20" s="101"/>
      <c r="AG20" s="101"/>
      <c r="AM20" s="265"/>
      <c r="AN20" s="264"/>
    </row>
    <row r="21" spans="3:40" s="14" customFormat="1" ht="24" customHeight="1">
      <c r="C21" s="101" t="s">
        <v>5</v>
      </c>
      <c r="D21" s="141">
        <v>0.1</v>
      </c>
      <c r="G21" s="328"/>
      <c r="T21" s="2"/>
      <c r="AA21" s="139" t="s">
        <v>109</v>
      </c>
      <c r="AE21" s="147">
        <f t="shared" ref="AE21:AN21" si="5">E115</f>
        <v>88.470884708847095</v>
      </c>
      <c r="AF21" s="147">
        <f t="shared" si="5"/>
        <v>87.19483890471777</v>
      </c>
      <c r="AG21" s="147">
        <f t="shared" si="5"/>
        <v>85.63179214374513</v>
      </c>
      <c r="AH21" s="147">
        <f t="shared" si="5"/>
        <v>113.86553527198842</v>
      </c>
      <c r="AI21" s="147">
        <f t="shared" si="5"/>
        <v>114.0749658755831</v>
      </c>
      <c r="AJ21" s="147">
        <f t="shared" si="5"/>
        <v>185.42026286202091</v>
      </c>
      <c r="AK21" s="147">
        <f t="shared" si="5"/>
        <v>186.0337585554536</v>
      </c>
      <c r="AL21" s="147">
        <f t="shared" si="5"/>
        <v>325.21904222938269</v>
      </c>
      <c r="AM21" s="278">
        <f t="shared" si="5"/>
        <v>327.51681078688785</v>
      </c>
      <c r="AN21" s="277">
        <f t="shared" si="5"/>
        <v>329.8260681871804</v>
      </c>
    </row>
    <row r="22" spans="3:40" s="14" customFormat="1" ht="24" customHeight="1">
      <c r="C22" s="101"/>
      <c r="D22" s="154"/>
      <c r="G22" s="192"/>
      <c r="T22" s="2"/>
      <c r="AA22" s="139"/>
      <c r="AE22" s="101"/>
      <c r="AF22" s="101"/>
      <c r="AG22" s="101"/>
      <c r="AM22" s="265"/>
      <c r="AN22" s="264"/>
    </row>
    <row r="23" spans="3:40" s="14" customFormat="1" ht="24" customHeight="1">
      <c r="C23" s="101" t="s">
        <v>4</v>
      </c>
      <c r="D23" s="144">
        <v>50000</v>
      </c>
      <c r="G23" s="192"/>
      <c r="I23" s="19"/>
      <c r="AA23" s="276" t="s">
        <v>108</v>
      </c>
      <c r="AB23" s="154"/>
      <c r="AC23" s="153">
        <v>7.3999999999999996E-2</v>
      </c>
      <c r="AD23" s="154"/>
      <c r="AE23" s="275">
        <v>100</v>
      </c>
      <c r="AF23" s="275">
        <v>100</v>
      </c>
      <c r="AG23" s="275">
        <v>100</v>
      </c>
      <c r="AH23" s="274">
        <v>125.8</v>
      </c>
      <c r="AI23" s="274">
        <v>132.1</v>
      </c>
      <c r="AJ23" s="274">
        <v>171.5</v>
      </c>
      <c r="AK23" s="274">
        <v>177.3</v>
      </c>
      <c r="AL23" s="274">
        <f>AL14/AC23</f>
        <v>257.48927593507318</v>
      </c>
      <c r="AM23" s="273">
        <f>AM14/AC23</f>
        <v>258.87961592549578</v>
      </c>
      <c r="AN23" s="272">
        <f>AN14/AC23</f>
        <v>260.27690761587053</v>
      </c>
    </row>
    <row r="24" spans="3:40" s="14" customFormat="1" ht="24" customHeight="1">
      <c r="C24" s="101" t="s">
        <v>0</v>
      </c>
      <c r="D24" s="144">
        <v>20000</v>
      </c>
      <c r="T24" s="2"/>
      <c r="AA24" s="139"/>
      <c r="AE24" s="101"/>
      <c r="AF24" s="101"/>
      <c r="AG24" s="101"/>
      <c r="AH24" s="150">
        <f t="shared" ref="AH24:AN24" si="6">(AH23-AH21)/AH21</f>
        <v>0.10481191432951112</v>
      </c>
      <c r="AI24" s="150">
        <f t="shared" si="6"/>
        <v>0.15801042749446059</v>
      </c>
      <c r="AJ24" s="150">
        <f t="shared" si="6"/>
        <v>-7.5074118907810877E-2</v>
      </c>
      <c r="AK24" s="271">
        <f t="shared" si="6"/>
        <v>-4.6947170359137806E-2</v>
      </c>
      <c r="AL24" s="271">
        <f t="shared" si="6"/>
        <v>-0.20825891937329585</v>
      </c>
      <c r="AM24" s="270">
        <f t="shared" si="6"/>
        <v>-0.20956846366598766</v>
      </c>
      <c r="AN24" s="269">
        <f t="shared" si="6"/>
        <v>-0.21086617244528971</v>
      </c>
    </row>
    <row r="25" spans="3:40" s="14" customFormat="1" ht="24" customHeight="1">
      <c r="C25" s="101" t="s">
        <v>107</v>
      </c>
      <c r="D25" s="141">
        <v>0</v>
      </c>
      <c r="T25" s="2"/>
      <c r="AA25" s="139" t="s">
        <v>106</v>
      </c>
      <c r="AE25" s="101"/>
      <c r="AF25" s="101"/>
      <c r="AG25" s="101"/>
      <c r="AM25" s="265"/>
      <c r="AN25" s="264"/>
    </row>
    <row r="26" spans="3:40" s="14" customFormat="1" ht="24" customHeight="1">
      <c r="C26" s="101"/>
      <c r="D26" s="146"/>
      <c r="T26" s="2"/>
      <c r="AA26" s="139"/>
      <c r="AE26" s="101"/>
      <c r="AF26" s="101"/>
      <c r="AG26" s="101"/>
      <c r="AM26" s="265"/>
      <c r="AN26" s="264"/>
    </row>
    <row r="27" spans="3:40" s="14" customFormat="1" ht="24" customHeight="1">
      <c r="C27" s="101" t="s">
        <v>47</v>
      </c>
      <c r="D27" s="148">
        <v>0</v>
      </c>
      <c r="T27" s="2"/>
      <c r="AA27" s="139" t="s">
        <v>105</v>
      </c>
      <c r="AE27" s="101"/>
      <c r="AF27" s="101"/>
      <c r="AG27" s="101"/>
      <c r="AL27" s="268">
        <f>((AL23/100)^(1/8))-1</f>
        <v>0.12549842929228916</v>
      </c>
      <c r="AM27" s="265"/>
      <c r="AN27" s="264"/>
    </row>
    <row r="28" spans="3:40" s="14" customFormat="1" ht="24" customHeight="1">
      <c r="C28" s="95" t="s">
        <v>48</v>
      </c>
      <c r="D28" s="148">
        <v>0</v>
      </c>
      <c r="G28" s="32"/>
      <c r="H28" s="1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2"/>
      <c r="AA28" s="139" t="s">
        <v>104</v>
      </c>
      <c r="AE28" s="101"/>
      <c r="AF28" s="101"/>
      <c r="AG28" s="101"/>
      <c r="AL28" s="34">
        <f>AL14/AL23</f>
        <v>7.3999999999999996E-2</v>
      </c>
      <c r="AM28" s="263">
        <f>AM14/AM23</f>
        <v>7.3999999999999996E-2</v>
      </c>
      <c r="AN28" s="262">
        <f>AN14/AN23</f>
        <v>7.3999999999999996E-2</v>
      </c>
    </row>
    <row r="29" spans="3:40" s="14" customFormat="1" ht="24" customHeight="1">
      <c r="C29" s="101" t="s">
        <v>49</v>
      </c>
      <c r="D29" s="141">
        <v>0</v>
      </c>
      <c r="I29" s="143"/>
      <c r="T29" s="2"/>
      <c r="AA29" s="139"/>
      <c r="AE29" s="101"/>
      <c r="AF29" s="101"/>
      <c r="AG29" s="101"/>
      <c r="AM29" s="265"/>
      <c r="AN29" s="264"/>
    </row>
    <row r="30" spans="3:40" s="14" customFormat="1" ht="24" customHeight="1">
      <c r="C30" s="101" t="s">
        <v>103</v>
      </c>
      <c r="D30" s="141">
        <v>0.02</v>
      </c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2"/>
      <c r="AA30" s="139" t="s">
        <v>39</v>
      </c>
      <c r="AE30" s="121" t="s">
        <v>46</v>
      </c>
      <c r="AF30" s="121" t="s">
        <v>46</v>
      </c>
      <c r="AG30" s="121" t="s">
        <v>46</v>
      </c>
      <c r="AH30" s="120">
        <v>0</v>
      </c>
      <c r="AI30" s="120">
        <v>0</v>
      </c>
      <c r="AJ30" s="120">
        <v>0</v>
      </c>
      <c r="AK30" s="120">
        <v>0</v>
      </c>
      <c r="AL30" s="120">
        <v>0</v>
      </c>
      <c r="AM30" s="267">
        <v>0</v>
      </c>
      <c r="AN30" s="266">
        <v>0</v>
      </c>
    </row>
    <row r="31" spans="3:40" s="14" customFormat="1" ht="24" customHeight="1">
      <c r="C31" s="101" t="s">
        <v>102</v>
      </c>
      <c r="D31" s="141">
        <v>0</v>
      </c>
      <c r="G31" s="19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2"/>
      <c r="AA31" s="139" t="s">
        <v>101</v>
      </c>
      <c r="AE31" s="121" t="s">
        <v>46</v>
      </c>
      <c r="AF31" s="121" t="s">
        <v>46</v>
      </c>
      <c r="AG31" s="121" t="s">
        <v>46</v>
      </c>
      <c r="AH31" s="120">
        <f t="shared" ref="AH31:AN31" si="7">H106</f>
        <v>0</v>
      </c>
      <c r="AI31" s="120">
        <f t="shared" si="7"/>
        <v>0</v>
      </c>
      <c r="AJ31" s="120">
        <f t="shared" si="7"/>
        <v>0</v>
      </c>
      <c r="AK31" s="120">
        <f t="shared" si="7"/>
        <v>0</v>
      </c>
      <c r="AL31" s="120">
        <f t="shared" si="7"/>
        <v>0</v>
      </c>
      <c r="AM31" s="267">
        <f t="shared" si="7"/>
        <v>0</v>
      </c>
      <c r="AN31" s="266">
        <f t="shared" si="7"/>
        <v>0</v>
      </c>
    </row>
    <row r="32" spans="3:40" s="14" customFormat="1" ht="24" customHeight="1">
      <c r="C32" s="101"/>
      <c r="D32" s="146"/>
      <c r="T32" s="2"/>
      <c r="AA32" s="139" t="s">
        <v>100</v>
      </c>
      <c r="AE32" s="121" t="s">
        <v>46</v>
      </c>
      <c r="AF32" s="121" t="s">
        <v>46</v>
      </c>
      <c r="AG32" s="121" t="s">
        <v>46</v>
      </c>
      <c r="AH32" s="120">
        <f t="shared" ref="AH32:AN32" si="8">AH19/AH18</f>
        <v>0</v>
      </c>
      <c r="AI32" s="120">
        <f t="shared" si="8"/>
        <v>0</v>
      </c>
      <c r="AJ32" s="120">
        <f t="shared" si="8"/>
        <v>0</v>
      </c>
      <c r="AK32" s="120">
        <f t="shared" si="8"/>
        <v>0</v>
      </c>
      <c r="AL32" s="120">
        <f t="shared" si="8"/>
        <v>0</v>
      </c>
      <c r="AM32" s="267">
        <f t="shared" si="8"/>
        <v>0</v>
      </c>
      <c r="AN32" s="266">
        <f t="shared" si="8"/>
        <v>0</v>
      </c>
    </row>
    <row r="33" spans="2:40" s="14" customFormat="1" ht="24" customHeight="1">
      <c r="C33" s="101" t="s">
        <v>99</v>
      </c>
      <c r="D33" s="144">
        <v>15000</v>
      </c>
      <c r="I33" s="143"/>
      <c r="J33" s="121"/>
      <c r="K33" s="121"/>
      <c r="L33" s="121"/>
      <c r="M33" s="120"/>
      <c r="N33" s="120"/>
      <c r="O33" s="120"/>
      <c r="P33" s="120"/>
      <c r="Q33" s="120"/>
      <c r="R33" s="120"/>
      <c r="S33" s="120"/>
      <c r="T33" s="2"/>
      <c r="AA33" s="139"/>
      <c r="AE33" s="101"/>
      <c r="AF33" s="101"/>
      <c r="AG33" s="101"/>
      <c r="AM33" s="265"/>
      <c r="AN33" s="264"/>
    </row>
    <row r="34" spans="2:40" s="14" customFormat="1" ht="24" customHeight="1">
      <c r="C34" s="101" t="s">
        <v>98</v>
      </c>
      <c r="D34" s="141">
        <v>5.0999999999999997E-2</v>
      </c>
      <c r="E34" s="140"/>
      <c r="F34" s="103"/>
      <c r="G34" s="103"/>
      <c r="T34" s="2"/>
      <c r="AA34" s="139" t="s">
        <v>97</v>
      </c>
      <c r="AE34" s="34">
        <f t="shared" ref="AE34:AN34" si="9">E117</f>
        <v>1.7293997965412006E-2</v>
      </c>
      <c r="AF34" s="34">
        <f t="shared" si="9"/>
        <v>1.7547085577220078E-2</v>
      </c>
      <c r="AG34" s="34">
        <f t="shared" si="9"/>
        <v>1.7867374509512229E-2</v>
      </c>
      <c r="AH34" s="34">
        <f t="shared" si="9"/>
        <v>1.3437036031124637E-2</v>
      </c>
      <c r="AI34" s="34">
        <f t="shared" si="9"/>
        <v>1.3412366932651347E-2</v>
      </c>
      <c r="AJ34" s="34">
        <f t="shared" si="9"/>
        <v>8.2516078692626543E-3</v>
      </c>
      <c r="AK34" s="34">
        <f t="shared" si="9"/>
        <v>8.2243960022821833E-3</v>
      </c>
      <c r="AL34" s="34">
        <f t="shared" si="9"/>
        <v>4.7045686183217247E-3</v>
      </c>
      <c r="AM34" s="263">
        <f t="shared" si="9"/>
        <v>4.6715626488820702E-3</v>
      </c>
      <c r="AN34" s="262">
        <f t="shared" si="9"/>
        <v>4.6388549836658115E-3</v>
      </c>
    </row>
    <row r="35" spans="2:40" s="14" customFormat="1" ht="24" customHeight="1">
      <c r="C35" s="101"/>
      <c r="D35" s="17"/>
      <c r="E35" s="137"/>
      <c r="G35" s="32"/>
      <c r="T35" s="136"/>
      <c r="AA35" s="135" t="s">
        <v>136</v>
      </c>
      <c r="AB35" s="134"/>
      <c r="AC35" s="134"/>
      <c r="AD35" s="134"/>
      <c r="AE35" s="133" t="s">
        <v>46</v>
      </c>
      <c r="AF35" s="133" t="s">
        <v>46</v>
      </c>
      <c r="AG35" s="133" t="s">
        <v>46</v>
      </c>
      <c r="AH35" s="132">
        <f>+F6</f>
        <v>30612.903225806451</v>
      </c>
      <c r="AI35" s="132">
        <f>AH35</f>
        <v>30612.903225806451</v>
      </c>
      <c r="AJ35" s="132">
        <f>+AI35+F7</f>
        <v>30612.903225806451</v>
      </c>
      <c r="AK35" s="132">
        <f>AJ35</f>
        <v>30612.903225806451</v>
      </c>
      <c r="AL35" s="131">
        <f>(D43+D48+D49)/E6</f>
        <v>30612.903225806451</v>
      </c>
      <c r="AM35" s="261">
        <f>AL35</f>
        <v>30612.903225806451</v>
      </c>
      <c r="AN35" s="260">
        <f>AM35</f>
        <v>30612.903225806451</v>
      </c>
    </row>
    <row r="36" spans="2:40" s="14" customFormat="1" ht="24" customHeight="1">
      <c r="T36" s="2"/>
      <c r="AA36" s="124"/>
      <c r="AB36" s="124"/>
      <c r="AC36" s="124"/>
      <c r="AD36" s="124"/>
      <c r="AE36" s="124"/>
      <c r="AF36" s="124"/>
      <c r="AG36" s="124"/>
      <c r="AH36" s="124"/>
      <c r="AI36" s="2"/>
      <c r="AJ36" s="2"/>
      <c r="AK36" s="2"/>
      <c r="AL36" s="2"/>
      <c r="AM36" s="2"/>
    </row>
    <row r="37" spans="2:40" s="14" customFormat="1" ht="24" customHeight="1">
      <c r="C37" s="102" t="s">
        <v>35</v>
      </c>
      <c r="D37" s="128"/>
      <c r="F37" s="127"/>
      <c r="G37" s="32"/>
      <c r="H37" s="2"/>
      <c r="J37" s="121"/>
      <c r="K37" s="121"/>
      <c r="L37" s="121"/>
      <c r="M37" s="126"/>
      <c r="N37" s="126"/>
      <c r="O37" s="126"/>
      <c r="P37" s="126"/>
      <c r="Q37" s="108"/>
      <c r="R37" s="41"/>
      <c r="S37" s="41"/>
      <c r="T37" s="2"/>
      <c r="U37" s="125"/>
      <c r="V37" s="125"/>
      <c r="W37" s="125"/>
      <c r="X37" s="125"/>
      <c r="Y37" s="125"/>
      <c r="Z37" s="125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2:40" ht="24" customHeight="1">
      <c r="B38" s="14"/>
      <c r="C38" s="19" t="s">
        <v>13</v>
      </c>
      <c r="D38" s="111">
        <f>D15-D32</f>
        <v>10000000</v>
      </c>
      <c r="E38" s="19"/>
      <c r="G38" s="14"/>
      <c r="H38" s="14"/>
      <c r="I38" s="14"/>
      <c r="J38" s="34"/>
      <c r="K38" s="34"/>
      <c r="L38" s="34"/>
      <c r="M38" s="34"/>
      <c r="N38" s="34"/>
      <c r="O38" s="34"/>
      <c r="P38" s="34"/>
      <c r="Q38" s="34"/>
      <c r="R38" s="34"/>
      <c r="S38" s="34"/>
      <c r="U38" s="124"/>
      <c r="V38" s="124"/>
      <c r="W38" s="124"/>
      <c r="X38" s="124"/>
      <c r="Y38" s="124"/>
      <c r="Z38" s="124"/>
      <c r="AA38" s="259" t="s">
        <v>42</v>
      </c>
      <c r="AB38" s="52"/>
      <c r="AC38" s="52"/>
      <c r="AD38" s="52"/>
      <c r="AE38" s="171" t="s">
        <v>96</v>
      </c>
      <c r="AF38" s="258" t="s">
        <v>95</v>
      </c>
    </row>
    <row r="39" spans="2:40" ht="24" customHeight="1">
      <c r="B39" s="14"/>
      <c r="C39" s="19" t="s">
        <v>9</v>
      </c>
      <c r="D39" s="123">
        <f>D17*D38</f>
        <v>0</v>
      </c>
      <c r="E39" s="122"/>
      <c r="F39" s="107"/>
      <c r="G39" s="107"/>
      <c r="H39" s="34"/>
      <c r="J39" s="121"/>
      <c r="K39" s="121"/>
      <c r="L39" s="121"/>
      <c r="M39" s="120"/>
      <c r="N39" s="120"/>
      <c r="O39" s="120"/>
      <c r="P39" s="120"/>
      <c r="Q39" s="120"/>
      <c r="R39" s="120"/>
      <c r="S39" s="120"/>
      <c r="AA39" s="139"/>
      <c r="AB39" s="14"/>
      <c r="AC39" s="14"/>
      <c r="AD39" s="14"/>
      <c r="AE39" s="14"/>
      <c r="AF39" s="142"/>
    </row>
    <row r="40" spans="2:40" ht="24" customHeight="1">
      <c r="B40" s="14"/>
      <c r="C40" s="14" t="s">
        <v>2</v>
      </c>
      <c r="D40" s="119">
        <f>+D27*D38</f>
        <v>0</v>
      </c>
      <c r="E40" s="114"/>
      <c r="F40" s="107"/>
      <c r="G40" s="116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AA40" s="139" t="s">
        <v>94</v>
      </c>
      <c r="AB40" s="14"/>
      <c r="AC40" s="14"/>
      <c r="AD40" s="14"/>
      <c r="AE40" s="152">
        <f>AL13</f>
        <v>20.577031858254568</v>
      </c>
      <c r="AF40" s="149">
        <f>AE40/AE40</f>
        <v>1</v>
      </c>
    </row>
    <row r="41" spans="2:40" ht="24" customHeight="1">
      <c r="B41" s="14"/>
      <c r="C41" s="52" t="s">
        <v>32</v>
      </c>
      <c r="D41" s="118">
        <f>D38-D39-D40</f>
        <v>10000000</v>
      </c>
      <c r="E41" s="117"/>
      <c r="F41" s="113"/>
      <c r="G41" s="257"/>
      <c r="H41" s="256"/>
      <c r="AA41" s="255"/>
      <c r="AF41" s="254"/>
    </row>
    <row r="42" spans="2:40" ht="24" customHeight="1">
      <c r="B42" s="14"/>
      <c r="C42" s="102" t="s">
        <v>3</v>
      </c>
      <c r="D42" s="115">
        <f>D34*D38</f>
        <v>509999.99999999994</v>
      </c>
      <c r="E42" s="114"/>
      <c r="F42" s="113"/>
      <c r="G42" s="112"/>
      <c r="H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AA42" s="139"/>
      <c r="AB42" s="14" t="s">
        <v>59</v>
      </c>
      <c r="AC42" s="14"/>
      <c r="AD42" s="14"/>
      <c r="AE42" s="253">
        <f>L63/D45</f>
        <v>0.90000900009000095</v>
      </c>
      <c r="AF42" s="138">
        <f>AE42/AE40</f>
        <v>4.3738523917819488E-2</v>
      </c>
    </row>
    <row r="43" spans="2:40" ht="24" customHeight="1">
      <c r="B43" s="14"/>
      <c r="C43" s="24" t="s">
        <v>33</v>
      </c>
      <c r="D43" s="111">
        <f>D41-D42</f>
        <v>9490000</v>
      </c>
      <c r="E43" s="19"/>
      <c r="F43" s="14"/>
      <c r="G43" s="14"/>
      <c r="H43" s="14"/>
      <c r="AA43" s="139"/>
      <c r="AB43" s="14"/>
      <c r="AC43" s="14"/>
      <c r="AD43" s="14"/>
      <c r="AE43" s="253"/>
      <c r="AF43" s="138"/>
    </row>
    <row r="44" spans="2:40" ht="24" customHeight="1">
      <c r="B44" s="14"/>
      <c r="C44" s="14"/>
      <c r="D44" s="14"/>
      <c r="E44" s="110"/>
      <c r="F44" s="14"/>
      <c r="G44" s="109"/>
      <c r="H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AA44" s="139"/>
      <c r="AB44" s="14" t="s">
        <v>93</v>
      </c>
      <c r="AC44" s="14"/>
      <c r="AD44" s="14"/>
      <c r="AE44" s="253">
        <f>(L64+L65)/D45</f>
        <v>0.63000630006300062</v>
      </c>
      <c r="AF44" s="138">
        <f>AE44/AE40</f>
        <v>3.0616966742473637E-2</v>
      </c>
    </row>
    <row r="45" spans="2:40" ht="24" customHeight="1">
      <c r="B45" s="14"/>
      <c r="C45" s="32" t="s">
        <v>11</v>
      </c>
      <c r="D45" s="108">
        <f>ROUND(+((D38/D16)/(1-D21)),0)-1</f>
        <v>111110</v>
      </c>
      <c r="E45" s="329"/>
      <c r="F45" s="107"/>
      <c r="G45" s="106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AA45" s="139"/>
      <c r="AB45" s="14" t="s">
        <v>92</v>
      </c>
      <c r="AC45" s="14"/>
      <c r="AD45" s="14"/>
      <c r="AE45" s="253">
        <f>(L69/D45)*-1</f>
        <v>-7.1898610938479299E-3</v>
      </c>
      <c r="AF45" s="138">
        <f>AE45/AE40</f>
        <v>-3.4941196297772582E-4</v>
      </c>
    </row>
    <row r="46" spans="2:40" ht="24" customHeight="1">
      <c r="B46" s="14"/>
      <c r="C46" s="14"/>
      <c r="D46" s="105"/>
      <c r="E46" s="104"/>
      <c r="F46" s="103"/>
      <c r="G46" s="103"/>
      <c r="H46" s="14"/>
      <c r="S46" s="100"/>
      <c r="AA46" s="139"/>
      <c r="AB46" s="14"/>
      <c r="AC46" s="14"/>
      <c r="AD46" s="14"/>
      <c r="AE46" s="14"/>
      <c r="AF46" s="142"/>
    </row>
    <row r="47" spans="2:40" ht="24" customHeight="1">
      <c r="B47" s="14"/>
      <c r="C47" s="102" t="s">
        <v>34</v>
      </c>
      <c r="D47" s="82"/>
      <c r="E47" s="128" t="s">
        <v>91</v>
      </c>
      <c r="S47" s="100"/>
      <c r="AA47" s="139" t="s">
        <v>90</v>
      </c>
      <c r="AB47" s="14"/>
      <c r="AC47" s="14"/>
      <c r="AD47" s="14"/>
      <c r="AE47" s="14"/>
      <c r="AF47" s="142"/>
    </row>
    <row r="48" spans="2:40" ht="24" customHeight="1">
      <c r="B48" s="14"/>
      <c r="C48" s="99" t="s">
        <v>50</v>
      </c>
      <c r="D48" s="98">
        <f>+E48-E48*0.03</f>
        <v>0</v>
      </c>
      <c r="E48" s="93">
        <v>0</v>
      </c>
      <c r="F48" s="97"/>
      <c r="AA48" s="139"/>
      <c r="AB48" s="14"/>
      <c r="AC48" s="14"/>
      <c r="AD48" s="14"/>
      <c r="AE48" s="14"/>
      <c r="AF48" s="142"/>
    </row>
    <row r="49" spans="1:77" ht="24" customHeight="1">
      <c r="B49" s="14"/>
      <c r="C49" s="95" t="s">
        <v>44</v>
      </c>
      <c r="D49" s="94">
        <f>+E49-E49*0.03</f>
        <v>0</v>
      </c>
      <c r="E49" s="93">
        <v>0</v>
      </c>
      <c r="F49" s="5"/>
      <c r="G49" s="96"/>
      <c r="K49" s="88"/>
      <c r="L49" s="88"/>
      <c r="M49" s="88"/>
      <c r="N49" s="88"/>
      <c r="AA49" s="139"/>
      <c r="AB49" s="14" t="s">
        <v>89</v>
      </c>
      <c r="AC49" s="14"/>
      <c r="AD49" s="14"/>
      <c r="AE49" s="103">
        <f>(L83/D45)*-1</f>
        <v>0</v>
      </c>
      <c r="AF49" s="138">
        <f>AE49/AE40</f>
        <v>0</v>
      </c>
    </row>
    <row r="50" spans="1:77" ht="24" customHeight="1">
      <c r="B50" s="14"/>
      <c r="C50" s="95" t="s">
        <v>51</v>
      </c>
      <c r="D50" s="94"/>
      <c r="E50" s="93">
        <f>SUM(E48:E49)</f>
        <v>0</v>
      </c>
      <c r="F50" s="92"/>
      <c r="K50" s="88"/>
      <c r="L50" s="88"/>
      <c r="M50" s="88"/>
      <c r="N50" s="88"/>
      <c r="AA50" s="135"/>
      <c r="AB50" s="134" t="s">
        <v>36</v>
      </c>
      <c r="AC50" s="134"/>
      <c r="AD50" s="134"/>
      <c r="AE50" s="252">
        <f>(L84/D45)*-1</f>
        <v>19.054206419195413</v>
      </c>
      <c r="AF50" s="251">
        <f>AE50/AE40</f>
        <v>0.92599392130268454</v>
      </c>
    </row>
    <row r="51" spans="1:77" ht="24" customHeight="1">
      <c r="B51" s="14"/>
      <c r="C51" s="91"/>
      <c r="D51" s="90"/>
      <c r="F51" s="89"/>
      <c r="K51" s="88"/>
      <c r="L51" s="88"/>
      <c r="M51" s="88"/>
      <c r="N51" s="88"/>
    </row>
    <row r="52" spans="1:77" s="8" customFormat="1" ht="24" customHeight="1" thickBot="1">
      <c r="A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ht="29" customHeight="1">
      <c r="B53" s="87"/>
      <c r="C53" s="86"/>
      <c r="D53" s="85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3"/>
    </row>
    <row r="54" spans="1:77" ht="29" customHeight="1">
      <c r="B54" s="15"/>
      <c r="C54" s="194"/>
      <c r="D54" s="194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81"/>
    </row>
    <row r="55" spans="1:77" s="80" customFormat="1" ht="29" customHeight="1">
      <c r="B55" s="197"/>
      <c r="C55" s="198"/>
      <c r="D55" s="198"/>
      <c r="E55" s="196">
        <v>1</v>
      </c>
      <c r="F55" s="196">
        <v>2</v>
      </c>
      <c r="G55" s="196">
        <v>3</v>
      </c>
      <c r="H55" s="196">
        <v>4</v>
      </c>
      <c r="I55" s="196">
        <v>5</v>
      </c>
      <c r="J55" s="196">
        <v>6</v>
      </c>
      <c r="K55" s="196">
        <v>7</v>
      </c>
      <c r="L55" s="196">
        <v>8</v>
      </c>
      <c r="M55" s="196">
        <v>9</v>
      </c>
      <c r="N55" s="196">
        <v>10</v>
      </c>
      <c r="O55" s="196">
        <v>11</v>
      </c>
      <c r="P55" s="196">
        <v>12</v>
      </c>
      <c r="Q55" s="196">
        <v>13</v>
      </c>
      <c r="R55" s="196">
        <v>14</v>
      </c>
      <c r="S55" s="196">
        <v>15</v>
      </c>
      <c r="T55" s="196">
        <v>16</v>
      </c>
      <c r="U55" s="196">
        <v>17</v>
      </c>
      <c r="V55" s="196">
        <v>18</v>
      </c>
      <c r="W55" s="196">
        <v>19</v>
      </c>
      <c r="X55" s="81">
        <v>20</v>
      </c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ht="29" customHeight="1">
      <c r="B56" s="15"/>
      <c r="C56" s="199" t="s">
        <v>8</v>
      </c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2"/>
    </row>
    <row r="57" spans="1:77" ht="29" customHeight="1">
      <c r="B57" s="15"/>
      <c r="C57" s="201" t="s">
        <v>88</v>
      </c>
      <c r="D57" s="194"/>
      <c r="E57" s="43">
        <f>($D$43/100)*('[1]PCLP 1_250M'!E123*100)</f>
        <v>0</v>
      </c>
      <c r="F57" s="43">
        <f>($D$43/100)*('[1]PCLP 1_250M'!F123*100)</f>
        <v>0</v>
      </c>
      <c r="G57" s="43">
        <f>($D$43/100)*('[1]PCLP 1_250M'!G123*100)</f>
        <v>0</v>
      </c>
      <c r="H57" s="43">
        <f>($D$43/100)*('[1]PCLP 1_250M'!H123*100)</f>
        <v>136813.69720797555</v>
      </c>
      <c r="I57" s="43">
        <f>($D$43/100)*('[1]PCLP 1_250M'!I123*100)</f>
        <v>190709.56543176365</v>
      </c>
      <c r="J57" s="43">
        <f>($D$43/100)*('[1]PCLP 1_250M'!J123*100)</f>
        <v>270282.38163775392</v>
      </c>
      <c r="K57" s="43">
        <f>($D$43/100)*('[1]PCLP 1_250M'!K123*100)</f>
        <v>403258.44304581877</v>
      </c>
      <c r="L57" s="43">
        <f>($D$43/100)*('[1]PCLP 1_250M'!L123*100)</f>
        <v>2286314.0097706649</v>
      </c>
      <c r="M57" s="43">
        <f>($D$43/100)*('[1]PCLP 1_250M'!M123*100)</f>
        <v>2297745.5798195181</v>
      </c>
      <c r="N57" s="43">
        <f>($D$43/100)*('[1]PCLP 1_250M'!N123*100)</f>
        <v>2309234.307718616</v>
      </c>
      <c r="O57" s="43">
        <f>($D$43/100)*('[1]PCLP 1_250M'!O123*100)</f>
        <v>2320780.4792572088</v>
      </c>
      <c r="P57" s="43">
        <f>($D$43/100)*('[1]PCLP 1_250M'!P123*100)</f>
        <v>2332384.3816688685</v>
      </c>
      <c r="Q57" s="43">
        <f>($D$43/100)*('[1]PCLP 1_250M'!Q123*100)</f>
        <v>2344046.3036079602</v>
      </c>
      <c r="R57" s="43">
        <f>($D$43/100)*('[1]PCLP 1_250M'!R123*100)</f>
        <v>2355766.5351721216</v>
      </c>
      <c r="S57" s="43">
        <f>($D$43/100)*('[1]PCLP 1_250M'!S123*100)</f>
        <v>2367545.3679094776</v>
      </c>
      <c r="T57" s="43">
        <f>($D$43/100)*('[1]PCLP 1_250M'!T123*100)</f>
        <v>2379383.0948258946</v>
      </c>
      <c r="U57" s="43">
        <f>($D$43/100)*('[1]PCLP 1_250M'!U123*100)</f>
        <v>2391280.0103922663</v>
      </c>
      <c r="V57" s="43">
        <f>($D$43/100)*('[1]PCLP 1_250M'!V123*100)</f>
        <v>2403236.4105518442</v>
      </c>
      <c r="W57" s="43">
        <f>($D$43/100)*('[1]PCLP 1_250M'!W123*100)</f>
        <v>2415252.5927275941</v>
      </c>
      <c r="X57" s="79">
        <f>($D$43/100)*('[1]PCLP 1_250M'!X123*100)</f>
        <v>2427328.8558295961</v>
      </c>
    </row>
    <row r="58" spans="1:77" ht="29" customHeight="1">
      <c r="B58" s="15"/>
      <c r="C58" s="202" t="s">
        <v>87</v>
      </c>
      <c r="D58" s="194" t="s">
        <v>86</v>
      </c>
      <c r="E58" s="78">
        <v>0</v>
      </c>
      <c r="F58" s="78">
        <v>0</v>
      </c>
      <c r="G58" s="78">
        <v>0</v>
      </c>
      <c r="H58" s="77">
        <f t="shared" ref="H58:X58" si="10">SUM(H57:H57)</f>
        <v>136813.69720797555</v>
      </c>
      <c r="I58" s="77">
        <f t="shared" si="10"/>
        <v>190709.56543176365</v>
      </c>
      <c r="J58" s="77">
        <f t="shared" si="10"/>
        <v>270282.38163775392</v>
      </c>
      <c r="K58" s="77">
        <f t="shared" si="10"/>
        <v>403258.44304581877</v>
      </c>
      <c r="L58" s="77">
        <f t="shared" si="10"/>
        <v>2286314.0097706649</v>
      </c>
      <c r="M58" s="77">
        <f t="shared" si="10"/>
        <v>2297745.5798195181</v>
      </c>
      <c r="N58" s="77">
        <f t="shared" si="10"/>
        <v>2309234.307718616</v>
      </c>
      <c r="O58" s="77">
        <f t="shared" si="10"/>
        <v>2320780.4792572088</v>
      </c>
      <c r="P58" s="77">
        <f t="shared" si="10"/>
        <v>2332384.3816688685</v>
      </c>
      <c r="Q58" s="77">
        <f t="shared" si="10"/>
        <v>2344046.3036079602</v>
      </c>
      <c r="R58" s="77">
        <f t="shared" si="10"/>
        <v>2355766.5351721216</v>
      </c>
      <c r="S58" s="77">
        <f t="shared" si="10"/>
        <v>2367545.3679094776</v>
      </c>
      <c r="T58" s="77">
        <f t="shared" si="10"/>
        <v>2379383.0948258946</v>
      </c>
      <c r="U58" s="77">
        <f t="shared" si="10"/>
        <v>2391280.0103922663</v>
      </c>
      <c r="V58" s="77">
        <f t="shared" si="10"/>
        <v>2403236.4105518442</v>
      </c>
      <c r="W58" s="77">
        <f t="shared" si="10"/>
        <v>2415252.5927275941</v>
      </c>
      <c r="X58" s="76">
        <f t="shared" si="10"/>
        <v>2427328.8558295961</v>
      </c>
    </row>
    <row r="59" spans="1:77" ht="29" customHeight="1">
      <c r="B59" s="15"/>
      <c r="C59" s="194"/>
      <c r="D59" s="194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2"/>
    </row>
    <row r="60" spans="1:77" ht="29" customHeight="1">
      <c r="B60" s="15"/>
      <c r="C60" s="199" t="s">
        <v>52</v>
      </c>
      <c r="D60" s="194"/>
      <c r="E60" s="200"/>
      <c r="F60" s="330"/>
      <c r="G60" s="200"/>
      <c r="H60" s="200"/>
      <c r="I60" s="200"/>
      <c r="J60" s="200"/>
      <c r="K60" s="200"/>
      <c r="L60" s="75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2"/>
    </row>
    <row r="61" spans="1:77" ht="29" customHeight="1">
      <c r="B61" s="15"/>
      <c r="C61" s="203" t="s">
        <v>2</v>
      </c>
      <c r="D61" s="194"/>
      <c r="E61" s="200">
        <f>$D27*$D15</f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74">
        <v>0</v>
      </c>
    </row>
    <row r="62" spans="1:77" ht="29" customHeight="1">
      <c r="B62" s="15"/>
      <c r="C62" s="203" t="s">
        <v>43</v>
      </c>
      <c r="D62" s="194"/>
      <c r="E62" s="200">
        <f>D39</f>
        <v>0</v>
      </c>
      <c r="F62" s="18">
        <v>0</v>
      </c>
      <c r="G62" s="18">
        <v>0</v>
      </c>
      <c r="H62" s="18">
        <f>D28*E48</f>
        <v>0</v>
      </c>
      <c r="I62" s="18">
        <v>0</v>
      </c>
      <c r="J62" s="18">
        <f>D28*E49</f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74">
        <v>0</v>
      </c>
    </row>
    <row r="63" spans="1:77" ht="29" customHeight="1">
      <c r="B63" s="15"/>
      <c r="C63" s="203" t="s">
        <v>16</v>
      </c>
      <c r="D63" s="194"/>
      <c r="E63" s="200">
        <f t="shared" ref="E63:X63" si="11">$D19*$D15</f>
        <v>100000</v>
      </c>
      <c r="F63" s="200">
        <f t="shared" si="11"/>
        <v>100000</v>
      </c>
      <c r="G63" s="200">
        <f t="shared" si="11"/>
        <v>100000</v>
      </c>
      <c r="H63" s="200">
        <f t="shared" si="11"/>
        <v>100000</v>
      </c>
      <c r="I63" s="200">
        <f t="shared" si="11"/>
        <v>100000</v>
      </c>
      <c r="J63" s="200">
        <f t="shared" si="11"/>
        <v>100000</v>
      </c>
      <c r="K63" s="200">
        <f t="shared" si="11"/>
        <v>100000</v>
      </c>
      <c r="L63" s="200">
        <f t="shared" si="11"/>
        <v>100000</v>
      </c>
      <c r="M63" s="200">
        <f t="shared" si="11"/>
        <v>100000</v>
      </c>
      <c r="N63" s="200">
        <f t="shared" si="11"/>
        <v>100000</v>
      </c>
      <c r="O63" s="200">
        <f t="shared" si="11"/>
        <v>100000</v>
      </c>
      <c r="P63" s="200">
        <f t="shared" si="11"/>
        <v>100000</v>
      </c>
      <c r="Q63" s="200">
        <f t="shared" si="11"/>
        <v>100000</v>
      </c>
      <c r="R63" s="200">
        <f t="shared" si="11"/>
        <v>100000</v>
      </c>
      <c r="S63" s="200">
        <f t="shared" si="11"/>
        <v>100000</v>
      </c>
      <c r="T63" s="200">
        <f t="shared" si="11"/>
        <v>100000</v>
      </c>
      <c r="U63" s="200">
        <f t="shared" si="11"/>
        <v>100000</v>
      </c>
      <c r="V63" s="200">
        <f t="shared" si="11"/>
        <v>100000</v>
      </c>
      <c r="W63" s="200">
        <f t="shared" si="11"/>
        <v>100000</v>
      </c>
      <c r="X63" s="22">
        <f t="shared" si="11"/>
        <v>100000</v>
      </c>
    </row>
    <row r="64" spans="1:77" ht="29" customHeight="1">
      <c r="B64" s="15"/>
      <c r="C64" s="203" t="s">
        <v>6</v>
      </c>
      <c r="D64" s="194"/>
      <c r="E64" s="200">
        <f t="shared" ref="E64:X64" si="12">$D24</f>
        <v>20000</v>
      </c>
      <c r="F64" s="200">
        <f t="shared" si="12"/>
        <v>20000</v>
      </c>
      <c r="G64" s="200">
        <f t="shared" si="12"/>
        <v>20000</v>
      </c>
      <c r="H64" s="200">
        <f t="shared" si="12"/>
        <v>20000</v>
      </c>
      <c r="I64" s="200">
        <f t="shared" si="12"/>
        <v>20000</v>
      </c>
      <c r="J64" s="200">
        <f t="shared" si="12"/>
        <v>20000</v>
      </c>
      <c r="K64" s="200">
        <f t="shared" si="12"/>
        <v>20000</v>
      </c>
      <c r="L64" s="200">
        <f t="shared" si="12"/>
        <v>20000</v>
      </c>
      <c r="M64" s="200">
        <f t="shared" si="12"/>
        <v>20000</v>
      </c>
      <c r="N64" s="200">
        <f t="shared" si="12"/>
        <v>20000</v>
      </c>
      <c r="O64" s="200">
        <f t="shared" si="12"/>
        <v>20000</v>
      </c>
      <c r="P64" s="200">
        <f t="shared" si="12"/>
        <v>20000</v>
      </c>
      <c r="Q64" s="200">
        <f t="shared" si="12"/>
        <v>20000</v>
      </c>
      <c r="R64" s="200">
        <f t="shared" si="12"/>
        <v>20000</v>
      </c>
      <c r="S64" s="200">
        <f t="shared" si="12"/>
        <v>20000</v>
      </c>
      <c r="T64" s="200">
        <f t="shared" si="12"/>
        <v>20000</v>
      </c>
      <c r="U64" s="200">
        <f t="shared" si="12"/>
        <v>20000</v>
      </c>
      <c r="V64" s="200">
        <f t="shared" si="12"/>
        <v>20000</v>
      </c>
      <c r="W64" s="200">
        <f t="shared" si="12"/>
        <v>20000</v>
      </c>
      <c r="X64" s="22">
        <f t="shared" si="12"/>
        <v>20000</v>
      </c>
    </row>
    <row r="65" spans="1:77" ht="29" customHeight="1">
      <c r="B65" s="15"/>
      <c r="C65" s="203" t="s">
        <v>7</v>
      </c>
      <c r="D65" s="194"/>
      <c r="E65" s="200">
        <f t="shared" ref="E65:X65" si="13">+$D23</f>
        <v>50000</v>
      </c>
      <c r="F65" s="200">
        <f t="shared" si="13"/>
        <v>50000</v>
      </c>
      <c r="G65" s="200">
        <f t="shared" si="13"/>
        <v>50000</v>
      </c>
      <c r="H65" s="200">
        <f t="shared" si="13"/>
        <v>50000</v>
      </c>
      <c r="I65" s="200">
        <f t="shared" si="13"/>
        <v>50000</v>
      </c>
      <c r="J65" s="200">
        <f t="shared" si="13"/>
        <v>50000</v>
      </c>
      <c r="K65" s="200">
        <f t="shared" si="13"/>
        <v>50000</v>
      </c>
      <c r="L65" s="200">
        <f t="shared" si="13"/>
        <v>50000</v>
      </c>
      <c r="M65" s="200">
        <f t="shared" si="13"/>
        <v>50000</v>
      </c>
      <c r="N65" s="200">
        <f t="shared" si="13"/>
        <v>50000</v>
      </c>
      <c r="O65" s="200">
        <f t="shared" si="13"/>
        <v>50000</v>
      </c>
      <c r="P65" s="200">
        <f t="shared" si="13"/>
        <v>50000</v>
      </c>
      <c r="Q65" s="200">
        <f t="shared" si="13"/>
        <v>50000</v>
      </c>
      <c r="R65" s="200">
        <f t="shared" si="13"/>
        <v>50000</v>
      </c>
      <c r="S65" s="200">
        <f t="shared" si="13"/>
        <v>50000</v>
      </c>
      <c r="T65" s="200">
        <f t="shared" si="13"/>
        <v>50000</v>
      </c>
      <c r="U65" s="200">
        <f t="shared" si="13"/>
        <v>50000</v>
      </c>
      <c r="V65" s="200">
        <f t="shared" si="13"/>
        <v>50000</v>
      </c>
      <c r="W65" s="200">
        <f t="shared" si="13"/>
        <v>50000</v>
      </c>
      <c r="X65" s="22">
        <f t="shared" si="13"/>
        <v>50000</v>
      </c>
    </row>
    <row r="66" spans="1:77" ht="29" customHeight="1">
      <c r="B66" s="15"/>
      <c r="C66" s="194" t="s">
        <v>14</v>
      </c>
      <c r="D66" s="194"/>
      <c r="E66" s="73">
        <f t="shared" ref="E66:X66" si="14">SUM(E61:E65)</f>
        <v>170000</v>
      </c>
      <c r="F66" s="73">
        <f t="shared" si="14"/>
        <v>170000</v>
      </c>
      <c r="G66" s="73">
        <f t="shared" si="14"/>
        <v>170000</v>
      </c>
      <c r="H66" s="73">
        <f t="shared" si="14"/>
        <v>170000</v>
      </c>
      <c r="I66" s="73">
        <f t="shared" si="14"/>
        <v>170000</v>
      </c>
      <c r="J66" s="73">
        <f t="shared" si="14"/>
        <v>170000</v>
      </c>
      <c r="K66" s="73">
        <f t="shared" si="14"/>
        <v>170000</v>
      </c>
      <c r="L66" s="73">
        <f t="shared" si="14"/>
        <v>170000</v>
      </c>
      <c r="M66" s="73">
        <f t="shared" si="14"/>
        <v>170000</v>
      </c>
      <c r="N66" s="73">
        <f t="shared" si="14"/>
        <v>170000</v>
      </c>
      <c r="O66" s="73">
        <f t="shared" si="14"/>
        <v>170000</v>
      </c>
      <c r="P66" s="73">
        <f t="shared" si="14"/>
        <v>170000</v>
      </c>
      <c r="Q66" s="73">
        <f t="shared" si="14"/>
        <v>170000</v>
      </c>
      <c r="R66" s="73">
        <f t="shared" si="14"/>
        <v>170000</v>
      </c>
      <c r="S66" s="73">
        <f t="shared" si="14"/>
        <v>170000</v>
      </c>
      <c r="T66" s="73">
        <f t="shared" si="14"/>
        <v>170000</v>
      </c>
      <c r="U66" s="73">
        <f t="shared" si="14"/>
        <v>170000</v>
      </c>
      <c r="V66" s="73">
        <f t="shared" si="14"/>
        <v>170000</v>
      </c>
      <c r="W66" s="73">
        <f t="shared" si="14"/>
        <v>170000</v>
      </c>
      <c r="X66" s="72">
        <f t="shared" si="14"/>
        <v>170000</v>
      </c>
    </row>
    <row r="67" spans="1:77" ht="29" customHeight="1">
      <c r="B67" s="15"/>
      <c r="C67" s="194"/>
      <c r="D67" s="194"/>
      <c r="E67" s="204"/>
      <c r="F67" s="204"/>
      <c r="G67" s="204"/>
      <c r="H67" s="204"/>
      <c r="I67" s="204"/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204"/>
      <c r="U67" s="204"/>
      <c r="V67" s="204"/>
      <c r="W67" s="204"/>
      <c r="X67" s="59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</row>
    <row r="68" spans="1:77" s="57" customFormat="1" ht="29" customHeight="1">
      <c r="B68" s="63"/>
      <c r="C68" s="202" t="s">
        <v>85</v>
      </c>
      <c r="D68" s="205"/>
      <c r="E68" s="71">
        <f>+E57-E66</f>
        <v>-170000</v>
      </c>
      <c r="F68" s="71">
        <f>+F57-F66</f>
        <v>-170000</v>
      </c>
      <c r="G68" s="71">
        <f>+G57-G66</f>
        <v>-170000</v>
      </c>
      <c r="H68" s="71">
        <f t="shared" ref="H68:X68" si="15">+H58-H66</f>
        <v>-33186.302792024449</v>
      </c>
      <c r="I68" s="71">
        <f t="shared" si="15"/>
        <v>20709.565431763651</v>
      </c>
      <c r="J68" s="71">
        <f t="shared" si="15"/>
        <v>100282.38163775392</v>
      </c>
      <c r="K68" s="71">
        <f t="shared" si="15"/>
        <v>233258.44304581877</v>
      </c>
      <c r="L68" s="71">
        <f t="shared" si="15"/>
        <v>2116314.0097706649</v>
      </c>
      <c r="M68" s="71">
        <f t="shared" si="15"/>
        <v>2127745.5798195181</v>
      </c>
      <c r="N68" s="71">
        <f t="shared" si="15"/>
        <v>2139234.307718616</v>
      </c>
      <c r="O68" s="71">
        <f t="shared" si="15"/>
        <v>2150780.4792572088</v>
      </c>
      <c r="P68" s="71">
        <f t="shared" si="15"/>
        <v>2162384.3816688685</v>
      </c>
      <c r="Q68" s="71">
        <f t="shared" si="15"/>
        <v>2174046.3036079602</v>
      </c>
      <c r="R68" s="71">
        <f t="shared" si="15"/>
        <v>2185766.5351721216</v>
      </c>
      <c r="S68" s="71">
        <f t="shared" si="15"/>
        <v>2197545.3679094776</v>
      </c>
      <c r="T68" s="71">
        <f t="shared" si="15"/>
        <v>2209383.0948258946</v>
      </c>
      <c r="U68" s="71">
        <f t="shared" si="15"/>
        <v>2221280.0103922663</v>
      </c>
      <c r="V68" s="71">
        <f t="shared" si="15"/>
        <v>2233236.4105518442</v>
      </c>
      <c r="W68" s="71">
        <f t="shared" si="15"/>
        <v>2245252.5927275941</v>
      </c>
      <c r="X68" s="70">
        <f t="shared" si="15"/>
        <v>2257328.8558295961</v>
      </c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1:77" s="57" customFormat="1" ht="29" customHeight="1">
      <c r="B69" s="63"/>
      <c r="C69" s="202" t="s">
        <v>84</v>
      </c>
      <c r="D69" s="205"/>
      <c r="E69" s="69">
        <f t="shared" ref="E69:K69" si="16">(SUM(E79)*$D$30)-((E89+E92)/2*$D$29)</f>
        <v>0</v>
      </c>
      <c r="F69" s="69">
        <f t="shared" si="16"/>
        <v>6750.5988421676684</v>
      </c>
      <c r="G69" s="69">
        <f t="shared" si="16"/>
        <v>3485.6108190110217</v>
      </c>
      <c r="H69" s="69">
        <f t="shared" si="16"/>
        <v>155.323035391242</v>
      </c>
      <c r="I69" s="69">
        <f t="shared" si="16"/>
        <v>89.261075877975529</v>
      </c>
      <c r="J69" s="69">
        <f t="shared" si="16"/>
        <v>130.85872889325873</v>
      </c>
      <c r="K69" s="69">
        <f t="shared" si="16"/>
        <v>331.6852096265531</v>
      </c>
      <c r="L69" s="69">
        <f t="shared" ref="L69:X69" si="17">(SUM(L79)*$D$30)-(L89*$D$29)</f>
        <v>798.86546613744349</v>
      </c>
      <c r="M69" s="69">
        <f t="shared" si="17"/>
        <v>798.86546613744463</v>
      </c>
      <c r="N69" s="69">
        <f t="shared" si="17"/>
        <v>798.86546613744463</v>
      </c>
      <c r="O69" s="69">
        <f t="shared" si="17"/>
        <v>798.86546613744463</v>
      </c>
      <c r="P69" s="69">
        <f t="shared" si="17"/>
        <v>798.88546613744461</v>
      </c>
      <c r="Q69" s="69">
        <f t="shared" si="17"/>
        <v>798.92546613744457</v>
      </c>
      <c r="R69" s="69">
        <f t="shared" si="17"/>
        <v>798.98546613744463</v>
      </c>
      <c r="S69" s="69">
        <f t="shared" si="17"/>
        <v>799.06546613744467</v>
      </c>
      <c r="T69" s="69">
        <f t="shared" si="17"/>
        <v>799.16546613744458</v>
      </c>
      <c r="U69" s="69">
        <f t="shared" si="17"/>
        <v>799.28546613744459</v>
      </c>
      <c r="V69" s="69">
        <f t="shared" si="17"/>
        <v>799.42546613744457</v>
      </c>
      <c r="W69" s="69">
        <f t="shared" si="17"/>
        <v>799.58546613744466</v>
      </c>
      <c r="X69" s="68">
        <f t="shared" si="17"/>
        <v>799.76546613744461</v>
      </c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1:77" s="64" customFormat="1" ht="29" customHeight="1">
      <c r="B70" s="67"/>
      <c r="C70" s="206" t="s">
        <v>83</v>
      </c>
      <c r="D70" s="207"/>
      <c r="E70" s="208"/>
      <c r="F70" s="208"/>
      <c r="G70" s="208"/>
      <c r="H70" s="209" t="e">
        <f t="shared" ref="H70:X70" si="18">(H69/H92)*-1</f>
        <v>#DIV/0!</v>
      </c>
      <c r="I70" s="209" t="e">
        <f t="shared" si="18"/>
        <v>#DIV/0!</v>
      </c>
      <c r="J70" s="209" t="e">
        <f t="shared" si="18"/>
        <v>#DIV/0!</v>
      </c>
      <c r="K70" s="209" t="e">
        <f t="shared" si="18"/>
        <v>#DIV/0!</v>
      </c>
      <c r="L70" s="209" t="e">
        <f t="shared" si="18"/>
        <v>#DIV/0!</v>
      </c>
      <c r="M70" s="209" t="e">
        <f t="shared" si="18"/>
        <v>#DIV/0!</v>
      </c>
      <c r="N70" s="209" t="e">
        <f t="shared" si="18"/>
        <v>#DIV/0!</v>
      </c>
      <c r="O70" s="209" t="e">
        <f t="shared" si="18"/>
        <v>#DIV/0!</v>
      </c>
      <c r="P70" s="209" t="e">
        <f t="shared" si="18"/>
        <v>#DIV/0!</v>
      </c>
      <c r="Q70" s="209" t="e">
        <f t="shared" si="18"/>
        <v>#DIV/0!</v>
      </c>
      <c r="R70" s="209" t="e">
        <f t="shared" si="18"/>
        <v>#DIV/0!</v>
      </c>
      <c r="S70" s="209" t="e">
        <f t="shared" si="18"/>
        <v>#DIV/0!</v>
      </c>
      <c r="T70" s="209" t="e">
        <f t="shared" si="18"/>
        <v>#DIV/0!</v>
      </c>
      <c r="U70" s="209" t="e">
        <f t="shared" si="18"/>
        <v>#DIV/0!</v>
      </c>
      <c r="V70" s="209" t="e">
        <f t="shared" si="18"/>
        <v>#DIV/0!</v>
      </c>
      <c r="W70" s="209" t="e">
        <f t="shared" si="18"/>
        <v>#DIV/0!</v>
      </c>
      <c r="X70" s="66" t="e">
        <f t="shared" si="18"/>
        <v>#DIV/0!</v>
      </c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</row>
    <row r="71" spans="1:77" s="57" customFormat="1" ht="29" customHeight="1">
      <c r="B71" s="63"/>
      <c r="C71" s="202"/>
      <c r="D71" s="205"/>
      <c r="E71" s="204"/>
      <c r="F71" s="204"/>
      <c r="G71" s="204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6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1:77" ht="29" customHeight="1" thickBot="1">
      <c r="B72" s="15"/>
      <c r="C72" s="201" t="s">
        <v>82</v>
      </c>
      <c r="D72" s="211"/>
      <c r="E72" s="61">
        <f t="shared" ref="E72:X72" si="19">SUM(E68:E69)</f>
        <v>-170000</v>
      </c>
      <c r="F72" s="61">
        <f t="shared" si="19"/>
        <v>-163249.40115783233</v>
      </c>
      <c r="G72" s="61">
        <f t="shared" si="19"/>
        <v>-166514.38918098898</v>
      </c>
      <c r="H72" s="61">
        <f t="shared" si="19"/>
        <v>-33030.979756633205</v>
      </c>
      <c r="I72" s="61">
        <f t="shared" si="19"/>
        <v>20798.826507641625</v>
      </c>
      <c r="J72" s="61">
        <f t="shared" si="19"/>
        <v>100413.24036664718</v>
      </c>
      <c r="K72" s="61">
        <f t="shared" si="19"/>
        <v>233590.12825544534</v>
      </c>
      <c r="L72" s="61">
        <f t="shared" si="19"/>
        <v>2117112.8752368023</v>
      </c>
      <c r="M72" s="61">
        <f t="shared" si="19"/>
        <v>2128544.4452856556</v>
      </c>
      <c r="N72" s="61">
        <f t="shared" si="19"/>
        <v>2140033.1731847534</v>
      </c>
      <c r="O72" s="61">
        <f t="shared" si="19"/>
        <v>2151579.3447233462</v>
      </c>
      <c r="P72" s="61">
        <f t="shared" si="19"/>
        <v>2163183.2671350059</v>
      </c>
      <c r="Q72" s="61">
        <f t="shared" si="19"/>
        <v>2174845.2290740977</v>
      </c>
      <c r="R72" s="61">
        <f t="shared" si="19"/>
        <v>2186565.5206382591</v>
      </c>
      <c r="S72" s="61">
        <f t="shared" si="19"/>
        <v>2198344.4333756152</v>
      </c>
      <c r="T72" s="61">
        <f t="shared" si="19"/>
        <v>2210182.2602920318</v>
      </c>
      <c r="U72" s="61">
        <f t="shared" si="19"/>
        <v>2222079.2958584037</v>
      </c>
      <c r="V72" s="61">
        <f t="shared" si="19"/>
        <v>2234035.8360179816</v>
      </c>
      <c r="W72" s="61">
        <f t="shared" si="19"/>
        <v>2246052.1781937317</v>
      </c>
      <c r="X72" s="60">
        <f t="shared" si="19"/>
        <v>2258128.6212957334</v>
      </c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</row>
    <row r="73" spans="1:77" ht="29" customHeight="1" thickTop="1">
      <c r="B73" s="15"/>
      <c r="C73" s="201"/>
      <c r="D73" s="211"/>
      <c r="E73" s="204"/>
      <c r="F73" s="204"/>
      <c r="G73" s="204"/>
      <c r="H73" s="204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59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</row>
    <row r="74" spans="1:77" ht="29" customHeight="1">
      <c r="B74" s="15"/>
      <c r="C74" s="212" t="s">
        <v>39</v>
      </c>
      <c r="D74" s="194"/>
      <c r="E74" s="213" t="s">
        <v>53</v>
      </c>
      <c r="F74" s="213" t="s">
        <v>53</v>
      </c>
      <c r="G74" s="213" t="s">
        <v>53</v>
      </c>
      <c r="H74" s="213">
        <f t="shared" ref="H74:X74" si="20">H68/H69*-1</f>
        <v>213.65989087472909</v>
      </c>
      <c r="I74" s="213">
        <f t="shared" si="20"/>
        <v>-232.01115635301875</v>
      </c>
      <c r="J74" s="213">
        <f t="shared" si="20"/>
        <v>-766.34078968896381</v>
      </c>
      <c r="K74" s="213">
        <f t="shared" si="20"/>
        <v>-703.25247034212418</v>
      </c>
      <c r="L74" s="213">
        <f t="shared" si="20"/>
        <v>-2649.1494494099916</v>
      </c>
      <c r="M74" s="213">
        <f t="shared" si="20"/>
        <v>-2663.4592055997573</v>
      </c>
      <c r="N74" s="213">
        <f t="shared" si="20"/>
        <v>-2677.840510570476</v>
      </c>
      <c r="O74" s="213">
        <f t="shared" si="20"/>
        <v>-2692.2937220660474</v>
      </c>
      <c r="P74" s="213">
        <f t="shared" si="20"/>
        <v>-2706.751434750523</v>
      </c>
      <c r="Q74" s="213">
        <f t="shared" si="20"/>
        <v>-2721.2129238022617</v>
      </c>
      <c r="R74" s="213">
        <f t="shared" si="20"/>
        <v>-2735.6774657476903</v>
      </c>
      <c r="S74" s="213">
        <f t="shared" si="20"/>
        <v>-2750.1443386510773</v>
      </c>
      <c r="T74" s="213">
        <f t="shared" si="20"/>
        <v>-2764.6128223037026</v>
      </c>
      <c r="U74" s="213">
        <f t="shared" si="20"/>
        <v>-2779.0821984123213</v>
      </c>
      <c r="V74" s="213">
        <f t="shared" si="20"/>
        <v>-2793.5517507868403</v>
      </c>
      <c r="W74" s="213">
        <f t="shared" si="20"/>
        <v>-2808.0207655270797</v>
      </c>
      <c r="X74" s="58">
        <f t="shared" si="20"/>
        <v>-2822.4885312085485</v>
      </c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</row>
    <row r="75" spans="1:77" ht="29" customHeight="1">
      <c r="B75" s="15"/>
      <c r="C75" s="212" t="s">
        <v>40</v>
      </c>
      <c r="D75" s="194"/>
      <c r="E75" s="213" t="s">
        <v>53</v>
      </c>
      <c r="F75" s="213" t="s">
        <v>53</v>
      </c>
      <c r="G75" s="213" t="s">
        <v>53</v>
      </c>
      <c r="H75" s="213">
        <f t="shared" ref="H75:X75" si="21">+H68/(-H69-H91)</f>
        <v>213.65989087472909</v>
      </c>
      <c r="I75" s="213">
        <f t="shared" si="21"/>
        <v>-232.01115635301875</v>
      </c>
      <c r="J75" s="213">
        <f t="shared" si="21"/>
        <v>-766.34078968896381</v>
      </c>
      <c r="K75" s="213">
        <f t="shared" si="21"/>
        <v>-703.25247034212418</v>
      </c>
      <c r="L75" s="213">
        <f t="shared" si="21"/>
        <v>-2649.1494494099916</v>
      </c>
      <c r="M75" s="213">
        <f t="shared" si="21"/>
        <v>-2663.4592055997573</v>
      </c>
      <c r="N75" s="213">
        <f t="shared" si="21"/>
        <v>-2677.840510570476</v>
      </c>
      <c r="O75" s="213">
        <f t="shared" si="21"/>
        <v>-2692.2937220660474</v>
      </c>
      <c r="P75" s="213">
        <f t="shared" si="21"/>
        <v>-2706.751434750523</v>
      </c>
      <c r="Q75" s="213">
        <f t="shared" si="21"/>
        <v>-2721.2129238022617</v>
      </c>
      <c r="R75" s="213">
        <f t="shared" si="21"/>
        <v>-2735.6774657476903</v>
      </c>
      <c r="S75" s="213">
        <f t="shared" si="21"/>
        <v>-2750.1443386510773</v>
      </c>
      <c r="T75" s="213">
        <f t="shared" si="21"/>
        <v>-2764.6128223037026</v>
      </c>
      <c r="U75" s="213">
        <f t="shared" si="21"/>
        <v>-2779.0821984123213</v>
      </c>
      <c r="V75" s="213">
        <f t="shared" si="21"/>
        <v>-2793.5517507868403</v>
      </c>
      <c r="W75" s="213">
        <f t="shared" si="21"/>
        <v>-2808.0207655270797</v>
      </c>
      <c r="X75" s="58">
        <f t="shared" si="21"/>
        <v>-2822.4885312085485</v>
      </c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</row>
    <row r="76" spans="1:77" ht="29" customHeight="1">
      <c r="B76" s="15"/>
      <c r="C76" s="194" t="s">
        <v>54</v>
      </c>
      <c r="D76" s="194"/>
      <c r="E76" s="214" t="s">
        <v>53</v>
      </c>
      <c r="F76" s="214" t="s">
        <v>53</v>
      </c>
      <c r="G76" s="214" t="s">
        <v>53</v>
      </c>
      <c r="H76" s="215">
        <f t="shared" ref="H76:X76" si="22">H68/H58</f>
        <v>-0.24256564561351432</v>
      </c>
      <c r="I76" s="215">
        <f t="shared" si="22"/>
        <v>0.10859216938005967</v>
      </c>
      <c r="J76" s="215">
        <f t="shared" si="22"/>
        <v>0.37102818552249339</v>
      </c>
      <c r="K76" s="215">
        <f t="shared" si="22"/>
        <v>0.57843412101681801</v>
      </c>
      <c r="L76" s="215">
        <f t="shared" si="22"/>
        <v>0.92564450933970688</v>
      </c>
      <c r="M76" s="215">
        <f t="shared" si="22"/>
        <v>0.92601443715393716</v>
      </c>
      <c r="N76" s="215">
        <f t="shared" si="22"/>
        <v>0.92638252453128078</v>
      </c>
      <c r="O76" s="215">
        <f t="shared" si="22"/>
        <v>0.92674878062814003</v>
      </c>
      <c r="P76" s="215">
        <f t="shared" si="22"/>
        <v>0.92711321455584372</v>
      </c>
      <c r="Q76" s="215">
        <f t="shared" si="22"/>
        <v>0.9274758353799003</v>
      </c>
      <c r="R76" s="215">
        <f t="shared" si="22"/>
        <v>0.92783665212071653</v>
      </c>
      <c r="S76" s="215">
        <f t="shared" si="22"/>
        <v>0.92819567375382184</v>
      </c>
      <c r="T76" s="215">
        <f t="shared" si="22"/>
        <v>0.92855290921009115</v>
      </c>
      <c r="U76" s="215">
        <f t="shared" si="22"/>
        <v>0.92890836737596738</v>
      </c>
      <c r="V76" s="215">
        <f t="shared" si="22"/>
        <v>0.92926205709368237</v>
      </c>
      <c r="W76" s="215">
        <f t="shared" si="22"/>
        <v>0.92961398716147714</v>
      </c>
      <c r="X76" s="56">
        <f t="shared" si="22"/>
        <v>0.92996416633382029</v>
      </c>
    </row>
    <row r="77" spans="1:77" ht="29" customHeight="1">
      <c r="B77" s="15"/>
      <c r="C77" s="194"/>
      <c r="D77" s="194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37"/>
    </row>
    <row r="78" spans="1:77" s="8" customFormat="1" ht="29" customHeight="1" thickBot="1">
      <c r="A78" s="2"/>
      <c r="B78" s="29"/>
      <c r="C78" s="28" t="s">
        <v>17</v>
      </c>
      <c r="D78" s="27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5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1:77" ht="29" customHeight="1">
      <c r="B79" s="15"/>
      <c r="C79" s="194" t="s">
        <v>18</v>
      </c>
      <c r="D79" s="194"/>
      <c r="E79" s="217">
        <v>0</v>
      </c>
      <c r="F79" s="217">
        <f t="shared" ref="F79:X79" si="23">E86</f>
        <v>337529.9421083834</v>
      </c>
      <c r="G79" s="217">
        <f t="shared" si="23"/>
        <v>174280.54095055108</v>
      </c>
      <c r="H79" s="217">
        <f t="shared" si="23"/>
        <v>7766.1517695621005</v>
      </c>
      <c r="I79" s="217">
        <f t="shared" si="23"/>
        <v>4463.0537938987763</v>
      </c>
      <c r="J79" s="217">
        <f t="shared" si="23"/>
        <v>6542.936444662937</v>
      </c>
      <c r="K79" s="217">
        <f t="shared" si="23"/>
        <v>16584.260481327656</v>
      </c>
      <c r="L79" s="217">
        <f t="shared" si="23"/>
        <v>39943.273306872172</v>
      </c>
      <c r="M79" s="217">
        <f t="shared" si="23"/>
        <v>39943.27330687223</v>
      </c>
      <c r="N79" s="217">
        <f t="shared" si="23"/>
        <v>39943.27330687223</v>
      </c>
      <c r="O79" s="217">
        <f t="shared" si="23"/>
        <v>39943.27330687223</v>
      </c>
      <c r="P79" s="217">
        <f t="shared" si="23"/>
        <v>39944.27330687223</v>
      </c>
      <c r="Q79" s="217">
        <f t="shared" si="23"/>
        <v>39946.27330687223</v>
      </c>
      <c r="R79" s="217">
        <f t="shared" si="23"/>
        <v>39949.27330687223</v>
      </c>
      <c r="S79" s="217">
        <f t="shared" si="23"/>
        <v>39953.27330687223</v>
      </c>
      <c r="T79" s="217">
        <f t="shared" si="23"/>
        <v>39958.27330687223</v>
      </c>
      <c r="U79" s="217">
        <f t="shared" si="23"/>
        <v>39964.27330687223</v>
      </c>
      <c r="V79" s="217">
        <f t="shared" si="23"/>
        <v>39971.27330687223</v>
      </c>
      <c r="W79" s="217">
        <f t="shared" si="23"/>
        <v>39979.27330687223</v>
      </c>
      <c r="X79" s="46">
        <f t="shared" si="23"/>
        <v>39988.27330687223</v>
      </c>
    </row>
    <row r="80" spans="1:77" ht="29" customHeight="1">
      <c r="B80" s="15"/>
      <c r="C80" s="194" t="s">
        <v>19</v>
      </c>
      <c r="D80" s="194"/>
      <c r="E80" s="218">
        <f>$D$38</f>
        <v>10000000</v>
      </c>
      <c r="F80" s="218">
        <v>0</v>
      </c>
      <c r="G80" s="218">
        <v>0</v>
      </c>
      <c r="H80" s="218">
        <v>0</v>
      </c>
      <c r="I80" s="218">
        <v>0</v>
      </c>
      <c r="J80" s="218">
        <v>0</v>
      </c>
      <c r="K80" s="218">
        <v>0</v>
      </c>
      <c r="L80" s="218">
        <v>0</v>
      </c>
      <c r="M80" s="218">
        <v>0</v>
      </c>
      <c r="N80" s="218">
        <v>0</v>
      </c>
      <c r="O80" s="218">
        <v>1</v>
      </c>
      <c r="P80" s="218">
        <v>2</v>
      </c>
      <c r="Q80" s="218">
        <v>3</v>
      </c>
      <c r="R80" s="218">
        <v>4</v>
      </c>
      <c r="S80" s="218">
        <v>5</v>
      </c>
      <c r="T80" s="218">
        <v>6</v>
      </c>
      <c r="U80" s="218">
        <v>7</v>
      </c>
      <c r="V80" s="218">
        <v>8</v>
      </c>
      <c r="W80" s="218">
        <v>9</v>
      </c>
      <c r="X80" s="50">
        <v>10</v>
      </c>
    </row>
    <row r="81" spans="1:77" ht="29" customHeight="1">
      <c r="B81" s="15"/>
      <c r="C81" s="194" t="s">
        <v>55</v>
      </c>
      <c r="D81" s="194"/>
      <c r="E81" s="218">
        <f t="shared" ref="E81:X81" si="24">E90</f>
        <v>0</v>
      </c>
      <c r="F81" s="218">
        <f t="shared" si="24"/>
        <v>0</v>
      </c>
      <c r="G81" s="218">
        <f t="shared" si="24"/>
        <v>0</v>
      </c>
      <c r="H81" s="218">
        <f t="shared" si="24"/>
        <v>0</v>
      </c>
      <c r="I81" s="218">
        <f t="shared" si="24"/>
        <v>0</v>
      </c>
      <c r="J81" s="218">
        <f t="shared" si="24"/>
        <v>0</v>
      </c>
      <c r="K81" s="218">
        <f t="shared" si="24"/>
        <v>0</v>
      </c>
      <c r="L81" s="218">
        <f t="shared" si="24"/>
        <v>0</v>
      </c>
      <c r="M81" s="218">
        <f t="shared" si="24"/>
        <v>0</v>
      </c>
      <c r="N81" s="218">
        <f t="shared" si="24"/>
        <v>0</v>
      </c>
      <c r="O81" s="218">
        <f t="shared" si="24"/>
        <v>0</v>
      </c>
      <c r="P81" s="218">
        <f t="shared" si="24"/>
        <v>0</v>
      </c>
      <c r="Q81" s="218">
        <f t="shared" si="24"/>
        <v>0</v>
      </c>
      <c r="R81" s="218">
        <f t="shared" si="24"/>
        <v>0</v>
      </c>
      <c r="S81" s="218">
        <f t="shared" si="24"/>
        <v>0</v>
      </c>
      <c r="T81" s="218">
        <f t="shared" si="24"/>
        <v>0</v>
      </c>
      <c r="U81" s="218">
        <f t="shared" si="24"/>
        <v>0</v>
      </c>
      <c r="V81" s="218">
        <f t="shared" si="24"/>
        <v>0</v>
      </c>
      <c r="W81" s="218">
        <f t="shared" si="24"/>
        <v>0</v>
      </c>
      <c r="X81" s="50">
        <f t="shared" si="24"/>
        <v>0</v>
      </c>
    </row>
    <row r="82" spans="1:77" ht="29" customHeight="1">
      <c r="B82" s="15"/>
      <c r="C82" s="194" t="s">
        <v>21</v>
      </c>
      <c r="D82" s="194"/>
      <c r="E82" s="218">
        <f>-E100</f>
        <v>-9492470.0578916166</v>
      </c>
      <c r="F82" s="218">
        <f t="shared" ref="F82:X82" si="25">-F100+F96</f>
        <v>0</v>
      </c>
      <c r="G82" s="218">
        <f t="shared" si="25"/>
        <v>0</v>
      </c>
      <c r="H82" s="218">
        <f t="shared" si="25"/>
        <v>0</v>
      </c>
      <c r="I82" s="218">
        <f t="shared" si="25"/>
        <v>0</v>
      </c>
      <c r="J82" s="218">
        <f t="shared" si="25"/>
        <v>0</v>
      </c>
      <c r="K82" s="218">
        <f t="shared" si="25"/>
        <v>0</v>
      </c>
      <c r="L82" s="218">
        <f t="shared" si="25"/>
        <v>0</v>
      </c>
      <c r="M82" s="218">
        <f t="shared" si="25"/>
        <v>0</v>
      </c>
      <c r="N82" s="218">
        <f t="shared" si="25"/>
        <v>0</v>
      </c>
      <c r="O82" s="218">
        <f t="shared" si="25"/>
        <v>0</v>
      </c>
      <c r="P82" s="218">
        <f t="shared" si="25"/>
        <v>0</v>
      </c>
      <c r="Q82" s="218">
        <f t="shared" si="25"/>
        <v>0</v>
      </c>
      <c r="R82" s="218">
        <f t="shared" si="25"/>
        <v>0</v>
      </c>
      <c r="S82" s="218">
        <f t="shared" si="25"/>
        <v>0</v>
      </c>
      <c r="T82" s="218">
        <f t="shared" si="25"/>
        <v>0</v>
      </c>
      <c r="U82" s="218">
        <f t="shared" si="25"/>
        <v>0</v>
      </c>
      <c r="V82" s="218">
        <f t="shared" si="25"/>
        <v>0</v>
      </c>
      <c r="W82" s="218">
        <f t="shared" si="25"/>
        <v>0</v>
      </c>
      <c r="X82" s="50">
        <f t="shared" si="25"/>
        <v>0</v>
      </c>
    </row>
    <row r="83" spans="1:77" ht="29" customHeight="1">
      <c r="B83" s="15"/>
      <c r="C83" s="194" t="s">
        <v>29</v>
      </c>
      <c r="D83" s="194"/>
      <c r="E83" s="218">
        <f t="shared" ref="E83:X83" si="26">E91</f>
        <v>0</v>
      </c>
      <c r="F83" s="218">
        <f t="shared" si="26"/>
        <v>0</v>
      </c>
      <c r="G83" s="218">
        <f t="shared" si="26"/>
        <v>0</v>
      </c>
      <c r="H83" s="218">
        <f t="shared" si="26"/>
        <v>0</v>
      </c>
      <c r="I83" s="218">
        <f t="shared" si="26"/>
        <v>0</v>
      </c>
      <c r="J83" s="218">
        <f t="shared" si="26"/>
        <v>0</v>
      </c>
      <c r="K83" s="218">
        <f t="shared" si="26"/>
        <v>0</v>
      </c>
      <c r="L83" s="218">
        <f t="shared" si="26"/>
        <v>0</v>
      </c>
      <c r="M83" s="218">
        <f t="shared" si="26"/>
        <v>0</v>
      </c>
      <c r="N83" s="218">
        <f t="shared" si="26"/>
        <v>0</v>
      </c>
      <c r="O83" s="218">
        <f t="shared" si="26"/>
        <v>0</v>
      </c>
      <c r="P83" s="218">
        <f t="shared" si="26"/>
        <v>0</v>
      </c>
      <c r="Q83" s="218">
        <f t="shared" si="26"/>
        <v>0</v>
      </c>
      <c r="R83" s="218">
        <f t="shared" si="26"/>
        <v>0</v>
      </c>
      <c r="S83" s="218">
        <f t="shared" si="26"/>
        <v>0</v>
      </c>
      <c r="T83" s="218">
        <f t="shared" si="26"/>
        <v>0</v>
      </c>
      <c r="U83" s="218">
        <f t="shared" si="26"/>
        <v>0</v>
      </c>
      <c r="V83" s="218">
        <f t="shared" si="26"/>
        <v>0</v>
      </c>
      <c r="W83" s="218">
        <f t="shared" si="26"/>
        <v>0</v>
      </c>
      <c r="X83" s="50">
        <f t="shared" si="26"/>
        <v>0</v>
      </c>
    </row>
    <row r="84" spans="1:77" ht="29" customHeight="1">
      <c r="B84" s="15"/>
      <c r="C84" s="194" t="s">
        <v>36</v>
      </c>
      <c r="D84" s="194"/>
      <c r="E84" s="218">
        <f t="shared" ref="E84:X84" si="27">-E120</f>
        <v>0</v>
      </c>
      <c r="F84" s="218">
        <f t="shared" si="27"/>
        <v>0</v>
      </c>
      <c r="G84" s="218">
        <f t="shared" si="27"/>
        <v>0</v>
      </c>
      <c r="H84" s="218">
        <f t="shared" si="27"/>
        <v>29727.881780969885</v>
      </c>
      <c r="I84" s="218">
        <f t="shared" si="27"/>
        <v>-18718.943856877464</v>
      </c>
      <c r="J84" s="218">
        <f t="shared" si="27"/>
        <v>-90371.916329982458</v>
      </c>
      <c r="K84" s="218">
        <f t="shared" si="27"/>
        <v>-210231.11542990082</v>
      </c>
      <c r="L84" s="218">
        <f t="shared" si="27"/>
        <v>-2117112.8752368023</v>
      </c>
      <c r="M84" s="218">
        <f t="shared" si="27"/>
        <v>-2128544.4452856556</v>
      </c>
      <c r="N84" s="218">
        <f t="shared" si="27"/>
        <v>-2140033.1731847534</v>
      </c>
      <c r="O84" s="218">
        <f t="shared" si="27"/>
        <v>-2151579.3447233462</v>
      </c>
      <c r="P84" s="218">
        <f t="shared" si="27"/>
        <v>-2163183.2671350059</v>
      </c>
      <c r="Q84" s="218">
        <f t="shared" si="27"/>
        <v>-2174845.2290740977</v>
      </c>
      <c r="R84" s="218">
        <f t="shared" si="27"/>
        <v>-2186565.5206382591</v>
      </c>
      <c r="S84" s="218">
        <f t="shared" si="27"/>
        <v>-2198344.4333756152</v>
      </c>
      <c r="T84" s="218">
        <f t="shared" si="27"/>
        <v>-2210182.2602920318</v>
      </c>
      <c r="U84" s="218">
        <f t="shared" si="27"/>
        <v>-2222079.2958584037</v>
      </c>
      <c r="V84" s="218">
        <f t="shared" si="27"/>
        <v>-2234035.8360179816</v>
      </c>
      <c r="W84" s="218">
        <f t="shared" si="27"/>
        <v>-2246052.1781937317</v>
      </c>
      <c r="X84" s="50">
        <f t="shared" si="27"/>
        <v>-2258128.6212957334</v>
      </c>
    </row>
    <row r="85" spans="1:77" ht="29" customHeight="1">
      <c r="B85" s="15"/>
      <c r="C85" s="194" t="str">
        <f>+C72</f>
        <v>Funding from operations</v>
      </c>
      <c r="D85" s="194"/>
      <c r="E85" s="218">
        <f t="shared" ref="E85:X85" si="28">E72</f>
        <v>-170000</v>
      </c>
      <c r="F85" s="218">
        <f t="shared" si="28"/>
        <v>-163249.40115783233</v>
      </c>
      <c r="G85" s="218">
        <f t="shared" si="28"/>
        <v>-166514.38918098898</v>
      </c>
      <c r="H85" s="218">
        <f t="shared" si="28"/>
        <v>-33030.979756633205</v>
      </c>
      <c r="I85" s="218">
        <f t="shared" si="28"/>
        <v>20798.826507641625</v>
      </c>
      <c r="J85" s="218">
        <f t="shared" si="28"/>
        <v>100413.24036664718</v>
      </c>
      <c r="K85" s="218">
        <f t="shared" si="28"/>
        <v>233590.12825544534</v>
      </c>
      <c r="L85" s="218">
        <f t="shared" si="28"/>
        <v>2117112.8752368023</v>
      </c>
      <c r="M85" s="218">
        <f t="shared" si="28"/>
        <v>2128544.4452856556</v>
      </c>
      <c r="N85" s="218">
        <f t="shared" si="28"/>
        <v>2140033.1731847534</v>
      </c>
      <c r="O85" s="218">
        <f t="shared" si="28"/>
        <v>2151579.3447233462</v>
      </c>
      <c r="P85" s="218">
        <f t="shared" si="28"/>
        <v>2163183.2671350059</v>
      </c>
      <c r="Q85" s="218">
        <f t="shared" si="28"/>
        <v>2174845.2290740977</v>
      </c>
      <c r="R85" s="218">
        <f t="shared" si="28"/>
        <v>2186565.5206382591</v>
      </c>
      <c r="S85" s="218">
        <f t="shared" si="28"/>
        <v>2198344.4333756152</v>
      </c>
      <c r="T85" s="218">
        <f t="shared" si="28"/>
        <v>2210182.2602920318</v>
      </c>
      <c r="U85" s="218">
        <f t="shared" si="28"/>
        <v>2222079.2958584037</v>
      </c>
      <c r="V85" s="218">
        <f t="shared" si="28"/>
        <v>2234035.8360179816</v>
      </c>
      <c r="W85" s="218">
        <f t="shared" si="28"/>
        <v>2246052.1781937317</v>
      </c>
      <c r="X85" s="50">
        <f t="shared" si="28"/>
        <v>2258128.6212957334</v>
      </c>
    </row>
    <row r="86" spans="1:77" ht="29" customHeight="1">
      <c r="B86" s="15"/>
      <c r="C86" s="49" t="s">
        <v>20</v>
      </c>
      <c r="D86" s="49"/>
      <c r="E86" s="48">
        <f t="shared" ref="E86:X86" si="29">SUM(E79:E85)</f>
        <v>337529.9421083834</v>
      </c>
      <c r="F86" s="48">
        <f t="shared" si="29"/>
        <v>174280.54095055108</v>
      </c>
      <c r="G86" s="48">
        <f t="shared" si="29"/>
        <v>7766.1517695621005</v>
      </c>
      <c r="H86" s="48">
        <f t="shared" si="29"/>
        <v>4463.0537938987763</v>
      </c>
      <c r="I86" s="48">
        <f t="shared" si="29"/>
        <v>6542.936444662937</v>
      </c>
      <c r="J86" s="48">
        <f t="shared" si="29"/>
        <v>16584.260481327656</v>
      </c>
      <c r="K86" s="48">
        <f t="shared" si="29"/>
        <v>39943.273306872172</v>
      </c>
      <c r="L86" s="48">
        <f t="shared" si="29"/>
        <v>39943.27330687223</v>
      </c>
      <c r="M86" s="48">
        <f t="shared" si="29"/>
        <v>39943.27330687223</v>
      </c>
      <c r="N86" s="48">
        <f t="shared" si="29"/>
        <v>39943.27330687223</v>
      </c>
      <c r="O86" s="48">
        <f t="shared" si="29"/>
        <v>39944.27330687223</v>
      </c>
      <c r="P86" s="48">
        <f t="shared" si="29"/>
        <v>39946.27330687223</v>
      </c>
      <c r="Q86" s="48">
        <f t="shared" si="29"/>
        <v>39949.27330687223</v>
      </c>
      <c r="R86" s="48">
        <f t="shared" si="29"/>
        <v>39953.27330687223</v>
      </c>
      <c r="S86" s="48">
        <f t="shared" si="29"/>
        <v>39958.27330687223</v>
      </c>
      <c r="T86" s="48">
        <f t="shared" si="29"/>
        <v>39964.27330687223</v>
      </c>
      <c r="U86" s="48">
        <f t="shared" si="29"/>
        <v>39971.27330687223</v>
      </c>
      <c r="V86" s="48">
        <f t="shared" si="29"/>
        <v>39979.27330687223</v>
      </c>
      <c r="W86" s="48">
        <f t="shared" si="29"/>
        <v>39988.27330687223</v>
      </c>
      <c r="X86" s="47">
        <f t="shared" si="29"/>
        <v>39998.27330687223</v>
      </c>
    </row>
    <row r="87" spans="1:77" ht="29" customHeight="1">
      <c r="B87" s="15"/>
      <c r="C87" s="194"/>
      <c r="D87" s="194"/>
      <c r="E87" s="216"/>
      <c r="F87" s="216"/>
      <c r="G87" s="55"/>
      <c r="H87" s="216"/>
      <c r="I87" s="216"/>
      <c r="J87" s="216"/>
      <c r="K87" s="216"/>
      <c r="L87" s="216"/>
      <c r="M87" s="216"/>
      <c r="N87" s="216"/>
      <c r="O87" s="216"/>
      <c r="P87" s="216"/>
      <c r="Q87" s="216"/>
      <c r="R87" s="216"/>
      <c r="S87" s="216"/>
      <c r="T87" s="216"/>
      <c r="U87" s="216"/>
      <c r="V87" s="216"/>
      <c r="W87" s="216"/>
      <c r="X87" s="37"/>
    </row>
    <row r="88" spans="1:77" s="8" customFormat="1" ht="29" customHeight="1" thickBot="1">
      <c r="A88" s="2"/>
      <c r="B88" s="29"/>
      <c r="C88" s="28" t="s">
        <v>41</v>
      </c>
      <c r="D88" s="27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5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1:77" ht="29" customHeight="1">
      <c r="B89" s="15"/>
      <c r="C89" s="194" t="s">
        <v>22</v>
      </c>
      <c r="D89" s="194"/>
      <c r="E89" s="45">
        <v>0</v>
      </c>
      <c r="F89" s="45">
        <f t="shared" ref="F89:X89" si="30">E92</f>
        <v>0</v>
      </c>
      <c r="G89" s="45">
        <f t="shared" si="30"/>
        <v>0</v>
      </c>
      <c r="H89" s="45">
        <f t="shared" si="30"/>
        <v>0</v>
      </c>
      <c r="I89" s="45">
        <f t="shared" si="30"/>
        <v>0</v>
      </c>
      <c r="J89" s="45">
        <f t="shared" si="30"/>
        <v>0</v>
      </c>
      <c r="K89" s="45">
        <f t="shared" si="30"/>
        <v>0</v>
      </c>
      <c r="L89" s="45">
        <f t="shared" si="30"/>
        <v>0</v>
      </c>
      <c r="M89" s="45">
        <f t="shared" si="30"/>
        <v>0</v>
      </c>
      <c r="N89" s="45">
        <f t="shared" si="30"/>
        <v>0</v>
      </c>
      <c r="O89" s="45">
        <f t="shared" si="30"/>
        <v>0</v>
      </c>
      <c r="P89" s="45">
        <f t="shared" si="30"/>
        <v>0</v>
      </c>
      <c r="Q89" s="45">
        <f t="shared" si="30"/>
        <v>0</v>
      </c>
      <c r="R89" s="45">
        <f t="shared" si="30"/>
        <v>0</v>
      </c>
      <c r="S89" s="45">
        <f t="shared" si="30"/>
        <v>0</v>
      </c>
      <c r="T89" s="45">
        <f t="shared" si="30"/>
        <v>0</v>
      </c>
      <c r="U89" s="45">
        <f t="shared" si="30"/>
        <v>0</v>
      </c>
      <c r="V89" s="45">
        <f t="shared" si="30"/>
        <v>0</v>
      </c>
      <c r="W89" s="45">
        <f t="shared" si="30"/>
        <v>0</v>
      </c>
      <c r="X89" s="44">
        <f t="shared" si="30"/>
        <v>0</v>
      </c>
    </row>
    <row r="90" spans="1:77" ht="29" customHeight="1">
      <c r="B90" s="15"/>
      <c r="C90" s="194" t="s">
        <v>23</v>
      </c>
      <c r="D90" s="194"/>
      <c r="E90" s="218">
        <v>0</v>
      </c>
      <c r="F90" s="218">
        <v>0</v>
      </c>
      <c r="G90" s="218">
        <v>0</v>
      </c>
      <c r="H90" s="218">
        <f>+E48/2</f>
        <v>0</v>
      </c>
      <c r="I90" s="218">
        <f>+E48/2</f>
        <v>0</v>
      </c>
      <c r="J90" s="218">
        <f>+E49/2</f>
        <v>0</v>
      </c>
      <c r="K90" s="218">
        <v>0</v>
      </c>
      <c r="L90" s="218">
        <v>0</v>
      </c>
      <c r="M90" s="218">
        <f t="shared" ref="M90:X90" si="31">SUM(M97:M99)</f>
        <v>0</v>
      </c>
      <c r="N90" s="218">
        <f t="shared" si="31"/>
        <v>0</v>
      </c>
      <c r="O90" s="218">
        <f t="shared" si="31"/>
        <v>0</v>
      </c>
      <c r="P90" s="218">
        <f t="shared" si="31"/>
        <v>0</v>
      </c>
      <c r="Q90" s="218">
        <f t="shared" si="31"/>
        <v>0</v>
      </c>
      <c r="R90" s="218">
        <f t="shared" si="31"/>
        <v>0</v>
      </c>
      <c r="S90" s="218">
        <f t="shared" si="31"/>
        <v>0</v>
      </c>
      <c r="T90" s="218">
        <f t="shared" si="31"/>
        <v>0</v>
      </c>
      <c r="U90" s="218">
        <f t="shared" si="31"/>
        <v>0</v>
      </c>
      <c r="V90" s="218">
        <f t="shared" si="31"/>
        <v>0</v>
      </c>
      <c r="W90" s="218">
        <f t="shared" si="31"/>
        <v>0</v>
      </c>
      <c r="X90" s="50">
        <f t="shared" si="31"/>
        <v>0</v>
      </c>
    </row>
    <row r="91" spans="1:77" ht="29" customHeight="1">
      <c r="B91" s="15"/>
      <c r="C91" s="194" t="s">
        <v>24</v>
      </c>
      <c r="D91" s="194"/>
      <c r="E91" s="218">
        <v>0</v>
      </c>
      <c r="F91" s="218">
        <v>0</v>
      </c>
      <c r="G91" s="218">
        <v>0</v>
      </c>
      <c r="H91" s="218">
        <v>0</v>
      </c>
      <c r="I91" s="200"/>
      <c r="J91" s="200"/>
      <c r="K91" s="200"/>
      <c r="L91" s="200">
        <f t="shared" ref="L91:X91" si="32">-L72*$D31</f>
        <v>0</v>
      </c>
      <c r="M91" s="200">
        <f t="shared" si="32"/>
        <v>0</v>
      </c>
      <c r="N91" s="200">
        <f t="shared" si="32"/>
        <v>0</v>
      </c>
      <c r="O91" s="200">
        <f t="shared" si="32"/>
        <v>0</v>
      </c>
      <c r="P91" s="200">
        <f t="shared" si="32"/>
        <v>0</v>
      </c>
      <c r="Q91" s="200">
        <f t="shared" si="32"/>
        <v>0</v>
      </c>
      <c r="R91" s="200">
        <f t="shared" si="32"/>
        <v>0</v>
      </c>
      <c r="S91" s="200">
        <f t="shared" si="32"/>
        <v>0</v>
      </c>
      <c r="T91" s="200">
        <f t="shared" si="32"/>
        <v>0</v>
      </c>
      <c r="U91" s="200">
        <f t="shared" si="32"/>
        <v>0</v>
      </c>
      <c r="V91" s="200">
        <f t="shared" si="32"/>
        <v>0</v>
      </c>
      <c r="W91" s="200">
        <f t="shared" si="32"/>
        <v>0</v>
      </c>
      <c r="X91" s="54">
        <f t="shared" si="32"/>
        <v>0</v>
      </c>
    </row>
    <row r="92" spans="1:77" s="51" customFormat="1" ht="29" customHeight="1">
      <c r="A92" s="2"/>
      <c r="B92" s="53"/>
      <c r="C92" s="52" t="s">
        <v>25</v>
      </c>
      <c r="D92" s="52"/>
      <c r="E92" s="48">
        <f t="shared" ref="E92:X92" si="33">SUM(E89:E91)</f>
        <v>0</v>
      </c>
      <c r="F92" s="48">
        <f t="shared" si="33"/>
        <v>0</v>
      </c>
      <c r="G92" s="48">
        <f t="shared" si="33"/>
        <v>0</v>
      </c>
      <c r="H92" s="48">
        <f t="shared" si="33"/>
        <v>0</v>
      </c>
      <c r="I92" s="48">
        <f t="shared" si="33"/>
        <v>0</v>
      </c>
      <c r="J92" s="48">
        <f t="shared" si="33"/>
        <v>0</v>
      </c>
      <c r="K92" s="48">
        <f t="shared" si="33"/>
        <v>0</v>
      </c>
      <c r="L92" s="48">
        <f t="shared" si="33"/>
        <v>0</v>
      </c>
      <c r="M92" s="48">
        <f t="shared" si="33"/>
        <v>0</v>
      </c>
      <c r="N92" s="48">
        <f t="shared" si="33"/>
        <v>0</v>
      </c>
      <c r="O92" s="48">
        <f t="shared" si="33"/>
        <v>0</v>
      </c>
      <c r="P92" s="48">
        <f t="shared" si="33"/>
        <v>0</v>
      </c>
      <c r="Q92" s="48">
        <f t="shared" si="33"/>
        <v>0</v>
      </c>
      <c r="R92" s="48">
        <f t="shared" si="33"/>
        <v>0</v>
      </c>
      <c r="S92" s="48">
        <f t="shared" si="33"/>
        <v>0</v>
      </c>
      <c r="T92" s="48">
        <f t="shared" si="33"/>
        <v>0</v>
      </c>
      <c r="U92" s="48">
        <f t="shared" si="33"/>
        <v>0</v>
      </c>
      <c r="V92" s="48">
        <f t="shared" si="33"/>
        <v>0</v>
      </c>
      <c r="W92" s="48">
        <f t="shared" si="33"/>
        <v>0</v>
      </c>
      <c r="X92" s="44">
        <f t="shared" si="33"/>
        <v>0</v>
      </c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1:77" ht="29" customHeight="1">
      <c r="B93" s="15"/>
      <c r="C93" s="194"/>
      <c r="D93" s="194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4"/>
    </row>
    <row r="94" spans="1:77" ht="29" customHeight="1">
      <c r="B94" s="15"/>
      <c r="C94" s="194"/>
      <c r="D94" s="194"/>
      <c r="E94" s="216"/>
      <c r="F94" s="216"/>
      <c r="G94" s="216"/>
      <c r="H94" s="216"/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37"/>
    </row>
    <row r="95" spans="1:77" s="8" customFormat="1" ht="29" customHeight="1" thickBot="1">
      <c r="A95" s="2"/>
      <c r="B95" s="29"/>
      <c r="C95" s="28" t="s">
        <v>30</v>
      </c>
      <c r="D95" s="27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5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1:77" ht="29" customHeight="1">
      <c r="B96" s="15"/>
      <c r="C96" s="194" t="s">
        <v>26</v>
      </c>
      <c r="D96" s="194"/>
      <c r="E96" s="218">
        <f>($D$43/100)*'[1]PCLP 1_250M'!E115</f>
        <v>9492470.0578916166</v>
      </c>
      <c r="F96" s="218">
        <f>($D$43/100)*'[1]PCLP 1_250M'!F115</f>
        <v>9513938.0097526405</v>
      </c>
      <c r="G96" s="218">
        <f>($D$43/100)*'[1]PCLP 1_250M'!G115</f>
        <v>9506782.2733219601</v>
      </c>
      <c r="H96" s="218">
        <f>($D$43/100)*'[1]PCLP 1_250M'!H115</f>
        <v>12647136.570276735</v>
      </c>
      <c r="I96" s="218">
        <f>($D$43/100)*'[1]PCLP 1_250M'!I115</f>
        <v>12668326.521991376</v>
      </c>
      <c r="J96" s="218">
        <f>($D$43/100)*'[1]PCLP 1_250M'!J115</f>
        <v>20585461.146117814</v>
      </c>
      <c r="K96" s="218">
        <f>($D$43/100)*'[1]PCLP 1_250M'!K115</f>
        <v>20630267.639789578</v>
      </c>
      <c r="L96" s="218">
        <f>($D$43/100)*'[1]PCLP 1_250M'!L115</f>
        <v>36095144.508799843</v>
      </c>
      <c r="M96" s="218">
        <f>($D$43/100)*'[1]PCLP 1_250M'!M115</f>
        <v>36350449.573224239</v>
      </c>
      <c r="N96" s="218">
        <f>($D$43/100)*'[1]PCLP 1_250M'!N115</f>
        <v>36607031.162970744</v>
      </c>
      <c r="O96" s="218">
        <f>($D$43/100)*'[1]PCLP 1_250M'!O115</f>
        <v>42987413.262266777</v>
      </c>
      <c r="P96" s="218">
        <f>($D$43/100)*'[1]PCLP 1_250M'!P115</f>
        <v>43246567.082452208</v>
      </c>
      <c r="Q96" s="218">
        <f>($D$43/100)*'[1]PCLP 1_250M'!Q115</f>
        <v>43507016.671741985</v>
      </c>
      <c r="R96" s="218">
        <f>($D$43/100)*'[1]PCLP 1_250M'!R115</f>
        <v>43768768.508983329</v>
      </c>
      <c r="S96" s="218">
        <f>($D$43/100)*'[1]PCLP 1_250M'!S115</f>
        <v>44031829.105417714</v>
      </c>
      <c r="T96" s="218">
        <f>($D$43/100)*'[1]PCLP 1_250M'!T115</f>
        <v>44296205.00484281</v>
      </c>
      <c r="U96" s="218">
        <f>($D$43/100)*'[1]PCLP 1_250M'!U115</f>
        <v>44561902.783775292</v>
      </c>
      <c r="V96" s="218">
        <f>($D$43/100)*'[1]PCLP 1_250M'!V115</f>
        <v>44828929.051614381</v>
      </c>
      <c r="W96" s="218">
        <f>($D$43/100)*'[1]PCLP 1_250M'!W115</f>
        <v>45097290.450806335</v>
      </c>
      <c r="X96" s="50">
        <f>($D$43/100)*'[1]PCLP 1_250M'!X115</f>
        <v>45366993.657009624</v>
      </c>
    </row>
    <row r="97" spans="1:77" ht="29" customHeight="1">
      <c r="B97" s="15"/>
      <c r="C97" s="194" t="str">
        <f>+C6</f>
        <v>Phase 1 - initial funding for capital assets</v>
      </c>
      <c r="D97" s="194"/>
      <c r="E97" s="218">
        <v>0</v>
      </c>
      <c r="F97" s="218">
        <v>0</v>
      </c>
      <c r="G97" s="218">
        <v>0</v>
      </c>
      <c r="H97" s="218">
        <v>0</v>
      </c>
      <c r="I97" s="218">
        <v>0</v>
      </c>
      <c r="J97" s="218">
        <v>0</v>
      </c>
      <c r="K97" s="218">
        <v>0</v>
      </c>
      <c r="L97" s="218">
        <v>0</v>
      </c>
      <c r="M97" s="218">
        <v>0</v>
      </c>
      <c r="N97" s="218">
        <v>0</v>
      </c>
      <c r="O97" s="218">
        <v>0</v>
      </c>
      <c r="P97" s="218">
        <v>0</v>
      </c>
      <c r="Q97" s="218">
        <v>0</v>
      </c>
      <c r="R97" s="218">
        <v>0</v>
      </c>
      <c r="S97" s="218">
        <v>0</v>
      </c>
      <c r="T97" s="218">
        <v>0</v>
      </c>
      <c r="U97" s="218">
        <v>0</v>
      </c>
      <c r="V97" s="218">
        <v>0</v>
      </c>
      <c r="W97" s="218">
        <v>0</v>
      </c>
      <c r="X97" s="50">
        <v>0</v>
      </c>
    </row>
    <row r="98" spans="1:77" ht="29" customHeight="1">
      <c r="B98" s="15"/>
      <c r="C98" s="194" t="str">
        <f>+C7</f>
        <v>Phase 2 - first financing</v>
      </c>
      <c r="D98" s="194"/>
      <c r="E98" s="218">
        <v>0</v>
      </c>
      <c r="F98" s="218">
        <v>0</v>
      </c>
      <c r="G98" s="218">
        <v>0</v>
      </c>
      <c r="H98" s="218">
        <f>($F$7*$E$7)/$D7</f>
        <v>0</v>
      </c>
      <c r="I98" s="218">
        <f>($F$7*$E$7)/$D7</f>
        <v>0</v>
      </c>
      <c r="J98" s="218">
        <v>0</v>
      </c>
      <c r="K98" s="218">
        <v>0</v>
      </c>
      <c r="L98" s="218">
        <v>0</v>
      </c>
      <c r="M98" s="218">
        <v>0</v>
      </c>
      <c r="N98" s="218">
        <v>0</v>
      </c>
      <c r="O98" s="218">
        <v>0</v>
      </c>
      <c r="P98" s="218">
        <v>0</v>
      </c>
      <c r="Q98" s="218">
        <v>0</v>
      </c>
      <c r="R98" s="218">
        <v>0</v>
      </c>
      <c r="S98" s="218">
        <v>0</v>
      </c>
      <c r="T98" s="218">
        <v>0</v>
      </c>
      <c r="U98" s="218">
        <v>0</v>
      </c>
      <c r="V98" s="218">
        <v>0</v>
      </c>
      <c r="W98" s="218">
        <v>0</v>
      </c>
      <c r="X98" s="50">
        <v>0</v>
      </c>
    </row>
    <row r="99" spans="1:77" ht="29" customHeight="1">
      <c r="B99" s="15"/>
      <c r="C99" s="194" t="str">
        <f>+C8</f>
        <v>Phase 3 - second financing</v>
      </c>
      <c r="D99" s="194"/>
      <c r="E99" s="218">
        <v>0</v>
      </c>
      <c r="F99" s="218">
        <v>0</v>
      </c>
      <c r="G99" s="218">
        <v>0</v>
      </c>
      <c r="H99" s="218">
        <v>0</v>
      </c>
      <c r="I99" s="218">
        <v>0</v>
      </c>
      <c r="J99" s="218">
        <f>($F8*$E8)/$D8</f>
        <v>0</v>
      </c>
      <c r="K99" s="218">
        <f>($F8*$E8)/$D8</f>
        <v>0</v>
      </c>
      <c r="L99" s="218">
        <v>0</v>
      </c>
      <c r="M99" s="218">
        <v>0</v>
      </c>
      <c r="N99" s="218">
        <v>0</v>
      </c>
      <c r="O99" s="218">
        <v>0</v>
      </c>
      <c r="P99" s="218">
        <v>0</v>
      </c>
      <c r="Q99" s="218">
        <v>0</v>
      </c>
      <c r="R99" s="218">
        <v>0</v>
      </c>
      <c r="S99" s="218">
        <v>0</v>
      </c>
      <c r="T99" s="218">
        <v>0</v>
      </c>
      <c r="U99" s="218">
        <v>0</v>
      </c>
      <c r="V99" s="218">
        <v>0</v>
      </c>
      <c r="W99" s="218">
        <v>0</v>
      </c>
      <c r="X99" s="50">
        <v>0</v>
      </c>
    </row>
    <row r="100" spans="1:77" ht="29" customHeight="1">
      <c r="B100" s="15"/>
      <c r="C100" s="49" t="s">
        <v>27</v>
      </c>
      <c r="D100" s="49"/>
      <c r="E100" s="48">
        <f t="shared" ref="E100:X100" si="34">SUM(E96:E99)</f>
        <v>9492470.0578916166</v>
      </c>
      <c r="F100" s="48">
        <f t="shared" si="34"/>
        <v>9513938.0097526405</v>
      </c>
      <c r="G100" s="48">
        <f t="shared" si="34"/>
        <v>9506782.2733219601</v>
      </c>
      <c r="H100" s="48">
        <f t="shared" si="34"/>
        <v>12647136.570276735</v>
      </c>
      <c r="I100" s="48">
        <f t="shared" si="34"/>
        <v>12668326.521991376</v>
      </c>
      <c r="J100" s="48">
        <f t="shared" si="34"/>
        <v>20585461.146117814</v>
      </c>
      <c r="K100" s="48">
        <f t="shared" si="34"/>
        <v>20630267.639789578</v>
      </c>
      <c r="L100" s="48">
        <f t="shared" si="34"/>
        <v>36095144.508799843</v>
      </c>
      <c r="M100" s="48">
        <f t="shared" si="34"/>
        <v>36350449.573224239</v>
      </c>
      <c r="N100" s="48">
        <f t="shared" si="34"/>
        <v>36607031.162970744</v>
      </c>
      <c r="O100" s="48">
        <f t="shared" si="34"/>
        <v>42987413.262266777</v>
      </c>
      <c r="P100" s="48">
        <f t="shared" si="34"/>
        <v>43246567.082452208</v>
      </c>
      <c r="Q100" s="48">
        <f t="shared" si="34"/>
        <v>43507016.671741985</v>
      </c>
      <c r="R100" s="48">
        <f t="shared" si="34"/>
        <v>43768768.508983329</v>
      </c>
      <c r="S100" s="48">
        <f t="shared" si="34"/>
        <v>44031829.105417714</v>
      </c>
      <c r="T100" s="48">
        <f t="shared" si="34"/>
        <v>44296205.00484281</v>
      </c>
      <c r="U100" s="48">
        <f t="shared" si="34"/>
        <v>44561902.783775292</v>
      </c>
      <c r="V100" s="48">
        <f t="shared" si="34"/>
        <v>44828929.051614381</v>
      </c>
      <c r="W100" s="48">
        <f t="shared" si="34"/>
        <v>45097290.450806335</v>
      </c>
      <c r="X100" s="47">
        <f t="shared" si="34"/>
        <v>45366993.657009624</v>
      </c>
    </row>
    <row r="101" spans="1:77" ht="29" customHeight="1">
      <c r="B101" s="15"/>
      <c r="C101" s="43"/>
      <c r="D101" s="43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4"/>
    </row>
    <row r="102" spans="1:77" ht="29" customHeight="1">
      <c r="B102" s="15"/>
      <c r="C102" s="194" t="s">
        <v>37</v>
      </c>
      <c r="D102" s="194"/>
      <c r="E102" s="217">
        <v>0</v>
      </c>
      <c r="F102" s="217">
        <v>0</v>
      </c>
      <c r="G102" s="217">
        <v>0</v>
      </c>
      <c r="H102" s="217">
        <v>0</v>
      </c>
      <c r="I102" s="217">
        <v>0</v>
      </c>
      <c r="J102" s="217">
        <v>0</v>
      </c>
      <c r="K102" s="217">
        <v>0</v>
      </c>
      <c r="L102" s="217">
        <v>0</v>
      </c>
      <c r="M102" s="217">
        <v>0</v>
      </c>
      <c r="N102" s="217">
        <v>0</v>
      </c>
      <c r="O102" s="217">
        <v>0</v>
      </c>
      <c r="P102" s="217">
        <v>0</v>
      </c>
      <c r="Q102" s="217">
        <v>0</v>
      </c>
      <c r="R102" s="217">
        <v>0</v>
      </c>
      <c r="S102" s="217">
        <v>0</v>
      </c>
      <c r="T102" s="217">
        <v>0</v>
      </c>
      <c r="U102" s="217">
        <v>0</v>
      </c>
      <c r="V102" s="217">
        <v>0</v>
      </c>
      <c r="W102" s="217">
        <v>0</v>
      </c>
      <c r="X102" s="46">
        <v>0</v>
      </c>
    </row>
    <row r="103" spans="1:77" ht="29" customHeight="1">
      <c r="B103" s="15"/>
      <c r="C103" s="43"/>
      <c r="D103" s="43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4"/>
    </row>
    <row r="104" spans="1:77" ht="29" customHeight="1">
      <c r="B104" s="15"/>
      <c r="C104" s="43" t="s">
        <v>81</v>
      </c>
      <c r="D104" s="43"/>
      <c r="E104" s="45">
        <v>0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v>0</v>
      </c>
      <c r="O104" s="45">
        <v>0</v>
      </c>
      <c r="P104" s="45">
        <v>0</v>
      </c>
      <c r="Q104" s="45">
        <v>0</v>
      </c>
      <c r="R104" s="45">
        <v>0</v>
      </c>
      <c r="S104" s="45">
        <v>0</v>
      </c>
      <c r="T104" s="45">
        <v>0</v>
      </c>
      <c r="U104" s="45">
        <v>0</v>
      </c>
      <c r="V104" s="45">
        <v>0</v>
      </c>
      <c r="W104" s="45">
        <v>0</v>
      </c>
      <c r="X104" s="44">
        <v>0</v>
      </c>
    </row>
    <row r="105" spans="1:77" ht="29" customHeight="1">
      <c r="B105" s="15"/>
      <c r="C105" s="43" t="s">
        <v>80</v>
      </c>
      <c r="D105" s="43"/>
      <c r="E105" s="45">
        <f t="shared" ref="E105:X105" si="35">E104*(1-$D$25)</f>
        <v>0</v>
      </c>
      <c r="F105" s="45">
        <f t="shared" si="35"/>
        <v>0</v>
      </c>
      <c r="G105" s="45">
        <f t="shared" si="35"/>
        <v>0</v>
      </c>
      <c r="H105" s="45">
        <f t="shared" si="35"/>
        <v>0</v>
      </c>
      <c r="I105" s="45">
        <f t="shared" si="35"/>
        <v>0</v>
      </c>
      <c r="J105" s="45">
        <f t="shared" si="35"/>
        <v>0</v>
      </c>
      <c r="K105" s="45">
        <f t="shared" si="35"/>
        <v>0</v>
      </c>
      <c r="L105" s="45">
        <f t="shared" si="35"/>
        <v>0</v>
      </c>
      <c r="M105" s="45">
        <f t="shared" si="35"/>
        <v>0</v>
      </c>
      <c r="N105" s="45">
        <f t="shared" si="35"/>
        <v>0</v>
      </c>
      <c r="O105" s="45">
        <f t="shared" si="35"/>
        <v>0</v>
      </c>
      <c r="P105" s="45">
        <f t="shared" si="35"/>
        <v>0</v>
      </c>
      <c r="Q105" s="45">
        <f t="shared" si="35"/>
        <v>0</v>
      </c>
      <c r="R105" s="45">
        <f t="shared" si="35"/>
        <v>0</v>
      </c>
      <c r="S105" s="45">
        <f t="shared" si="35"/>
        <v>0</v>
      </c>
      <c r="T105" s="45">
        <f t="shared" si="35"/>
        <v>0</v>
      </c>
      <c r="U105" s="45">
        <f t="shared" si="35"/>
        <v>0</v>
      </c>
      <c r="V105" s="45">
        <f t="shared" si="35"/>
        <v>0</v>
      </c>
      <c r="W105" s="45">
        <f t="shared" si="35"/>
        <v>0</v>
      </c>
      <c r="X105" s="44">
        <f t="shared" si="35"/>
        <v>0</v>
      </c>
    </row>
    <row r="106" spans="1:77" ht="29" customHeight="1">
      <c r="B106" s="15"/>
      <c r="C106" s="43" t="s">
        <v>79</v>
      </c>
      <c r="D106" s="194"/>
      <c r="E106" s="42">
        <f t="shared" ref="E106:X106" si="36">E92/E100</f>
        <v>0</v>
      </c>
      <c r="F106" s="42">
        <f t="shared" si="36"/>
        <v>0</v>
      </c>
      <c r="G106" s="42">
        <f t="shared" si="36"/>
        <v>0</v>
      </c>
      <c r="H106" s="42">
        <f t="shared" si="36"/>
        <v>0</v>
      </c>
      <c r="I106" s="42">
        <f t="shared" si="36"/>
        <v>0</v>
      </c>
      <c r="J106" s="42">
        <f t="shared" si="36"/>
        <v>0</v>
      </c>
      <c r="K106" s="42">
        <f t="shared" si="36"/>
        <v>0</v>
      </c>
      <c r="L106" s="42">
        <f t="shared" si="36"/>
        <v>0</v>
      </c>
      <c r="M106" s="42">
        <f t="shared" si="36"/>
        <v>0</v>
      </c>
      <c r="N106" s="42">
        <f t="shared" si="36"/>
        <v>0</v>
      </c>
      <c r="O106" s="42">
        <f t="shared" si="36"/>
        <v>0</v>
      </c>
      <c r="P106" s="42">
        <f t="shared" si="36"/>
        <v>0</v>
      </c>
      <c r="Q106" s="42">
        <f t="shared" si="36"/>
        <v>0</v>
      </c>
      <c r="R106" s="42">
        <f t="shared" si="36"/>
        <v>0</v>
      </c>
      <c r="S106" s="42">
        <f t="shared" si="36"/>
        <v>0</v>
      </c>
      <c r="T106" s="42">
        <f t="shared" si="36"/>
        <v>0</v>
      </c>
      <c r="U106" s="42">
        <f t="shared" si="36"/>
        <v>0</v>
      </c>
      <c r="V106" s="42">
        <f t="shared" si="36"/>
        <v>0</v>
      </c>
      <c r="W106" s="42">
        <f t="shared" si="36"/>
        <v>0</v>
      </c>
      <c r="X106" s="219">
        <f t="shared" si="36"/>
        <v>0</v>
      </c>
    </row>
    <row r="107" spans="1:77" ht="29" customHeight="1">
      <c r="B107" s="15"/>
      <c r="C107" s="194"/>
      <c r="D107" s="194"/>
      <c r="E107" s="216"/>
      <c r="F107" s="216"/>
      <c r="G107" s="216"/>
      <c r="H107" s="216"/>
      <c r="I107" s="216"/>
      <c r="J107" s="216"/>
      <c r="K107" s="216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6"/>
      <c r="W107" s="216"/>
      <c r="X107" s="37"/>
    </row>
    <row r="108" spans="1:77" s="8" customFormat="1" ht="29" customHeight="1" thickBot="1">
      <c r="A108" s="2"/>
      <c r="B108" s="29"/>
      <c r="C108" s="28" t="s">
        <v>15</v>
      </c>
      <c r="D108" s="27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5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</row>
    <row r="109" spans="1:77" ht="29" customHeight="1">
      <c r="B109" s="15"/>
      <c r="C109" s="201" t="s">
        <v>78</v>
      </c>
      <c r="D109" s="194"/>
      <c r="E109" s="220">
        <f t="shared" ref="E109:X109" si="37">E100+E86</f>
        <v>9830000</v>
      </c>
      <c r="F109" s="220">
        <f t="shared" si="37"/>
        <v>9688218.5507031921</v>
      </c>
      <c r="G109" s="220">
        <f t="shared" si="37"/>
        <v>9514548.4250915218</v>
      </c>
      <c r="H109" s="220">
        <f t="shared" si="37"/>
        <v>12651599.624070633</v>
      </c>
      <c r="I109" s="220">
        <f t="shared" si="37"/>
        <v>12674869.458436038</v>
      </c>
      <c r="J109" s="220">
        <f t="shared" si="37"/>
        <v>20602045.406599142</v>
      </c>
      <c r="K109" s="220">
        <f t="shared" si="37"/>
        <v>20670210.91309645</v>
      </c>
      <c r="L109" s="220">
        <f t="shared" si="37"/>
        <v>36135087.782106712</v>
      </c>
      <c r="M109" s="220">
        <f t="shared" si="37"/>
        <v>36390392.846531108</v>
      </c>
      <c r="N109" s="220">
        <f t="shared" si="37"/>
        <v>36646974.436277613</v>
      </c>
      <c r="O109" s="220">
        <f t="shared" si="37"/>
        <v>43027357.535573646</v>
      </c>
      <c r="P109" s="220">
        <f t="shared" si="37"/>
        <v>43286513.355759077</v>
      </c>
      <c r="Q109" s="220">
        <f t="shared" si="37"/>
        <v>43546965.945048854</v>
      </c>
      <c r="R109" s="220">
        <f t="shared" si="37"/>
        <v>43808721.782290198</v>
      </c>
      <c r="S109" s="220">
        <f t="shared" si="37"/>
        <v>44071787.378724582</v>
      </c>
      <c r="T109" s="220">
        <f t="shared" si="37"/>
        <v>44336169.278149679</v>
      </c>
      <c r="U109" s="220">
        <f t="shared" si="37"/>
        <v>44601874.057082161</v>
      </c>
      <c r="V109" s="220">
        <f t="shared" si="37"/>
        <v>44868908.32492125</v>
      </c>
      <c r="W109" s="220">
        <f t="shared" si="37"/>
        <v>45137278.724113204</v>
      </c>
      <c r="X109" s="40">
        <f t="shared" si="37"/>
        <v>45406991.930316493</v>
      </c>
    </row>
    <row r="110" spans="1:77" ht="29" customHeight="1">
      <c r="B110" s="15"/>
      <c r="C110" s="203" t="s">
        <v>56</v>
      </c>
      <c r="D110" s="194"/>
      <c r="E110" s="221">
        <f t="shared" ref="E110:K110" si="38">+E109/$D$45</f>
        <v>88.470884708847095</v>
      </c>
      <c r="F110" s="221">
        <f t="shared" si="38"/>
        <v>87.19483890471777</v>
      </c>
      <c r="G110" s="221">
        <f t="shared" si="38"/>
        <v>85.63179214374513</v>
      </c>
      <c r="H110" s="221">
        <f t="shared" si="38"/>
        <v>113.86553527198842</v>
      </c>
      <c r="I110" s="221">
        <f t="shared" si="38"/>
        <v>114.0749658755831</v>
      </c>
      <c r="J110" s="221">
        <f t="shared" si="38"/>
        <v>185.42026286202091</v>
      </c>
      <c r="K110" s="221">
        <f t="shared" si="38"/>
        <v>186.0337585554536</v>
      </c>
      <c r="L110" s="221">
        <f t="shared" ref="L110:X110" si="39">L109/$D$45</f>
        <v>325.21904222938269</v>
      </c>
      <c r="M110" s="221">
        <f t="shared" si="39"/>
        <v>327.51681078688785</v>
      </c>
      <c r="N110" s="221">
        <f t="shared" si="39"/>
        <v>329.8260681871804</v>
      </c>
      <c r="O110" s="221">
        <f t="shared" si="39"/>
        <v>387.25009032106601</v>
      </c>
      <c r="P110" s="221">
        <f t="shared" si="39"/>
        <v>389.58251602699198</v>
      </c>
      <c r="Q110" s="221">
        <f t="shared" si="39"/>
        <v>391.92661277156742</v>
      </c>
      <c r="R110" s="221">
        <f t="shared" si="39"/>
        <v>394.28243886500042</v>
      </c>
      <c r="S110" s="221">
        <f t="shared" si="39"/>
        <v>396.65005290905032</v>
      </c>
      <c r="T110" s="221">
        <f t="shared" si="39"/>
        <v>399.02951379848508</v>
      </c>
      <c r="U110" s="221">
        <f t="shared" si="39"/>
        <v>401.42088072254666</v>
      </c>
      <c r="V110" s="221">
        <f t="shared" si="39"/>
        <v>403.82421316642291</v>
      </c>
      <c r="W110" s="221">
        <f t="shared" si="39"/>
        <v>406.23957091272797</v>
      </c>
      <c r="X110" s="39">
        <f t="shared" si="39"/>
        <v>408.66701404298885</v>
      </c>
    </row>
    <row r="111" spans="1:77" ht="29" customHeight="1">
      <c r="B111" s="15"/>
      <c r="C111" s="203"/>
      <c r="D111" s="194"/>
      <c r="E111" s="221"/>
      <c r="F111" s="221"/>
      <c r="G111" s="221"/>
      <c r="H111" s="221"/>
      <c r="I111" s="221"/>
      <c r="J111" s="221"/>
      <c r="K111" s="221"/>
      <c r="L111" s="221"/>
      <c r="M111" s="221"/>
      <c r="N111" s="221"/>
      <c r="O111" s="221"/>
      <c r="P111" s="221"/>
      <c r="Q111" s="221"/>
      <c r="R111" s="221"/>
      <c r="S111" s="221"/>
      <c r="T111" s="221"/>
      <c r="U111" s="221"/>
      <c r="V111" s="221"/>
      <c r="W111" s="221"/>
      <c r="X111" s="39"/>
    </row>
    <row r="112" spans="1:77" ht="29" customHeight="1" thickBot="1">
      <c r="B112" s="29"/>
      <c r="C112" s="28" t="s">
        <v>70</v>
      </c>
      <c r="D112" s="27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5"/>
    </row>
    <row r="113" spans="1:77" ht="29" customHeight="1">
      <c r="B113" s="15"/>
      <c r="C113" s="222"/>
      <c r="D113" s="194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6"/>
      <c r="Q113" s="216"/>
      <c r="R113" s="216"/>
      <c r="S113" s="216"/>
      <c r="T113" s="216"/>
      <c r="U113" s="216"/>
      <c r="V113" s="216"/>
      <c r="W113" s="216"/>
      <c r="X113" s="37"/>
    </row>
    <row r="114" spans="1:77" ht="29" customHeight="1">
      <c r="B114" s="15"/>
      <c r="C114" s="201" t="s">
        <v>78</v>
      </c>
      <c r="D114" s="193"/>
      <c r="E114" s="223">
        <f t="shared" ref="E114:X114" si="40">E109-E92</f>
        <v>9830000</v>
      </c>
      <c r="F114" s="223">
        <f t="shared" si="40"/>
        <v>9688218.5507031921</v>
      </c>
      <c r="G114" s="223">
        <f t="shared" si="40"/>
        <v>9514548.4250915218</v>
      </c>
      <c r="H114" s="223">
        <f t="shared" si="40"/>
        <v>12651599.624070633</v>
      </c>
      <c r="I114" s="223">
        <f t="shared" si="40"/>
        <v>12674869.458436038</v>
      </c>
      <c r="J114" s="223">
        <f t="shared" si="40"/>
        <v>20602045.406599142</v>
      </c>
      <c r="K114" s="223">
        <f t="shared" si="40"/>
        <v>20670210.91309645</v>
      </c>
      <c r="L114" s="223">
        <f t="shared" si="40"/>
        <v>36135087.782106712</v>
      </c>
      <c r="M114" s="223">
        <f t="shared" si="40"/>
        <v>36390392.846531108</v>
      </c>
      <c r="N114" s="223">
        <f t="shared" si="40"/>
        <v>36646974.436277613</v>
      </c>
      <c r="O114" s="223">
        <f t="shared" si="40"/>
        <v>43027357.535573646</v>
      </c>
      <c r="P114" s="223">
        <f t="shared" si="40"/>
        <v>43286513.355759077</v>
      </c>
      <c r="Q114" s="223">
        <f t="shared" si="40"/>
        <v>43546965.945048854</v>
      </c>
      <c r="R114" s="223">
        <f t="shared" si="40"/>
        <v>43808721.782290198</v>
      </c>
      <c r="S114" s="223">
        <f t="shared" si="40"/>
        <v>44071787.378724582</v>
      </c>
      <c r="T114" s="223">
        <f t="shared" si="40"/>
        <v>44336169.278149679</v>
      </c>
      <c r="U114" s="223">
        <f t="shared" si="40"/>
        <v>44601874.057082161</v>
      </c>
      <c r="V114" s="223">
        <f t="shared" si="40"/>
        <v>44868908.32492125</v>
      </c>
      <c r="W114" s="223">
        <f t="shared" si="40"/>
        <v>45137278.724113204</v>
      </c>
      <c r="X114" s="36">
        <f t="shared" si="40"/>
        <v>45406991.930316493</v>
      </c>
    </row>
    <row r="115" spans="1:77" ht="29" customHeight="1">
      <c r="B115" s="15"/>
      <c r="C115" s="203" t="s">
        <v>56</v>
      </c>
      <c r="D115" s="193"/>
      <c r="E115" s="224">
        <f t="shared" ref="E115:X115" si="41">E114/$D45</f>
        <v>88.470884708847095</v>
      </c>
      <c r="F115" s="224">
        <f t="shared" si="41"/>
        <v>87.19483890471777</v>
      </c>
      <c r="G115" s="224">
        <f t="shared" si="41"/>
        <v>85.63179214374513</v>
      </c>
      <c r="H115" s="224">
        <f t="shared" si="41"/>
        <v>113.86553527198842</v>
      </c>
      <c r="I115" s="224">
        <f t="shared" si="41"/>
        <v>114.0749658755831</v>
      </c>
      <c r="J115" s="224">
        <f t="shared" si="41"/>
        <v>185.42026286202091</v>
      </c>
      <c r="K115" s="224">
        <f t="shared" si="41"/>
        <v>186.0337585554536</v>
      </c>
      <c r="L115" s="224">
        <f t="shared" si="41"/>
        <v>325.21904222938269</v>
      </c>
      <c r="M115" s="224">
        <f t="shared" si="41"/>
        <v>327.51681078688785</v>
      </c>
      <c r="N115" s="224">
        <f t="shared" si="41"/>
        <v>329.8260681871804</v>
      </c>
      <c r="O115" s="224">
        <f t="shared" si="41"/>
        <v>387.25009032106601</v>
      </c>
      <c r="P115" s="224">
        <f t="shared" si="41"/>
        <v>389.58251602699198</v>
      </c>
      <c r="Q115" s="224">
        <f t="shared" si="41"/>
        <v>391.92661277156742</v>
      </c>
      <c r="R115" s="224">
        <f t="shared" si="41"/>
        <v>394.28243886500042</v>
      </c>
      <c r="S115" s="224">
        <f t="shared" si="41"/>
        <v>396.65005290905032</v>
      </c>
      <c r="T115" s="224">
        <f t="shared" si="41"/>
        <v>399.02951379848508</v>
      </c>
      <c r="U115" s="224">
        <f t="shared" si="41"/>
        <v>401.42088072254666</v>
      </c>
      <c r="V115" s="224">
        <f t="shared" si="41"/>
        <v>403.82421316642291</v>
      </c>
      <c r="W115" s="224">
        <f t="shared" si="41"/>
        <v>406.23957091272797</v>
      </c>
      <c r="X115" s="35">
        <f t="shared" si="41"/>
        <v>408.66701404298885</v>
      </c>
    </row>
    <row r="116" spans="1:77" ht="29" customHeight="1">
      <c r="B116" s="15"/>
      <c r="C116" s="203" t="s">
        <v>71</v>
      </c>
      <c r="D116" s="193"/>
      <c r="E116" s="225">
        <f t="shared" ref="E116:X116" si="42">E122/E115</f>
        <v>0</v>
      </c>
      <c r="F116" s="225">
        <f t="shared" si="42"/>
        <v>0</v>
      </c>
      <c r="G116" s="225">
        <f t="shared" si="42"/>
        <v>0</v>
      </c>
      <c r="H116" s="225">
        <f t="shared" si="42"/>
        <v>-2.3497330507053289E-3</v>
      </c>
      <c r="I116" s="225">
        <f t="shared" si="42"/>
        <v>1.4768549623537667E-3</v>
      </c>
      <c r="J116" s="225">
        <f t="shared" si="42"/>
        <v>4.386550682051937E-3</v>
      </c>
      <c r="K116" s="225">
        <f t="shared" si="42"/>
        <v>1.0170729089982357E-2</v>
      </c>
      <c r="L116" s="225">
        <f t="shared" si="42"/>
        <v>5.8588839966376101E-2</v>
      </c>
      <c r="M116" s="225">
        <f t="shared" si="42"/>
        <v>5.8491933688716906E-2</v>
      </c>
      <c r="N116" s="225">
        <f t="shared" si="42"/>
        <v>5.8395903239048558E-2</v>
      </c>
      <c r="O116" s="225">
        <f t="shared" si="42"/>
        <v>5.0004914732318599E-2</v>
      </c>
      <c r="P116" s="225">
        <f t="shared" si="42"/>
        <v>4.9973608392906148E-2</v>
      </c>
      <c r="Q116" s="225">
        <f t="shared" si="42"/>
        <v>4.99425202623415E-2</v>
      </c>
      <c r="R116" s="225">
        <f t="shared" si="42"/>
        <v>4.9911648449925433E-2</v>
      </c>
      <c r="S116" s="225">
        <f t="shared" si="42"/>
        <v>4.9880991085849494E-2</v>
      </c>
      <c r="T116" s="225">
        <f t="shared" si="42"/>
        <v>4.9850546320908289E-2</v>
      </c>
      <c r="U116" s="225">
        <f t="shared" si="42"/>
        <v>4.9820312326216441E-2</v>
      </c>
      <c r="V116" s="225">
        <f t="shared" si="42"/>
        <v>4.9790287292930314E-2</v>
      </c>
      <c r="W116" s="225">
        <f t="shared" si="42"/>
        <v>4.9760469431974139E-2</v>
      </c>
      <c r="X116" s="33">
        <f t="shared" si="42"/>
        <v>4.9730856973770776E-2</v>
      </c>
    </row>
    <row r="117" spans="1:77" ht="29" customHeight="1">
      <c r="B117" s="15"/>
      <c r="C117" s="201" t="s">
        <v>77</v>
      </c>
      <c r="D117" s="193"/>
      <c r="E117" s="31">
        <f t="shared" ref="E117:X117" si="43">SUM(E63:E65)/E114</f>
        <v>1.7293997965412006E-2</v>
      </c>
      <c r="F117" s="31">
        <f t="shared" si="43"/>
        <v>1.7547085577220078E-2</v>
      </c>
      <c r="G117" s="31">
        <f t="shared" si="43"/>
        <v>1.7867374509512229E-2</v>
      </c>
      <c r="H117" s="31">
        <f t="shared" si="43"/>
        <v>1.3437036031124637E-2</v>
      </c>
      <c r="I117" s="31">
        <f t="shared" si="43"/>
        <v>1.3412366932651347E-2</v>
      </c>
      <c r="J117" s="31">
        <f t="shared" si="43"/>
        <v>8.2516078692626543E-3</v>
      </c>
      <c r="K117" s="31">
        <f t="shared" si="43"/>
        <v>8.2243960022821833E-3</v>
      </c>
      <c r="L117" s="31">
        <f t="shared" si="43"/>
        <v>4.7045686183217247E-3</v>
      </c>
      <c r="M117" s="31">
        <f t="shared" si="43"/>
        <v>4.6715626488820702E-3</v>
      </c>
      <c r="N117" s="31">
        <f t="shared" si="43"/>
        <v>4.6388549836658115E-3</v>
      </c>
      <c r="O117" s="31">
        <f t="shared" si="43"/>
        <v>3.950974676040689E-3</v>
      </c>
      <c r="P117" s="31">
        <f t="shared" si="43"/>
        <v>3.9273202395124825E-3</v>
      </c>
      <c r="Q117" s="31">
        <f t="shared" si="43"/>
        <v>3.9038311007595799E-3</v>
      </c>
      <c r="R117" s="31">
        <f t="shared" si="43"/>
        <v>3.880505823585179E-3</v>
      </c>
      <c r="S117" s="31">
        <f t="shared" si="43"/>
        <v>3.8573429876834673E-3</v>
      </c>
      <c r="T117" s="31">
        <f t="shared" si="43"/>
        <v>3.8343411884206599E-3</v>
      </c>
      <c r="U117" s="31">
        <f t="shared" si="43"/>
        <v>3.8114990366196586E-3</v>
      </c>
      <c r="V117" s="31">
        <f t="shared" si="43"/>
        <v>3.7888151583482586E-3</v>
      </c>
      <c r="W117" s="31">
        <f t="shared" si="43"/>
        <v>3.766288194710833E-3</v>
      </c>
      <c r="X117" s="30">
        <f t="shared" si="43"/>
        <v>3.7439168016434399E-3</v>
      </c>
    </row>
    <row r="118" spans="1:77" ht="29" customHeight="1">
      <c r="B118" s="15"/>
      <c r="C118" s="201"/>
      <c r="D118" s="193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0"/>
    </row>
    <row r="119" spans="1:77" s="8" customFormat="1" ht="29" customHeight="1" thickBot="1">
      <c r="A119" s="2"/>
      <c r="B119" s="29"/>
      <c r="C119" s="28" t="s">
        <v>31</v>
      </c>
      <c r="D119" s="27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5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</row>
    <row r="120" spans="1:77" ht="29" customHeight="1">
      <c r="B120" s="15"/>
      <c r="C120" s="202" t="s">
        <v>57</v>
      </c>
      <c r="D120" s="194"/>
      <c r="E120" s="23">
        <v>0</v>
      </c>
      <c r="F120" s="23">
        <v>0</v>
      </c>
      <c r="G120" s="23">
        <v>0</v>
      </c>
      <c r="H120" s="200">
        <f>+H72*0.9+H91</f>
        <v>-29727.881780969885</v>
      </c>
      <c r="I120" s="200">
        <f>+I72*0.9+I91</f>
        <v>18718.943856877464</v>
      </c>
      <c r="J120" s="200">
        <f>+J72*0.9+J91</f>
        <v>90371.916329982458</v>
      </c>
      <c r="K120" s="200">
        <f>+K72*0.9+K91</f>
        <v>210231.11542990082</v>
      </c>
      <c r="L120" s="200">
        <f>+L72+L91+L90</f>
        <v>2117112.8752368023</v>
      </c>
      <c r="M120" s="200">
        <f t="shared" ref="M120:X120" si="44">+M72+M91</f>
        <v>2128544.4452856556</v>
      </c>
      <c r="N120" s="200">
        <f t="shared" si="44"/>
        <v>2140033.1731847534</v>
      </c>
      <c r="O120" s="200">
        <f t="shared" si="44"/>
        <v>2151579.3447233462</v>
      </c>
      <c r="P120" s="200">
        <f t="shared" si="44"/>
        <v>2163183.2671350059</v>
      </c>
      <c r="Q120" s="200">
        <f t="shared" si="44"/>
        <v>2174845.2290740977</v>
      </c>
      <c r="R120" s="200">
        <f t="shared" si="44"/>
        <v>2186565.5206382591</v>
      </c>
      <c r="S120" s="200">
        <f t="shared" si="44"/>
        <v>2198344.4333756152</v>
      </c>
      <c r="T120" s="200">
        <f t="shared" si="44"/>
        <v>2210182.2602920318</v>
      </c>
      <c r="U120" s="200">
        <f t="shared" si="44"/>
        <v>2222079.2958584037</v>
      </c>
      <c r="V120" s="200">
        <f t="shared" si="44"/>
        <v>2234035.8360179816</v>
      </c>
      <c r="W120" s="200">
        <f t="shared" si="44"/>
        <v>2246052.1781937317</v>
      </c>
      <c r="X120" s="22">
        <f t="shared" si="44"/>
        <v>2258128.6212957334</v>
      </c>
    </row>
    <row r="121" spans="1:77" ht="29" customHeight="1">
      <c r="B121" s="15"/>
      <c r="C121" s="202"/>
      <c r="D121" s="194"/>
      <c r="E121" s="23"/>
      <c r="F121" s="23"/>
      <c r="G121" s="23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2"/>
    </row>
    <row r="122" spans="1:77" ht="29" customHeight="1">
      <c r="B122" s="15"/>
      <c r="C122" s="203" t="s">
        <v>12</v>
      </c>
      <c r="D122" s="194"/>
      <c r="E122" s="21">
        <v>0</v>
      </c>
      <c r="F122" s="21">
        <v>0</v>
      </c>
      <c r="G122" s="21">
        <v>0</v>
      </c>
      <c r="H122" s="226">
        <f t="shared" ref="H122:X122" si="45">H120/$D45</f>
        <v>-0.26755361156484458</v>
      </c>
      <c r="I122" s="226">
        <f t="shared" si="45"/>
        <v>0.1684721794336915</v>
      </c>
      <c r="J122" s="226">
        <f t="shared" si="45"/>
        <v>0.81335538052364731</v>
      </c>
      <c r="K122" s="226">
        <f t="shared" si="45"/>
        <v>1.8920989598587059</v>
      </c>
      <c r="L122" s="226">
        <f t="shared" si="45"/>
        <v>19.054206419195413</v>
      </c>
      <c r="M122" s="226">
        <f t="shared" si="45"/>
        <v>19.157091578486686</v>
      </c>
      <c r="N122" s="226">
        <f t="shared" si="45"/>
        <v>19.260491163574418</v>
      </c>
      <c r="O122" s="226">
        <f t="shared" si="45"/>
        <v>19.364407746587581</v>
      </c>
      <c r="P122" s="226">
        <f t="shared" si="45"/>
        <v>19.468844092655981</v>
      </c>
      <c r="Q122" s="226">
        <f t="shared" si="45"/>
        <v>19.573802799694878</v>
      </c>
      <c r="R122" s="226">
        <f t="shared" si="45"/>
        <v>19.679286478609118</v>
      </c>
      <c r="S122" s="226">
        <f t="shared" si="45"/>
        <v>19.785297753358069</v>
      </c>
      <c r="T122" s="226">
        <f t="shared" si="45"/>
        <v>19.891839261020895</v>
      </c>
      <c r="U122" s="226">
        <f t="shared" si="45"/>
        <v>19.99891365186215</v>
      </c>
      <c r="V122" s="226">
        <f t="shared" si="45"/>
        <v>20.106523589397728</v>
      </c>
      <c r="W122" s="226">
        <f t="shared" si="45"/>
        <v>20.21467175046109</v>
      </c>
      <c r="X122" s="20">
        <f t="shared" si="45"/>
        <v>20.323360825269852</v>
      </c>
    </row>
    <row r="123" spans="1:77" ht="29" customHeight="1">
      <c r="B123" s="15"/>
      <c r="C123" s="203" t="s">
        <v>38</v>
      </c>
      <c r="D123" s="194"/>
      <c r="E123" s="227">
        <f t="shared" ref="E123:X123" si="46">E122/$D16</f>
        <v>0</v>
      </c>
      <c r="F123" s="227">
        <f t="shared" si="46"/>
        <v>0</v>
      </c>
      <c r="G123" s="227">
        <f t="shared" si="46"/>
        <v>0</v>
      </c>
      <c r="H123" s="227">
        <f t="shared" si="46"/>
        <v>-2.6755361156484457E-3</v>
      </c>
      <c r="I123" s="227">
        <f t="shared" si="46"/>
        <v>1.684721794336915E-3</v>
      </c>
      <c r="J123" s="227">
        <f t="shared" si="46"/>
        <v>8.1335538052364729E-3</v>
      </c>
      <c r="K123" s="227">
        <f t="shared" si="46"/>
        <v>1.8920989598587058E-2</v>
      </c>
      <c r="L123" s="227">
        <f t="shared" si="46"/>
        <v>0.19054206419195413</v>
      </c>
      <c r="M123" s="227">
        <f t="shared" si="46"/>
        <v>0.19157091578486685</v>
      </c>
      <c r="N123" s="227">
        <f t="shared" si="46"/>
        <v>0.19260491163574417</v>
      </c>
      <c r="O123" s="227">
        <f t="shared" si="46"/>
        <v>0.19364407746587581</v>
      </c>
      <c r="P123" s="227">
        <f t="shared" si="46"/>
        <v>0.19468844092655982</v>
      </c>
      <c r="Q123" s="227">
        <f t="shared" si="46"/>
        <v>0.19573802799694878</v>
      </c>
      <c r="R123" s="227">
        <f t="shared" si="46"/>
        <v>0.19679286478609118</v>
      </c>
      <c r="S123" s="227">
        <f t="shared" si="46"/>
        <v>0.19785297753358069</v>
      </c>
      <c r="T123" s="227">
        <f t="shared" si="46"/>
        <v>0.19891839261020894</v>
      </c>
      <c r="U123" s="227">
        <f t="shared" si="46"/>
        <v>0.19998913651862149</v>
      </c>
      <c r="V123" s="227">
        <f t="shared" si="46"/>
        <v>0.20106523589397729</v>
      </c>
      <c r="W123" s="227">
        <f t="shared" si="46"/>
        <v>0.20214671750461088</v>
      </c>
      <c r="X123" s="16">
        <f t="shared" si="46"/>
        <v>0.20323360825269851</v>
      </c>
    </row>
    <row r="124" spans="1:77" ht="29" customHeight="1">
      <c r="B124" s="15"/>
      <c r="C124" s="203"/>
      <c r="D124" s="194"/>
      <c r="E124" s="18"/>
      <c r="F124" s="18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16"/>
    </row>
    <row r="125" spans="1:77" ht="29" customHeight="1">
      <c r="B125" s="15"/>
      <c r="C125" s="203" t="s">
        <v>76</v>
      </c>
      <c r="D125" s="194"/>
      <c r="E125" s="227">
        <v>0</v>
      </c>
      <c r="F125" s="227">
        <v>0</v>
      </c>
      <c r="G125" s="227">
        <v>0</v>
      </c>
      <c r="H125" s="227">
        <v>0</v>
      </c>
      <c r="I125" s="227">
        <f t="shared" ref="I125:S125" si="47">(I122-H122)/H122</f>
        <v>-1.6296763420547602</v>
      </c>
      <c r="J125" s="227">
        <f t="shared" si="47"/>
        <v>3.8278320091642999</v>
      </c>
      <c r="K125" s="227">
        <f t="shared" si="47"/>
        <v>1.3262881209939883</v>
      </c>
      <c r="L125" s="227">
        <f t="shared" si="47"/>
        <v>9.0704068991287325</v>
      </c>
      <c r="M125" s="227">
        <f t="shared" si="47"/>
        <v>5.3996034800811573E-3</v>
      </c>
      <c r="N125" s="227">
        <f t="shared" si="47"/>
        <v>5.3974573678944931E-3</v>
      </c>
      <c r="O125" s="227">
        <f t="shared" si="47"/>
        <v>5.3953236254790206E-3</v>
      </c>
      <c r="P125" s="227">
        <f t="shared" si="47"/>
        <v>5.3932114751510671E-3</v>
      </c>
      <c r="Q125" s="227">
        <f t="shared" si="47"/>
        <v>5.3911113849069792E-3</v>
      </c>
      <c r="R125" s="227">
        <f t="shared" si="47"/>
        <v>5.3890232773717451E-3</v>
      </c>
      <c r="S125" s="227">
        <f t="shared" si="47"/>
        <v>5.386947075758197E-3</v>
      </c>
      <c r="T125" s="227">
        <f>+(T122-S122)/S122</f>
        <v>5.3848827038624047E-3</v>
      </c>
      <c r="U125" s="227">
        <f>+(U122-T122)/T122</f>
        <v>5.3828300860581128E-3</v>
      </c>
      <c r="V125" s="227">
        <f>+(V122-U122)/U122</f>
        <v>5.3807891472924226E-3</v>
      </c>
      <c r="W125" s="227">
        <f>+(W122-V122)/V122</f>
        <v>5.3787598130782162E-3</v>
      </c>
      <c r="X125" s="16">
        <f>+(X122-W122)/W122</f>
        <v>5.3767420094903455E-3</v>
      </c>
    </row>
    <row r="126" spans="1:77" ht="29" customHeight="1">
      <c r="B126" s="15"/>
      <c r="C126" s="203"/>
      <c r="D126" s="194"/>
      <c r="E126" s="18"/>
      <c r="F126" s="18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16"/>
    </row>
    <row r="127" spans="1:77" ht="29" customHeight="1">
      <c r="B127" s="15"/>
      <c r="C127" s="194" t="s">
        <v>58</v>
      </c>
      <c r="D127" s="194"/>
      <c r="E127" s="13">
        <f t="shared" ref="E127:X127" si="48">E68/$D$45</f>
        <v>-1.5300153001530015</v>
      </c>
      <c r="F127" s="13">
        <f t="shared" si="48"/>
        <v>-1.5300153001530015</v>
      </c>
      <c r="G127" s="13">
        <f t="shared" si="48"/>
        <v>-1.5300153001530015</v>
      </c>
      <c r="H127" s="13">
        <f t="shared" si="48"/>
        <v>-0.29867971192533932</v>
      </c>
      <c r="I127" s="13">
        <f t="shared" si="48"/>
        <v>0.18638795276540052</v>
      </c>
      <c r="J127" s="13">
        <f t="shared" si="48"/>
        <v>0.90255046024438768</v>
      </c>
      <c r="K127" s="13">
        <f t="shared" si="48"/>
        <v>2.0993469808821779</v>
      </c>
      <c r="L127" s="13">
        <f t="shared" si="48"/>
        <v>19.047016558101564</v>
      </c>
      <c r="M127" s="13">
        <f t="shared" si="48"/>
        <v>19.149901717392837</v>
      </c>
      <c r="N127" s="13">
        <f t="shared" si="48"/>
        <v>19.253301302480569</v>
      </c>
      <c r="O127" s="13">
        <f t="shared" si="48"/>
        <v>19.357217885493732</v>
      </c>
      <c r="P127" s="13">
        <f t="shared" si="48"/>
        <v>19.46165405156033</v>
      </c>
      <c r="Q127" s="13">
        <f t="shared" si="48"/>
        <v>19.566612398595627</v>
      </c>
      <c r="R127" s="13">
        <f t="shared" si="48"/>
        <v>19.672095537504468</v>
      </c>
      <c r="S127" s="13">
        <f t="shared" si="48"/>
        <v>19.778106092246219</v>
      </c>
      <c r="T127" s="13">
        <f t="shared" si="48"/>
        <v>19.884646699900049</v>
      </c>
      <c r="U127" s="13">
        <f t="shared" si="48"/>
        <v>19.991720010730504</v>
      </c>
      <c r="V127" s="13">
        <f t="shared" si="48"/>
        <v>20.099328688253479</v>
      </c>
      <c r="W127" s="13">
        <f t="shared" si="48"/>
        <v>20.20747540930244</v>
      </c>
      <c r="X127" s="12">
        <f t="shared" si="48"/>
        <v>20.316162864095006</v>
      </c>
    </row>
    <row r="128" spans="1:77" s="6" customFormat="1" ht="22" thickBot="1">
      <c r="A128" s="195"/>
      <c r="B128" s="11"/>
      <c r="C128" s="10"/>
      <c r="D128" s="10"/>
      <c r="E128" s="9"/>
      <c r="F128" s="9"/>
      <c r="G128" s="9"/>
      <c r="H128" s="9"/>
      <c r="I128" s="9"/>
      <c r="J128" s="9"/>
      <c r="K128" s="9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7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</row>
    <row r="129" spans="2:6" ht="29.25" customHeight="1">
      <c r="B129" s="3"/>
      <c r="C129" s="3"/>
    </row>
    <row r="130" spans="2:6" ht="29.25" customHeight="1">
      <c r="B130" s="3" t="s">
        <v>75</v>
      </c>
      <c r="C130" s="3"/>
      <c r="F130" s="5"/>
    </row>
    <row r="131" spans="2:6" ht="29.25" customHeight="1">
      <c r="B131" s="3" t="s">
        <v>74</v>
      </c>
      <c r="C131" s="3"/>
      <c r="E131" s="4"/>
    </row>
    <row r="132" spans="2:6" ht="29.25" customHeight="1">
      <c r="B132" s="3"/>
      <c r="C132" s="3"/>
    </row>
    <row r="133" spans="2:6" ht="29.25" customHeight="1">
      <c r="B133" s="3"/>
      <c r="C133" s="3"/>
    </row>
    <row r="134" spans="2:6" ht="29.25" customHeight="1">
      <c r="B134" s="3"/>
      <c r="C134" s="3"/>
    </row>
    <row r="135" spans="2:6" ht="29.25" customHeight="1">
      <c r="B135" s="3"/>
      <c r="C135" s="3"/>
    </row>
    <row r="136" spans="2:6" ht="29.25" customHeight="1">
      <c r="B136" s="3"/>
      <c r="C136" s="3"/>
    </row>
    <row r="137" spans="2:6" ht="29.25" customHeight="1">
      <c r="B137" s="3"/>
      <c r="C137" s="3"/>
    </row>
    <row r="138" spans="2:6" ht="18" customHeight="1">
      <c r="B138" s="3"/>
      <c r="C138" s="3"/>
    </row>
  </sheetData>
  <printOptions horizontalCentered="1" verticalCentered="1"/>
  <pageMargins left="0.1" right="0.1" top="0.1" bottom="0.1" header="0" footer="0"/>
  <pageSetup paperSize="5" scale="10" orientation="landscape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C35E-405D-BC42-8D4F-7922ED566274}">
  <sheetPr>
    <pageSetUpPr fitToPage="1"/>
  </sheetPr>
  <dimension ref="A1:BY138"/>
  <sheetViews>
    <sheetView showGridLines="0" topLeftCell="Z1" zoomScale="80" zoomScaleNormal="80" zoomScalePageLayoutView="60" workbookViewId="0">
      <selection activeCell="AD82" sqref="AD82"/>
    </sheetView>
  </sheetViews>
  <sheetFormatPr baseColWidth="10" defaultColWidth="11" defaultRowHeight="18" customHeight="1"/>
  <cols>
    <col min="1" max="1" width="4.33203125" style="2" customWidth="1"/>
    <col min="2" max="2" width="3.1640625" style="2" customWidth="1"/>
    <col min="3" max="3" width="66.83203125" style="2" customWidth="1"/>
    <col min="4" max="4" width="22.6640625" style="2" customWidth="1"/>
    <col min="5" max="5" width="30.6640625" style="2" customWidth="1"/>
    <col min="6" max="7" width="36.1640625" style="2" customWidth="1"/>
    <col min="8" max="8" width="25.83203125" style="2" customWidth="1"/>
    <col min="9" max="9" width="23.5" style="2" bestFit="1" customWidth="1"/>
    <col min="10" max="11" width="23.83203125" style="2" bestFit="1" customWidth="1"/>
    <col min="12" max="12" width="23.5" style="2" bestFit="1" customWidth="1"/>
    <col min="13" max="13" width="26.5" style="2" customWidth="1"/>
    <col min="14" max="18" width="23.5" style="2" bestFit="1" customWidth="1"/>
    <col min="19" max="19" width="26.5" style="2" customWidth="1"/>
    <col min="20" max="23" width="23.5" style="2" bestFit="1" customWidth="1"/>
    <col min="24" max="24" width="23.6640625" style="2" bestFit="1" customWidth="1"/>
    <col min="25" max="37" width="18.6640625" style="2" customWidth="1"/>
    <col min="38" max="38" width="22.1640625" style="2" customWidth="1"/>
    <col min="39" max="68" width="18.6640625" style="2" customWidth="1"/>
    <col min="69" max="69" width="11" style="2"/>
    <col min="70" max="70" width="11.33203125" style="2" bestFit="1" customWidth="1"/>
    <col min="71" max="16384" width="11" style="2"/>
  </cols>
  <sheetData>
    <row r="1" spans="2:40" ht="31" customHeight="1">
      <c r="C1" s="189" t="s">
        <v>72</v>
      </c>
      <c r="D1" s="188"/>
      <c r="E1" s="188"/>
    </row>
    <row r="2" spans="2:40" ht="31" customHeight="1">
      <c r="C2" s="190" t="s">
        <v>120</v>
      </c>
      <c r="D2" s="186"/>
      <c r="E2" s="186"/>
    </row>
    <row r="3" spans="2:40" ht="31" customHeight="1">
      <c r="B3" s="187"/>
      <c r="C3" s="191" t="s">
        <v>122</v>
      </c>
      <c r="D3" s="186"/>
      <c r="E3" s="186"/>
    </row>
    <row r="4" spans="2:40" ht="18" customHeight="1">
      <c r="B4" s="186"/>
      <c r="C4" s="186"/>
      <c r="D4" s="186"/>
      <c r="E4" s="186"/>
    </row>
    <row r="5" spans="2:40" s="14" customFormat="1" ht="24" customHeight="1">
      <c r="D5" s="185" t="s">
        <v>28</v>
      </c>
      <c r="E5" s="184" t="s">
        <v>1</v>
      </c>
      <c r="F5" s="184" t="s">
        <v>119</v>
      </c>
      <c r="G5" s="183" t="s">
        <v>118</v>
      </c>
      <c r="H5" s="173"/>
      <c r="I5" s="173"/>
    </row>
    <row r="6" spans="2:40" s="14" customFormat="1" ht="24" customHeight="1">
      <c r="C6" s="101" t="s">
        <v>117</v>
      </c>
      <c r="D6" s="179">
        <v>1</v>
      </c>
      <c r="E6" s="182">
        <v>310</v>
      </c>
      <c r="F6" s="126">
        <f>$D$43/$E6</f>
        <v>30612.903225806451</v>
      </c>
      <c r="G6" s="181">
        <f>+F6*E6</f>
        <v>9490000</v>
      </c>
      <c r="H6" s="173"/>
      <c r="I6" s="173"/>
      <c r="AA6" s="38" t="s">
        <v>135</v>
      </c>
    </row>
    <row r="7" spans="2:40" s="14" customFormat="1" ht="24" customHeight="1">
      <c r="C7" s="101" t="s">
        <v>116</v>
      </c>
      <c r="D7" s="179">
        <v>2</v>
      </c>
      <c r="E7" s="178">
        <f>+E6</f>
        <v>310</v>
      </c>
      <c r="F7" s="126">
        <f>$D$48/$E7</f>
        <v>0</v>
      </c>
      <c r="G7" s="177">
        <f>+F7*E7</f>
        <v>0</v>
      </c>
      <c r="H7" s="180"/>
      <c r="I7" s="173"/>
      <c r="AA7" s="14" t="s">
        <v>139</v>
      </c>
      <c r="AC7" s="268">
        <f>D21</f>
        <v>0.15</v>
      </c>
      <c r="AI7" s="14" t="s">
        <v>138</v>
      </c>
      <c r="AL7" s="229">
        <f>SUM(E63:L63)</f>
        <v>800000</v>
      </c>
    </row>
    <row r="8" spans="2:40" s="14" customFormat="1" ht="24" customHeight="1">
      <c r="C8" s="101" t="s">
        <v>115</v>
      </c>
      <c r="D8" s="179">
        <v>2</v>
      </c>
      <c r="E8" s="178">
        <f>+E7</f>
        <v>310</v>
      </c>
      <c r="F8" s="126">
        <f>$D$49/$E8</f>
        <v>0</v>
      </c>
      <c r="G8" s="177">
        <f>+F8*E8</f>
        <v>0</v>
      </c>
      <c r="H8" s="173"/>
      <c r="I8" s="173"/>
      <c r="AA8" s="14" t="str">
        <f>C23</f>
        <v>Board of Directors Expense</v>
      </c>
      <c r="AC8" s="256">
        <f>D23</f>
        <v>50000</v>
      </c>
      <c r="AI8" s="14" t="s">
        <v>137</v>
      </c>
      <c r="AL8" s="107">
        <f>AL23*(D45-100000)</f>
        <v>4291226.1517062197</v>
      </c>
    </row>
    <row r="9" spans="2:40" s="14" customFormat="1" ht="24" customHeight="1">
      <c r="C9" s="101"/>
      <c r="D9" s="168"/>
      <c r="E9" s="167"/>
      <c r="F9" s="176">
        <f>SUM(F6:F8)</f>
        <v>30612.903225806451</v>
      </c>
      <c r="G9" s="175">
        <f>SUM(G6:G8)</f>
        <v>9490000</v>
      </c>
      <c r="H9" s="174"/>
      <c r="I9" s="173"/>
      <c r="AA9" s="14" t="str">
        <f>C24</f>
        <v>Admin Costs</v>
      </c>
      <c r="AC9" s="256">
        <f>D24</f>
        <v>20000</v>
      </c>
      <c r="AI9" s="14" t="s">
        <v>36</v>
      </c>
      <c r="AL9" s="292">
        <f>SUM(E120:L120)*AC7</f>
        <v>361006.04536088899</v>
      </c>
    </row>
    <row r="10" spans="2:40" s="14" customFormat="1" ht="24" customHeight="1">
      <c r="C10" s="101" t="s">
        <v>45</v>
      </c>
      <c r="D10" s="141">
        <v>0.105</v>
      </c>
      <c r="E10" s="167"/>
      <c r="F10" s="126"/>
      <c r="G10" s="173"/>
      <c r="AA10" s="14" t="s">
        <v>127</v>
      </c>
      <c r="AC10" s="34">
        <f>D34</f>
        <v>5.0999999999999997E-2</v>
      </c>
    </row>
    <row r="11" spans="2:40" s="14" customFormat="1" ht="24" customHeight="1">
      <c r="C11" s="101"/>
      <c r="D11" s="141"/>
      <c r="E11" s="167"/>
      <c r="AA11" s="14" t="s">
        <v>126</v>
      </c>
      <c r="AC11" s="256">
        <f>H86</f>
        <v>4463.0537938987763</v>
      </c>
    </row>
    <row r="12" spans="2:40" s="14" customFormat="1" ht="24" customHeight="1">
      <c r="C12" s="101" t="s">
        <v>78</v>
      </c>
      <c r="D12" s="141">
        <v>6.25E-2</v>
      </c>
      <c r="E12" s="167"/>
      <c r="U12" s="124"/>
      <c r="V12" s="124"/>
      <c r="W12" s="124"/>
      <c r="X12" s="124"/>
      <c r="Y12" s="124"/>
      <c r="Z12" s="124"/>
      <c r="AA12" s="172"/>
      <c r="AB12" s="171"/>
      <c r="AC12" s="171"/>
      <c r="AD12" s="52"/>
      <c r="AE12" s="170" t="s">
        <v>60</v>
      </c>
      <c r="AF12" s="170" t="s">
        <v>61</v>
      </c>
      <c r="AG12" s="170" t="s">
        <v>62</v>
      </c>
      <c r="AH12" s="170" t="s">
        <v>63</v>
      </c>
      <c r="AI12" s="170" t="s">
        <v>64</v>
      </c>
      <c r="AJ12" s="170" t="s">
        <v>65</v>
      </c>
      <c r="AK12" s="170" t="s">
        <v>66</v>
      </c>
      <c r="AL12" s="170" t="s">
        <v>67</v>
      </c>
      <c r="AM12" s="291" t="s">
        <v>68</v>
      </c>
      <c r="AN12" s="290" t="s">
        <v>69</v>
      </c>
    </row>
    <row r="13" spans="2:40" s="14" customFormat="1" ht="24" customHeight="1">
      <c r="C13" s="101"/>
      <c r="D13" s="141"/>
      <c r="E13" s="167"/>
      <c r="AA13" s="139" t="s">
        <v>94</v>
      </c>
      <c r="AE13" s="121" t="s">
        <v>46</v>
      </c>
      <c r="AF13" s="121" t="s">
        <v>46</v>
      </c>
      <c r="AG13" s="121" t="s">
        <v>46</v>
      </c>
      <c r="AH13" s="152">
        <f t="shared" ref="AH13:AN13" si="0">H57/$D45</f>
        <v>1.1629268926098257</v>
      </c>
      <c r="AI13" s="152">
        <f t="shared" si="0"/>
        <v>1.6210458955830513</v>
      </c>
      <c r="AJ13" s="152">
        <f t="shared" si="0"/>
        <v>2.2974209207091949</v>
      </c>
      <c r="AK13" s="152">
        <f t="shared" si="0"/>
        <v>3.4277276154379983</v>
      </c>
      <c r="AL13" s="152">
        <f t="shared" si="0"/>
        <v>19.43384398764654</v>
      </c>
      <c r="AM13" s="273">
        <f t="shared" si="0"/>
        <v>19.531013207584774</v>
      </c>
      <c r="AN13" s="272">
        <f t="shared" si="0"/>
        <v>19.628668273622697</v>
      </c>
    </row>
    <row r="14" spans="2:40" s="14" customFormat="1" ht="24" customHeight="1">
      <c r="C14" s="101"/>
      <c r="D14" s="168"/>
      <c r="E14" s="167"/>
      <c r="AA14" s="139" t="s">
        <v>36</v>
      </c>
      <c r="AE14" s="166" t="s">
        <v>46</v>
      </c>
      <c r="AF14" s="166" t="s">
        <v>46</v>
      </c>
      <c r="AG14" s="166" t="s">
        <v>46</v>
      </c>
      <c r="AH14" s="165">
        <f t="shared" ref="AH14:AN14" si="1">H122</f>
        <v>-0.25268926934166808</v>
      </c>
      <c r="AI14" s="165">
        <f t="shared" si="1"/>
        <v>0.15911245479555161</v>
      </c>
      <c r="AJ14" s="165">
        <f t="shared" si="1"/>
        <v>0.76816820231867178</v>
      </c>
      <c r="AK14" s="165">
        <f t="shared" si="1"/>
        <v>1.7869805639792329</v>
      </c>
      <c r="AL14" s="165">
        <f t="shared" si="1"/>
        <v>17.995621400105421</v>
      </c>
      <c r="AM14" s="289">
        <f t="shared" si="1"/>
        <v>18.092790620043651</v>
      </c>
      <c r="AN14" s="288">
        <f t="shared" si="1"/>
        <v>18.190445686081578</v>
      </c>
    </row>
    <row r="15" spans="2:40" s="14" customFormat="1" ht="24" customHeight="1">
      <c r="C15" s="101" t="s">
        <v>114</v>
      </c>
      <c r="D15" s="163">
        <v>10000000</v>
      </c>
      <c r="E15" s="105"/>
      <c r="T15" s="2"/>
      <c r="AA15" s="139"/>
      <c r="AE15" s="101"/>
      <c r="AF15" s="101"/>
      <c r="AG15" s="101"/>
      <c r="AM15" s="265"/>
      <c r="AN15" s="264"/>
    </row>
    <row r="16" spans="2:40" s="14" customFormat="1" ht="24" customHeight="1">
      <c r="C16" s="101" t="s">
        <v>10</v>
      </c>
      <c r="D16" s="162">
        <v>100</v>
      </c>
      <c r="E16" s="161"/>
      <c r="G16" s="159"/>
      <c r="I16" s="38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2"/>
      <c r="AA16" s="287" t="s">
        <v>113</v>
      </c>
      <c r="AB16" s="286"/>
      <c r="AC16" s="286"/>
      <c r="AD16" s="286"/>
      <c r="AE16" s="285" t="s">
        <v>46</v>
      </c>
      <c r="AF16" s="285" t="s">
        <v>46</v>
      </c>
      <c r="AG16" s="285" t="s">
        <v>46</v>
      </c>
      <c r="AH16" s="284">
        <f t="shared" ref="AH16:AN16" si="2">AH14/100</f>
        <v>-2.5268926934166806E-3</v>
      </c>
      <c r="AI16" s="284">
        <f t="shared" si="2"/>
        <v>1.5911245479555162E-3</v>
      </c>
      <c r="AJ16" s="284">
        <f t="shared" si="2"/>
        <v>7.6816820231867177E-3</v>
      </c>
      <c r="AK16" s="284">
        <f t="shared" si="2"/>
        <v>1.7869805639792329E-2</v>
      </c>
      <c r="AL16" s="283">
        <f t="shared" si="2"/>
        <v>0.17995621400105422</v>
      </c>
      <c r="AM16" s="282">
        <f t="shared" si="2"/>
        <v>0.1809279062004365</v>
      </c>
      <c r="AN16" s="281">
        <f t="shared" si="2"/>
        <v>0.18190445686081577</v>
      </c>
    </row>
    <row r="17" spans="3:40" s="14" customFormat="1" ht="24" customHeight="1">
      <c r="C17" s="95" t="s">
        <v>73</v>
      </c>
      <c r="D17" s="141">
        <v>0</v>
      </c>
      <c r="G17" s="159"/>
      <c r="I17" s="3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2"/>
      <c r="AA17" s="139"/>
      <c r="AE17" s="101"/>
      <c r="AF17" s="101"/>
      <c r="AG17" s="101"/>
      <c r="AM17" s="265"/>
      <c r="AN17" s="264"/>
    </row>
    <row r="18" spans="3:40" s="14" customFormat="1" ht="24" customHeight="1">
      <c r="C18" s="101"/>
      <c r="D18" s="154"/>
      <c r="Q18" s="13"/>
      <c r="T18" s="2"/>
      <c r="AA18" s="139" t="s">
        <v>112</v>
      </c>
      <c r="AE18" s="147">
        <f t="shared" ref="AE18:AN18" si="3">E110</f>
        <v>83.555752001768013</v>
      </c>
      <c r="AF18" s="147">
        <f t="shared" si="3"/>
        <v>82.350598836366657</v>
      </c>
      <c r="AG18" s="147">
        <f t="shared" si="3"/>
        <v>80.874389482783286</v>
      </c>
      <c r="AH18" s="147">
        <f t="shared" si="3"/>
        <v>107.53956466068233</v>
      </c>
      <c r="AI18" s="147">
        <f t="shared" si="3"/>
        <v>107.73736003294663</v>
      </c>
      <c r="AJ18" s="147">
        <f t="shared" si="3"/>
        <v>175.11896202675095</v>
      </c>
      <c r="AK18" s="147">
        <f t="shared" si="3"/>
        <v>175.69837404668624</v>
      </c>
      <c r="AL18" s="147">
        <f t="shared" si="3"/>
        <v>307.15101050700162</v>
      </c>
      <c r="AM18" s="278">
        <f t="shared" si="3"/>
        <v>309.32112308562216</v>
      </c>
      <c r="AN18" s="277">
        <f t="shared" si="3"/>
        <v>311.50208622713575</v>
      </c>
    </row>
    <row r="19" spans="3:40" s="14" customFormat="1" ht="24" customHeight="1">
      <c r="C19" s="101" t="s">
        <v>111</v>
      </c>
      <c r="D19" s="148">
        <v>0.01</v>
      </c>
      <c r="G19" s="192"/>
      <c r="T19" s="2"/>
      <c r="AA19" s="139" t="s">
        <v>110</v>
      </c>
      <c r="AE19" s="157">
        <f t="shared" ref="AE19:AN19" si="4">E92/$D45</f>
        <v>0</v>
      </c>
      <c r="AF19" s="157">
        <f t="shared" si="4"/>
        <v>0</v>
      </c>
      <c r="AG19" s="157">
        <f t="shared" si="4"/>
        <v>0</v>
      </c>
      <c r="AH19" s="157">
        <f t="shared" si="4"/>
        <v>0</v>
      </c>
      <c r="AI19" s="157">
        <f t="shared" si="4"/>
        <v>0</v>
      </c>
      <c r="AJ19" s="157">
        <f t="shared" si="4"/>
        <v>0</v>
      </c>
      <c r="AK19" s="157">
        <f t="shared" si="4"/>
        <v>0</v>
      </c>
      <c r="AL19" s="157">
        <f t="shared" si="4"/>
        <v>0</v>
      </c>
      <c r="AM19" s="280">
        <f t="shared" si="4"/>
        <v>0</v>
      </c>
      <c r="AN19" s="279">
        <f t="shared" si="4"/>
        <v>0</v>
      </c>
    </row>
    <row r="20" spans="3:40" s="14" customFormat="1" ht="24" customHeight="1">
      <c r="C20" s="101"/>
      <c r="D20" s="148"/>
      <c r="G20" s="328"/>
      <c r="T20" s="2"/>
      <c r="AA20" s="139"/>
      <c r="AE20" s="101"/>
      <c r="AF20" s="101"/>
      <c r="AG20" s="101"/>
      <c r="AM20" s="265"/>
      <c r="AN20" s="264"/>
    </row>
    <row r="21" spans="3:40" s="14" customFormat="1" ht="24" customHeight="1">
      <c r="C21" s="101" t="s">
        <v>5</v>
      </c>
      <c r="D21" s="141">
        <v>0.15</v>
      </c>
      <c r="G21" s="328"/>
      <c r="T21" s="2"/>
      <c r="AA21" s="139" t="s">
        <v>109</v>
      </c>
      <c r="AE21" s="147">
        <f t="shared" ref="AE21:AN21" si="5">E115</f>
        <v>83.555752001768013</v>
      </c>
      <c r="AF21" s="147">
        <f t="shared" si="5"/>
        <v>82.350598836366657</v>
      </c>
      <c r="AG21" s="147">
        <f t="shared" si="5"/>
        <v>80.874389482783286</v>
      </c>
      <c r="AH21" s="147">
        <f t="shared" si="5"/>
        <v>107.53956466068233</v>
      </c>
      <c r="AI21" s="147">
        <f t="shared" si="5"/>
        <v>107.73736003294663</v>
      </c>
      <c r="AJ21" s="147">
        <f t="shared" si="5"/>
        <v>175.11896202675095</v>
      </c>
      <c r="AK21" s="147">
        <f t="shared" si="5"/>
        <v>175.69837404668624</v>
      </c>
      <c r="AL21" s="147">
        <f t="shared" si="5"/>
        <v>307.15101050700162</v>
      </c>
      <c r="AM21" s="278">
        <f t="shared" si="5"/>
        <v>309.32112308562216</v>
      </c>
      <c r="AN21" s="277">
        <f t="shared" si="5"/>
        <v>311.50208622713575</v>
      </c>
    </row>
    <row r="22" spans="3:40" s="14" customFormat="1" ht="24" customHeight="1">
      <c r="C22" s="101"/>
      <c r="D22" s="154"/>
      <c r="G22" s="192"/>
      <c r="T22" s="2"/>
      <c r="AA22" s="139"/>
      <c r="AE22" s="101"/>
      <c r="AF22" s="101"/>
      <c r="AG22" s="101"/>
      <c r="AM22" s="265"/>
      <c r="AN22" s="264"/>
    </row>
    <row r="23" spans="3:40" s="14" customFormat="1" ht="24" customHeight="1">
      <c r="C23" s="101" t="s">
        <v>4</v>
      </c>
      <c r="D23" s="144">
        <v>50000</v>
      </c>
      <c r="I23" s="19"/>
      <c r="AA23" s="276" t="s">
        <v>108</v>
      </c>
      <c r="AB23" s="154"/>
      <c r="AC23" s="153">
        <v>7.3999999999999996E-2</v>
      </c>
      <c r="AD23" s="154"/>
      <c r="AE23" s="275">
        <v>100</v>
      </c>
      <c r="AF23" s="275">
        <v>100</v>
      </c>
      <c r="AG23" s="275">
        <v>100</v>
      </c>
      <c r="AH23" s="274">
        <v>125.8</v>
      </c>
      <c r="AI23" s="274">
        <v>132.1</v>
      </c>
      <c r="AJ23" s="274">
        <v>171.5</v>
      </c>
      <c r="AK23" s="274">
        <v>177.3</v>
      </c>
      <c r="AL23" s="274">
        <f>AL14/AC23</f>
        <v>243.18407297439759</v>
      </c>
      <c r="AM23" s="273">
        <f>AM14/AC23</f>
        <v>244.49717054113043</v>
      </c>
      <c r="AN23" s="272">
        <f>AN14/AC23</f>
        <v>245.81683359569701</v>
      </c>
    </row>
    <row r="24" spans="3:40" s="14" customFormat="1" ht="24" customHeight="1">
      <c r="C24" s="101" t="s">
        <v>0</v>
      </c>
      <c r="D24" s="144">
        <v>20000</v>
      </c>
      <c r="T24" s="2"/>
      <c r="AA24" s="139"/>
      <c r="AE24" s="101"/>
      <c r="AF24" s="101"/>
      <c r="AG24" s="101"/>
      <c r="AH24" s="150">
        <f t="shared" ref="AH24:AN24" si="6">(AH23-AH21)/AH21</f>
        <v>0.16980202027908978</v>
      </c>
      <c r="AI24" s="150">
        <f t="shared" si="6"/>
        <v>0.22612991407626057</v>
      </c>
      <c r="AJ24" s="150">
        <f t="shared" si="6"/>
        <v>-2.0665734794602778E-2</v>
      </c>
      <c r="AK24" s="271">
        <f t="shared" si="6"/>
        <v>9.1157699210590894E-3</v>
      </c>
      <c r="AL24" s="271">
        <f t="shared" si="6"/>
        <v>-0.20825891937329594</v>
      </c>
      <c r="AM24" s="270">
        <f t="shared" si="6"/>
        <v>-0.20956846366598775</v>
      </c>
      <c r="AN24" s="269">
        <f t="shared" si="6"/>
        <v>-0.21086617244528982</v>
      </c>
    </row>
    <row r="25" spans="3:40" s="14" customFormat="1" ht="24" customHeight="1">
      <c r="C25" s="101" t="s">
        <v>107</v>
      </c>
      <c r="D25" s="141">
        <v>0</v>
      </c>
      <c r="T25" s="2"/>
      <c r="AA25" s="139" t="s">
        <v>106</v>
      </c>
      <c r="AE25" s="101"/>
      <c r="AF25" s="101"/>
      <c r="AG25" s="101"/>
      <c r="AM25" s="265"/>
      <c r="AN25" s="264"/>
    </row>
    <row r="26" spans="3:40" s="14" customFormat="1" ht="24" customHeight="1">
      <c r="C26" s="101"/>
      <c r="D26" s="146"/>
      <c r="T26" s="2"/>
      <c r="AA26" s="139"/>
      <c r="AE26" s="101"/>
      <c r="AF26" s="101"/>
      <c r="AG26" s="101"/>
      <c r="AM26" s="265"/>
      <c r="AN26" s="264"/>
    </row>
    <row r="27" spans="3:40" s="14" customFormat="1" ht="24" customHeight="1">
      <c r="C27" s="101" t="s">
        <v>47</v>
      </c>
      <c r="D27" s="148">
        <v>0</v>
      </c>
      <c r="T27" s="2"/>
      <c r="AA27" s="139" t="s">
        <v>105</v>
      </c>
      <c r="AE27" s="101"/>
      <c r="AF27" s="101"/>
      <c r="AG27" s="101"/>
      <c r="AL27" s="268">
        <f>((AL23/100)^(1/8))-1</f>
        <v>0.1174854855153844</v>
      </c>
      <c r="AM27" s="265"/>
      <c r="AN27" s="264"/>
    </row>
    <row r="28" spans="3:40" s="14" customFormat="1" ht="24" customHeight="1">
      <c r="C28" s="95" t="s">
        <v>48</v>
      </c>
      <c r="D28" s="148">
        <v>0</v>
      </c>
      <c r="G28" s="32"/>
      <c r="H28" s="1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2"/>
      <c r="AA28" s="139" t="s">
        <v>104</v>
      </c>
      <c r="AE28" s="101"/>
      <c r="AF28" s="101"/>
      <c r="AG28" s="101"/>
      <c r="AL28" s="34">
        <f>AL14/AL23</f>
        <v>7.3999999999999996E-2</v>
      </c>
      <c r="AM28" s="263">
        <f>AM14/AM23</f>
        <v>7.3999999999999996E-2</v>
      </c>
      <c r="AN28" s="262">
        <f>AN14/AN23</f>
        <v>7.3999999999999996E-2</v>
      </c>
    </row>
    <row r="29" spans="3:40" s="14" customFormat="1" ht="24" customHeight="1">
      <c r="C29" s="101" t="s">
        <v>49</v>
      </c>
      <c r="D29" s="141">
        <v>0</v>
      </c>
      <c r="I29" s="143"/>
      <c r="T29" s="2"/>
      <c r="AA29" s="139"/>
      <c r="AE29" s="101"/>
      <c r="AF29" s="101"/>
      <c r="AG29" s="101"/>
      <c r="AM29" s="265"/>
      <c r="AN29" s="264"/>
    </row>
    <row r="30" spans="3:40" s="14" customFormat="1" ht="24" customHeight="1">
      <c r="C30" s="101" t="s">
        <v>103</v>
      </c>
      <c r="D30" s="141">
        <v>0.02</v>
      </c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2"/>
      <c r="AA30" s="139" t="s">
        <v>39</v>
      </c>
      <c r="AE30" s="121" t="s">
        <v>46</v>
      </c>
      <c r="AF30" s="121" t="s">
        <v>46</v>
      </c>
      <c r="AG30" s="121" t="s">
        <v>46</v>
      </c>
      <c r="AH30" s="120">
        <v>0</v>
      </c>
      <c r="AI30" s="120">
        <v>0</v>
      </c>
      <c r="AJ30" s="120">
        <v>0</v>
      </c>
      <c r="AK30" s="120">
        <v>0</v>
      </c>
      <c r="AL30" s="120">
        <v>0</v>
      </c>
      <c r="AM30" s="267">
        <v>0</v>
      </c>
      <c r="AN30" s="266">
        <v>0</v>
      </c>
    </row>
    <row r="31" spans="3:40" s="14" customFormat="1" ht="24" customHeight="1">
      <c r="C31" s="101" t="s">
        <v>102</v>
      </c>
      <c r="D31" s="141">
        <v>0</v>
      </c>
      <c r="G31" s="19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2"/>
      <c r="AA31" s="139" t="s">
        <v>101</v>
      </c>
      <c r="AE31" s="121" t="s">
        <v>46</v>
      </c>
      <c r="AF31" s="121" t="s">
        <v>46</v>
      </c>
      <c r="AG31" s="121" t="s">
        <v>46</v>
      </c>
      <c r="AH31" s="120">
        <f t="shared" ref="AH31:AN31" si="7">H106</f>
        <v>0</v>
      </c>
      <c r="AI31" s="120">
        <f t="shared" si="7"/>
        <v>0</v>
      </c>
      <c r="AJ31" s="120">
        <f t="shared" si="7"/>
        <v>0</v>
      </c>
      <c r="AK31" s="120">
        <f t="shared" si="7"/>
        <v>0</v>
      </c>
      <c r="AL31" s="120">
        <f t="shared" si="7"/>
        <v>0</v>
      </c>
      <c r="AM31" s="267">
        <f t="shared" si="7"/>
        <v>0</v>
      </c>
      <c r="AN31" s="266">
        <f t="shared" si="7"/>
        <v>0</v>
      </c>
    </row>
    <row r="32" spans="3:40" s="14" customFormat="1" ht="24" customHeight="1">
      <c r="C32" s="101"/>
      <c r="D32" s="146"/>
      <c r="T32" s="2"/>
      <c r="AA32" s="139" t="s">
        <v>100</v>
      </c>
      <c r="AE32" s="121" t="s">
        <v>46</v>
      </c>
      <c r="AF32" s="121" t="s">
        <v>46</v>
      </c>
      <c r="AG32" s="121" t="s">
        <v>46</v>
      </c>
      <c r="AH32" s="120">
        <f t="shared" ref="AH32:AN32" si="8">AH19/AH18</f>
        <v>0</v>
      </c>
      <c r="AI32" s="120">
        <f t="shared" si="8"/>
        <v>0</v>
      </c>
      <c r="AJ32" s="120">
        <f t="shared" si="8"/>
        <v>0</v>
      </c>
      <c r="AK32" s="120">
        <f t="shared" si="8"/>
        <v>0</v>
      </c>
      <c r="AL32" s="120">
        <f t="shared" si="8"/>
        <v>0</v>
      </c>
      <c r="AM32" s="267">
        <f t="shared" si="8"/>
        <v>0</v>
      </c>
      <c r="AN32" s="266">
        <f t="shared" si="8"/>
        <v>0</v>
      </c>
    </row>
    <row r="33" spans="2:40" s="14" customFormat="1" ht="24" customHeight="1">
      <c r="C33" s="101" t="s">
        <v>99</v>
      </c>
      <c r="D33" s="144">
        <v>15000</v>
      </c>
      <c r="I33" s="143"/>
      <c r="J33" s="121"/>
      <c r="K33" s="121"/>
      <c r="L33" s="121"/>
      <c r="M33" s="120"/>
      <c r="N33" s="120"/>
      <c r="O33" s="120"/>
      <c r="P33" s="120"/>
      <c r="Q33" s="120"/>
      <c r="R33" s="120"/>
      <c r="S33" s="120"/>
      <c r="T33" s="2"/>
      <c r="AA33" s="139"/>
      <c r="AE33" s="101"/>
      <c r="AF33" s="101"/>
      <c r="AG33" s="101"/>
      <c r="AM33" s="265"/>
      <c r="AN33" s="264"/>
    </row>
    <row r="34" spans="2:40" s="14" customFormat="1" ht="24" customHeight="1">
      <c r="C34" s="101" t="s">
        <v>98</v>
      </c>
      <c r="D34" s="141">
        <v>5.0999999999999997E-2</v>
      </c>
      <c r="E34" s="140"/>
      <c r="F34" s="103"/>
      <c r="G34" s="103"/>
      <c r="T34" s="2"/>
      <c r="AA34" s="139" t="s">
        <v>97</v>
      </c>
      <c r="AE34" s="34">
        <f t="shared" ref="AE34:AN34" si="9">E117</f>
        <v>1.7293997965412006E-2</v>
      </c>
      <c r="AF34" s="34">
        <f t="shared" si="9"/>
        <v>1.7547085577220078E-2</v>
      </c>
      <c r="AG34" s="34">
        <f t="shared" si="9"/>
        <v>1.7867374509512229E-2</v>
      </c>
      <c r="AH34" s="34">
        <f t="shared" si="9"/>
        <v>1.3437036031124637E-2</v>
      </c>
      <c r="AI34" s="34">
        <f t="shared" si="9"/>
        <v>1.3412366932651347E-2</v>
      </c>
      <c r="AJ34" s="34">
        <f t="shared" si="9"/>
        <v>8.2516078692626543E-3</v>
      </c>
      <c r="AK34" s="34">
        <f t="shared" si="9"/>
        <v>8.2243960022821833E-3</v>
      </c>
      <c r="AL34" s="34">
        <f t="shared" si="9"/>
        <v>4.7045686183217247E-3</v>
      </c>
      <c r="AM34" s="263">
        <f t="shared" si="9"/>
        <v>4.6715626488820702E-3</v>
      </c>
      <c r="AN34" s="262">
        <f t="shared" si="9"/>
        <v>4.6388549836658115E-3</v>
      </c>
    </row>
    <row r="35" spans="2:40" s="14" customFormat="1" ht="24" customHeight="1">
      <c r="C35" s="101"/>
      <c r="D35" s="17"/>
      <c r="E35" s="137"/>
      <c r="G35" s="32"/>
      <c r="T35" s="136"/>
      <c r="AA35" s="135" t="s">
        <v>136</v>
      </c>
      <c r="AB35" s="134"/>
      <c r="AC35" s="134"/>
      <c r="AD35" s="134"/>
      <c r="AE35" s="133" t="s">
        <v>46</v>
      </c>
      <c r="AF35" s="133" t="s">
        <v>46</v>
      </c>
      <c r="AG35" s="133" t="s">
        <v>46</v>
      </c>
      <c r="AH35" s="132">
        <f>+F6</f>
        <v>30612.903225806451</v>
      </c>
      <c r="AI35" s="132">
        <f>AH35</f>
        <v>30612.903225806451</v>
      </c>
      <c r="AJ35" s="132">
        <f>+AI35+F7</f>
        <v>30612.903225806451</v>
      </c>
      <c r="AK35" s="132">
        <f>AJ35</f>
        <v>30612.903225806451</v>
      </c>
      <c r="AL35" s="131">
        <f>(D43+D48+D49)/E6</f>
        <v>30612.903225806451</v>
      </c>
      <c r="AM35" s="261">
        <f>AL35</f>
        <v>30612.903225806451</v>
      </c>
      <c r="AN35" s="260">
        <f>AM35</f>
        <v>30612.903225806451</v>
      </c>
    </row>
    <row r="36" spans="2:40" s="14" customFormat="1" ht="24" customHeight="1">
      <c r="T36" s="2"/>
      <c r="AA36" s="124"/>
      <c r="AB36" s="124"/>
      <c r="AC36" s="124"/>
      <c r="AD36" s="124"/>
      <c r="AE36" s="124"/>
      <c r="AF36" s="124"/>
      <c r="AG36" s="124"/>
      <c r="AH36" s="124"/>
      <c r="AI36" s="2"/>
      <c r="AJ36" s="2"/>
      <c r="AK36" s="2"/>
      <c r="AL36" s="2"/>
      <c r="AM36" s="2"/>
    </row>
    <row r="37" spans="2:40" s="14" customFormat="1" ht="24" customHeight="1">
      <c r="C37" s="102" t="s">
        <v>35</v>
      </c>
      <c r="D37" s="128"/>
      <c r="F37" s="127"/>
      <c r="G37" s="32"/>
      <c r="H37" s="2"/>
      <c r="J37" s="121"/>
      <c r="K37" s="121"/>
      <c r="L37" s="121"/>
      <c r="M37" s="126"/>
      <c r="N37" s="126"/>
      <c r="O37" s="126"/>
      <c r="P37" s="126"/>
      <c r="Q37" s="108"/>
      <c r="R37" s="41"/>
      <c r="S37" s="41"/>
      <c r="T37" s="2"/>
      <c r="U37" s="125"/>
      <c r="V37" s="125"/>
      <c r="W37" s="125"/>
      <c r="X37" s="125"/>
      <c r="Y37" s="125"/>
      <c r="Z37" s="125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2:40" ht="24" customHeight="1">
      <c r="B38" s="14"/>
      <c r="C38" s="19" t="s">
        <v>13</v>
      </c>
      <c r="D38" s="111">
        <f>D15-D32</f>
        <v>10000000</v>
      </c>
      <c r="E38" s="19"/>
      <c r="G38" s="14"/>
      <c r="H38" s="14"/>
      <c r="I38" s="14"/>
      <c r="J38" s="34"/>
      <c r="K38" s="34"/>
      <c r="L38" s="34"/>
      <c r="M38" s="34"/>
      <c r="N38" s="34"/>
      <c r="O38" s="34"/>
      <c r="P38" s="34"/>
      <c r="Q38" s="34"/>
      <c r="R38" s="34"/>
      <c r="S38" s="34"/>
      <c r="U38" s="124"/>
      <c r="V38" s="124"/>
      <c r="W38" s="124"/>
      <c r="X38" s="124"/>
      <c r="Y38" s="124"/>
      <c r="Z38" s="124"/>
      <c r="AA38" s="259" t="s">
        <v>42</v>
      </c>
      <c r="AB38" s="52"/>
      <c r="AC38" s="52"/>
      <c r="AD38" s="52"/>
      <c r="AE38" s="171" t="s">
        <v>96</v>
      </c>
      <c r="AF38" s="258" t="s">
        <v>95</v>
      </c>
    </row>
    <row r="39" spans="2:40" ht="24" customHeight="1">
      <c r="B39" s="14"/>
      <c r="C39" s="19" t="s">
        <v>9</v>
      </c>
      <c r="D39" s="123">
        <f>D17*D38</f>
        <v>0</v>
      </c>
      <c r="E39" s="122"/>
      <c r="F39" s="107"/>
      <c r="G39" s="107"/>
      <c r="H39" s="34"/>
      <c r="J39" s="121"/>
      <c r="K39" s="121"/>
      <c r="L39" s="121"/>
      <c r="M39" s="120"/>
      <c r="N39" s="120"/>
      <c r="O39" s="120"/>
      <c r="P39" s="120"/>
      <c r="Q39" s="120"/>
      <c r="R39" s="120"/>
      <c r="S39" s="120"/>
      <c r="AA39" s="139"/>
      <c r="AB39" s="14"/>
      <c r="AC39" s="14"/>
      <c r="AD39" s="14"/>
      <c r="AE39" s="14"/>
      <c r="AF39" s="142"/>
    </row>
    <row r="40" spans="2:40" ht="24" customHeight="1">
      <c r="B40" s="14"/>
      <c r="C40" s="14" t="s">
        <v>2</v>
      </c>
      <c r="D40" s="119">
        <f>+D27*D38</f>
        <v>0</v>
      </c>
      <c r="E40" s="114"/>
      <c r="F40" s="107"/>
      <c r="G40" s="116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AA40" s="139" t="s">
        <v>94</v>
      </c>
      <c r="AB40" s="14"/>
      <c r="AC40" s="14"/>
      <c r="AD40" s="14"/>
      <c r="AE40" s="152">
        <f>AL13</f>
        <v>19.43384398764654</v>
      </c>
      <c r="AF40" s="149">
        <f>AE40/AE40</f>
        <v>1</v>
      </c>
    </row>
    <row r="41" spans="2:40" ht="24" customHeight="1">
      <c r="B41" s="14"/>
      <c r="C41" s="52" t="s">
        <v>32</v>
      </c>
      <c r="D41" s="118">
        <f>D38-D39-D40</f>
        <v>10000000</v>
      </c>
      <c r="E41" s="117"/>
      <c r="F41" s="113"/>
      <c r="G41" s="257"/>
      <c r="H41" s="256"/>
      <c r="AA41" s="255"/>
      <c r="AF41" s="254"/>
    </row>
    <row r="42" spans="2:40" ht="24" customHeight="1">
      <c r="B42" s="14"/>
      <c r="C42" s="102" t="s">
        <v>3</v>
      </c>
      <c r="D42" s="115">
        <f>D34*D38</f>
        <v>509999.99999999994</v>
      </c>
      <c r="E42" s="114"/>
      <c r="F42" s="113"/>
      <c r="G42" s="112"/>
      <c r="H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AA42" s="139"/>
      <c r="AB42" s="14" t="s">
        <v>59</v>
      </c>
      <c r="AC42" s="14"/>
      <c r="AD42" s="14"/>
      <c r="AE42" s="253">
        <f>L63/D45</f>
        <v>0.8500076500688506</v>
      </c>
      <c r="AF42" s="138">
        <f>AE42/AE40</f>
        <v>4.3738523917819488E-2</v>
      </c>
    </row>
    <row r="43" spans="2:40" ht="24" customHeight="1">
      <c r="B43" s="14"/>
      <c r="C43" s="24" t="s">
        <v>33</v>
      </c>
      <c r="D43" s="111">
        <f>D41-D42</f>
        <v>9490000</v>
      </c>
      <c r="E43" s="19"/>
      <c r="F43" s="14"/>
      <c r="G43" s="14"/>
      <c r="H43" s="14"/>
      <c r="AA43" s="139"/>
      <c r="AB43" s="14"/>
      <c r="AC43" s="14"/>
      <c r="AD43" s="14"/>
      <c r="AE43" s="253"/>
      <c r="AF43" s="138"/>
    </row>
    <row r="44" spans="2:40" ht="24" customHeight="1">
      <c r="B44" s="14"/>
      <c r="C44" s="14"/>
      <c r="D44" s="14"/>
      <c r="E44" s="110"/>
      <c r="F44" s="14"/>
      <c r="G44" s="109"/>
      <c r="H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AA44" s="139"/>
      <c r="AB44" s="14" t="s">
        <v>93</v>
      </c>
      <c r="AC44" s="14"/>
      <c r="AD44" s="14"/>
      <c r="AE44" s="253">
        <f>(L64+L65)/D45</f>
        <v>0.59500535504819541</v>
      </c>
      <c r="AF44" s="138">
        <f>AE44/AE40</f>
        <v>3.0616966742473641E-2</v>
      </c>
    </row>
    <row r="45" spans="2:40" ht="24" customHeight="1">
      <c r="B45" s="14"/>
      <c r="C45" s="32" t="s">
        <v>11</v>
      </c>
      <c r="D45" s="108">
        <f>ROUND(+((D38/D16)/(1-D21)),0)-1</f>
        <v>117646</v>
      </c>
      <c r="E45" s="329"/>
      <c r="F45" s="107"/>
      <c r="G45" s="106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AA45" s="139"/>
      <c r="AB45" s="14" t="s">
        <v>92</v>
      </c>
      <c r="AC45" s="14"/>
      <c r="AD45" s="14"/>
      <c r="AE45" s="253">
        <f>(L69/D45)*-1</f>
        <v>-6.7904175759264532E-3</v>
      </c>
      <c r="AF45" s="138">
        <f>AE45/AE40</f>
        <v>-3.4941196297772587E-4</v>
      </c>
    </row>
    <row r="46" spans="2:40" ht="24" customHeight="1">
      <c r="B46" s="14"/>
      <c r="C46" s="14"/>
      <c r="D46" s="105"/>
      <c r="E46" s="104"/>
      <c r="F46" s="103"/>
      <c r="G46" s="103"/>
      <c r="H46" s="14"/>
      <c r="S46" s="100"/>
      <c r="AA46" s="139"/>
      <c r="AB46" s="14"/>
      <c r="AC46" s="14"/>
      <c r="AD46" s="14"/>
      <c r="AE46" s="14"/>
      <c r="AF46" s="142"/>
    </row>
    <row r="47" spans="2:40" ht="24" customHeight="1">
      <c r="B47" s="14"/>
      <c r="C47" s="102" t="s">
        <v>34</v>
      </c>
      <c r="D47" s="82"/>
      <c r="E47" s="128" t="s">
        <v>91</v>
      </c>
      <c r="S47" s="100"/>
      <c r="AA47" s="139" t="s">
        <v>90</v>
      </c>
      <c r="AB47" s="14"/>
      <c r="AC47" s="14"/>
      <c r="AD47" s="14"/>
      <c r="AE47" s="14"/>
      <c r="AF47" s="142"/>
    </row>
    <row r="48" spans="2:40" ht="24" customHeight="1">
      <c r="B48" s="14"/>
      <c r="C48" s="99" t="s">
        <v>50</v>
      </c>
      <c r="D48" s="98">
        <f>+E48-E48*0.03</f>
        <v>0</v>
      </c>
      <c r="E48" s="93">
        <v>0</v>
      </c>
      <c r="F48" s="97"/>
      <c r="AA48" s="139"/>
      <c r="AB48" s="14"/>
      <c r="AC48" s="14"/>
      <c r="AD48" s="14"/>
      <c r="AE48" s="14"/>
      <c r="AF48" s="142"/>
    </row>
    <row r="49" spans="1:77" ht="24" customHeight="1">
      <c r="B49" s="14"/>
      <c r="C49" s="95" t="s">
        <v>44</v>
      </c>
      <c r="D49" s="94">
        <f>+E49-E49*0.03</f>
        <v>0</v>
      </c>
      <c r="E49" s="93">
        <v>0</v>
      </c>
      <c r="F49" s="5"/>
      <c r="G49" s="96"/>
      <c r="K49" s="88"/>
      <c r="L49" s="88"/>
      <c r="M49" s="88"/>
      <c r="N49" s="88"/>
      <c r="AA49" s="139"/>
      <c r="AB49" s="14" t="s">
        <v>89</v>
      </c>
      <c r="AC49" s="14"/>
      <c r="AD49" s="14"/>
      <c r="AE49" s="103">
        <f>(L83/D45)*-1</f>
        <v>0</v>
      </c>
      <c r="AF49" s="138">
        <f>AE49/AE40</f>
        <v>0</v>
      </c>
    </row>
    <row r="50" spans="1:77" ht="24" customHeight="1">
      <c r="B50" s="14"/>
      <c r="C50" s="95" t="s">
        <v>51</v>
      </c>
      <c r="D50" s="94"/>
      <c r="E50" s="93">
        <f>SUM(E48:E49)</f>
        <v>0</v>
      </c>
      <c r="F50" s="92"/>
      <c r="K50" s="88"/>
      <c r="L50" s="88"/>
      <c r="M50" s="88"/>
      <c r="N50" s="88"/>
      <c r="AA50" s="135"/>
      <c r="AB50" s="134" t="s">
        <v>36</v>
      </c>
      <c r="AC50" s="134"/>
      <c r="AD50" s="134"/>
      <c r="AE50" s="252">
        <f>(L84/D45)*-1</f>
        <v>17.995621400105421</v>
      </c>
      <c r="AF50" s="251">
        <f>AE50/AE40</f>
        <v>0.92599392130268465</v>
      </c>
    </row>
    <row r="51" spans="1:77" ht="24" customHeight="1">
      <c r="B51" s="14"/>
      <c r="C51" s="91"/>
      <c r="D51" s="90"/>
      <c r="F51" s="89"/>
      <c r="K51" s="88"/>
      <c r="L51" s="88"/>
      <c r="M51" s="88"/>
      <c r="N51" s="88"/>
    </row>
    <row r="52" spans="1:77" s="8" customFormat="1" ht="24" customHeight="1" thickBot="1">
      <c r="A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ht="29" customHeight="1">
      <c r="B53" s="87"/>
      <c r="C53" s="86"/>
      <c r="D53" s="85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3"/>
    </row>
    <row r="54" spans="1:77" ht="29" customHeight="1">
      <c r="B54" s="15"/>
      <c r="C54" s="194"/>
      <c r="D54" s="194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81"/>
    </row>
    <row r="55" spans="1:77" s="80" customFormat="1" ht="29" customHeight="1">
      <c r="B55" s="197"/>
      <c r="C55" s="198"/>
      <c r="D55" s="198"/>
      <c r="E55" s="196">
        <v>1</v>
      </c>
      <c r="F55" s="196">
        <v>2</v>
      </c>
      <c r="G55" s="196">
        <v>3</v>
      </c>
      <c r="H55" s="196">
        <v>4</v>
      </c>
      <c r="I55" s="196">
        <v>5</v>
      </c>
      <c r="J55" s="196">
        <v>6</v>
      </c>
      <c r="K55" s="196">
        <v>7</v>
      </c>
      <c r="L55" s="196">
        <v>8</v>
      </c>
      <c r="M55" s="196">
        <v>9</v>
      </c>
      <c r="N55" s="196">
        <v>10</v>
      </c>
      <c r="O55" s="196">
        <v>11</v>
      </c>
      <c r="P55" s="196">
        <v>12</v>
      </c>
      <c r="Q55" s="196">
        <v>13</v>
      </c>
      <c r="R55" s="196">
        <v>14</v>
      </c>
      <c r="S55" s="196">
        <v>15</v>
      </c>
      <c r="T55" s="196">
        <v>16</v>
      </c>
      <c r="U55" s="196">
        <v>17</v>
      </c>
      <c r="V55" s="196">
        <v>18</v>
      </c>
      <c r="W55" s="196">
        <v>19</v>
      </c>
      <c r="X55" s="81">
        <v>20</v>
      </c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ht="29" customHeight="1">
      <c r="B56" s="15"/>
      <c r="C56" s="199" t="s">
        <v>8</v>
      </c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2"/>
    </row>
    <row r="57" spans="1:77" ht="29" customHeight="1">
      <c r="B57" s="15"/>
      <c r="C57" s="201" t="s">
        <v>88</v>
      </c>
      <c r="D57" s="194"/>
      <c r="E57" s="43">
        <f>($D$43/100)*('[1]PCLP 1_250M'!E123*100)</f>
        <v>0</v>
      </c>
      <c r="F57" s="43">
        <f>($D$43/100)*('[1]PCLP 1_250M'!F123*100)</f>
        <v>0</v>
      </c>
      <c r="G57" s="43">
        <f>($D$43/100)*('[1]PCLP 1_250M'!G123*100)</f>
        <v>0</v>
      </c>
      <c r="H57" s="43">
        <f>($D$43/100)*('[1]PCLP 1_250M'!H123*100)</f>
        <v>136813.69720797555</v>
      </c>
      <c r="I57" s="43">
        <f>($D$43/100)*('[1]PCLP 1_250M'!I123*100)</f>
        <v>190709.56543176365</v>
      </c>
      <c r="J57" s="43">
        <f>($D$43/100)*('[1]PCLP 1_250M'!J123*100)</f>
        <v>270282.38163775392</v>
      </c>
      <c r="K57" s="43">
        <f>($D$43/100)*('[1]PCLP 1_250M'!K123*100)</f>
        <v>403258.44304581877</v>
      </c>
      <c r="L57" s="43">
        <f>($D$43/100)*('[1]PCLP 1_250M'!L123*100)</f>
        <v>2286314.0097706649</v>
      </c>
      <c r="M57" s="43">
        <f>($D$43/100)*('[1]PCLP 1_250M'!M123*100)</f>
        <v>2297745.5798195181</v>
      </c>
      <c r="N57" s="43">
        <f>($D$43/100)*('[1]PCLP 1_250M'!N123*100)</f>
        <v>2309234.307718616</v>
      </c>
      <c r="O57" s="43">
        <f>($D$43/100)*('[1]PCLP 1_250M'!O123*100)</f>
        <v>2320780.4792572088</v>
      </c>
      <c r="P57" s="43">
        <f>($D$43/100)*('[1]PCLP 1_250M'!P123*100)</f>
        <v>2332384.3816688685</v>
      </c>
      <c r="Q57" s="43">
        <f>($D$43/100)*('[1]PCLP 1_250M'!Q123*100)</f>
        <v>2344046.3036079602</v>
      </c>
      <c r="R57" s="43">
        <f>($D$43/100)*('[1]PCLP 1_250M'!R123*100)</f>
        <v>2355766.5351721216</v>
      </c>
      <c r="S57" s="43">
        <f>($D$43/100)*('[1]PCLP 1_250M'!S123*100)</f>
        <v>2367545.3679094776</v>
      </c>
      <c r="T57" s="43">
        <f>($D$43/100)*('[1]PCLP 1_250M'!T123*100)</f>
        <v>2379383.0948258946</v>
      </c>
      <c r="U57" s="43">
        <f>($D$43/100)*('[1]PCLP 1_250M'!U123*100)</f>
        <v>2391280.0103922663</v>
      </c>
      <c r="V57" s="43">
        <f>($D$43/100)*('[1]PCLP 1_250M'!V123*100)</f>
        <v>2403236.4105518442</v>
      </c>
      <c r="W57" s="43">
        <f>($D$43/100)*('[1]PCLP 1_250M'!W123*100)</f>
        <v>2415252.5927275941</v>
      </c>
      <c r="X57" s="79">
        <f>($D$43/100)*('[1]PCLP 1_250M'!X123*100)</f>
        <v>2427328.8558295961</v>
      </c>
    </row>
    <row r="58" spans="1:77" ht="29" customHeight="1">
      <c r="B58" s="15"/>
      <c r="C58" s="202" t="s">
        <v>87</v>
      </c>
      <c r="D58" s="194" t="s">
        <v>86</v>
      </c>
      <c r="E58" s="78">
        <v>0</v>
      </c>
      <c r="F58" s="78">
        <v>0</v>
      </c>
      <c r="G58" s="78">
        <v>0</v>
      </c>
      <c r="H58" s="77">
        <f t="shared" ref="H58:X58" si="10">SUM(H57:H57)</f>
        <v>136813.69720797555</v>
      </c>
      <c r="I58" s="77">
        <f t="shared" si="10"/>
        <v>190709.56543176365</v>
      </c>
      <c r="J58" s="77">
        <f t="shared" si="10"/>
        <v>270282.38163775392</v>
      </c>
      <c r="K58" s="77">
        <f t="shared" si="10"/>
        <v>403258.44304581877</v>
      </c>
      <c r="L58" s="77">
        <f t="shared" si="10"/>
        <v>2286314.0097706649</v>
      </c>
      <c r="M58" s="77">
        <f t="shared" si="10"/>
        <v>2297745.5798195181</v>
      </c>
      <c r="N58" s="77">
        <f t="shared" si="10"/>
        <v>2309234.307718616</v>
      </c>
      <c r="O58" s="77">
        <f t="shared" si="10"/>
        <v>2320780.4792572088</v>
      </c>
      <c r="P58" s="77">
        <f t="shared" si="10"/>
        <v>2332384.3816688685</v>
      </c>
      <c r="Q58" s="77">
        <f t="shared" si="10"/>
        <v>2344046.3036079602</v>
      </c>
      <c r="R58" s="77">
        <f t="shared" si="10"/>
        <v>2355766.5351721216</v>
      </c>
      <c r="S58" s="77">
        <f t="shared" si="10"/>
        <v>2367545.3679094776</v>
      </c>
      <c r="T58" s="77">
        <f t="shared" si="10"/>
        <v>2379383.0948258946</v>
      </c>
      <c r="U58" s="77">
        <f t="shared" si="10"/>
        <v>2391280.0103922663</v>
      </c>
      <c r="V58" s="77">
        <f t="shared" si="10"/>
        <v>2403236.4105518442</v>
      </c>
      <c r="W58" s="77">
        <f t="shared" si="10"/>
        <v>2415252.5927275941</v>
      </c>
      <c r="X58" s="76">
        <f t="shared" si="10"/>
        <v>2427328.8558295961</v>
      </c>
    </row>
    <row r="59" spans="1:77" ht="29" customHeight="1">
      <c r="B59" s="15"/>
      <c r="C59" s="194"/>
      <c r="D59" s="194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2"/>
    </row>
    <row r="60" spans="1:77" ht="29" customHeight="1">
      <c r="B60" s="15"/>
      <c r="C60" s="199" t="s">
        <v>52</v>
      </c>
      <c r="D60" s="194"/>
      <c r="E60" s="200"/>
      <c r="F60" s="330"/>
      <c r="G60" s="200"/>
      <c r="H60" s="200"/>
      <c r="I60" s="200"/>
      <c r="J60" s="200"/>
      <c r="K60" s="200"/>
      <c r="L60" s="75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2"/>
    </row>
    <row r="61" spans="1:77" ht="29" customHeight="1">
      <c r="B61" s="15"/>
      <c r="C61" s="203" t="s">
        <v>2</v>
      </c>
      <c r="D61" s="194"/>
      <c r="E61" s="200">
        <f>$D27*$D15</f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74">
        <v>0</v>
      </c>
    </row>
    <row r="62" spans="1:77" ht="29" customHeight="1">
      <c r="B62" s="15"/>
      <c r="C62" s="203" t="s">
        <v>43</v>
      </c>
      <c r="D62" s="194"/>
      <c r="E62" s="200">
        <f>D39</f>
        <v>0</v>
      </c>
      <c r="F62" s="18">
        <v>0</v>
      </c>
      <c r="G62" s="18">
        <v>0</v>
      </c>
      <c r="H62" s="18">
        <f>D28*E48</f>
        <v>0</v>
      </c>
      <c r="I62" s="18">
        <v>0</v>
      </c>
      <c r="J62" s="18">
        <f>D28*E49</f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74">
        <v>0</v>
      </c>
    </row>
    <row r="63" spans="1:77" ht="29" customHeight="1">
      <c r="B63" s="15"/>
      <c r="C63" s="203" t="s">
        <v>16</v>
      </c>
      <c r="D63" s="194"/>
      <c r="E63" s="200">
        <f t="shared" ref="E63:X63" si="11">$D19*$D15</f>
        <v>100000</v>
      </c>
      <c r="F63" s="200">
        <f t="shared" si="11"/>
        <v>100000</v>
      </c>
      <c r="G63" s="200">
        <f t="shared" si="11"/>
        <v>100000</v>
      </c>
      <c r="H63" s="200">
        <f t="shared" si="11"/>
        <v>100000</v>
      </c>
      <c r="I63" s="200">
        <f t="shared" si="11"/>
        <v>100000</v>
      </c>
      <c r="J63" s="200">
        <f t="shared" si="11"/>
        <v>100000</v>
      </c>
      <c r="K63" s="200">
        <f t="shared" si="11"/>
        <v>100000</v>
      </c>
      <c r="L63" s="200">
        <f t="shared" si="11"/>
        <v>100000</v>
      </c>
      <c r="M63" s="200">
        <f t="shared" si="11"/>
        <v>100000</v>
      </c>
      <c r="N63" s="200">
        <f t="shared" si="11"/>
        <v>100000</v>
      </c>
      <c r="O63" s="200">
        <f t="shared" si="11"/>
        <v>100000</v>
      </c>
      <c r="P63" s="200">
        <f t="shared" si="11"/>
        <v>100000</v>
      </c>
      <c r="Q63" s="200">
        <f t="shared" si="11"/>
        <v>100000</v>
      </c>
      <c r="R63" s="200">
        <f t="shared" si="11"/>
        <v>100000</v>
      </c>
      <c r="S63" s="200">
        <f t="shared" si="11"/>
        <v>100000</v>
      </c>
      <c r="T63" s="200">
        <f t="shared" si="11"/>
        <v>100000</v>
      </c>
      <c r="U63" s="200">
        <f t="shared" si="11"/>
        <v>100000</v>
      </c>
      <c r="V63" s="200">
        <f t="shared" si="11"/>
        <v>100000</v>
      </c>
      <c r="W63" s="200">
        <f t="shared" si="11"/>
        <v>100000</v>
      </c>
      <c r="X63" s="22">
        <f t="shared" si="11"/>
        <v>100000</v>
      </c>
    </row>
    <row r="64" spans="1:77" ht="29" customHeight="1">
      <c r="B64" s="15"/>
      <c r="C64" s="203" t="s">
        <v>6</v>
      </c>
      <c r="D64" s="194"/>
      <c r="E64" s="200">
        <f t="shared" ref="E64:X64" si="12">$D24</f>
        <v>20000</v>
      </c>
      <c r="F64" s="200">
        <f t="shared" si="12"/>
        <v>20000</v>
      </c>
      <c r="G64" s="200">
        <f t="shared" si="12"/>
        <v>20000</v>
      </c>
      <c r="H64" s="200">
        <f t="shared" si="12"/>
        <v>20000</v>
      </c>
      <c r="I64" s="200">
        <f t="shared" si="12"/>
        <v>20000</v>
      </c>
      <c r="J64" s="200">
        <f t="shared" si="12"/>
        <v>20000</v>
      </c>
      <c r="K64" s="200">
        <f t="shared" si="12"/>
        <v>20000</v>
      </c>
      <c r="L64" s="200">
        <f t="shared" si="12"/>
        <v>20000</v>
      </c>
      <c r="M64" s="200">
        <f t="shared" si="12"/>
        <v>20000</v>
      </c>
      <c r="N64" s="200">
        <f t="shared" si="12"/>
        <v>20000</v>
      </c>
      <c r="O64" s="200">
        <f t="shared" si="12"/>
        <v>20000</v>
      </c>
      <c r="P64" s="200">
        <f t="shared" si="12"/>
        <v>20000</v>
      </c>
      <c r="Q64" s="200">
        <f t="shared" si="12"/>
        <v>20000</v>
      </c>
      <c r="R64" s="200">
        <f t="shared" si="12"/>
        <v>20000</v>
      </c>
      <c r="S64" s="200">
        <f t="shared" si="12"/>
        <v>20000</v>
      </c>
      <c r="T64" s="200">
        <f t="shared" si="12"/>
        <v>20000</v>
      </c>
      <c r="U64" s="200">
        <f t="shared" si="12"/>
        <v>20000</v>
      </c>
      <c r="V64" s="200">
        <f t="shared" si="12"/>
        <v>20000</v>
      </c>
      <c r="W64" s="200">
        <f t="shared" si="12"/>
        <v>20000</v>
      </c>
      <c r="X64" s="22">
        <f t="shared" si="12"/>
        <v>20000</v>
      </c>
    </row>
    <row r="65" spans="1:77" ht="29" customHeight="1">
      <c r="B65" s="15"/>
      <c r="C65" s="203" t="s">
        <v>7</v>
      </c>
      <c r="D65" s="194"/>
      <c r="E65" s="200">
        <f t="shared" ref="E65:X65" si="13">+$D23</f>
        <v>50000</v>
      </c>
      <c r="F65" s="200">
        <f t="shared" si="13"/>
        <v>50000</v>
      </c>
      <c r="G65" s="200">
        <f t="shared" si="13"/>
        <v>50000</v>
      </c>
      <c r="H65" s="200">
        <f t="shared" si="13"/>
        <v>50000</v>
      </c>
      <c r="I65" s="200">
        <f t="shared" si="13"/>
        <v>50000</v>
      </c>
      <c r="J65" s="200">
        <f t="shared" si="13"/>
        <v>50000</v>
      </c>
      <c r="K65" s="200">
        <f t="shared" si="13"/>
        <v>50000</v>
      </c>
      <c r="L65" s="200">
        <f t="shared" si="13"/>
        <v>50000</v>
      </c>
      <c r="M65" s="200">
        <f t="shared" si="13"/>
        <v>50000</v>
      </c>
      <c r="N65" s="200">
        <f t="shared" si="13"/>
        <v>50000</v>
      </c>
      <c r="O65" s="200">
        <f t="shared" si="13"/>
        <v>50000</v>
      </c>
      <c r="P65" s="200">
        <f t="shared" si="13"/>
        <v>50000</v>
      </c>
      <c r="Q65" s="200">
        <f t="shared" si="13"/>
        <v>50000</v>
      </c>
      <c r="R65" s="200">
        <f t="shared" si="13"/>
        <v>50000</v>
      </c>
      <c r="S65" s="200">
        <f t="shared" si="13"/>
        <v>50000</v>
      </c>
      <c r="T65" s="200">
        <f t="shared" si="13"/>
        <v>50000</v>
      </c>
      <c r="U65" s="200">
        <f t="shared" si="13"/>
        <v>50000</v>
      </c>
      <c r="V65" s="200">
        <f t="shared" si="13"/>
        <v>50000</v>
      </c>
      <c r="W65" s="200">
        <f t="shared" si="13"/>
        <v>50000</v>
      </c>
      <c r="X65" s="22">
        <f t="shared" si="13"/>
        <v>50000</v>
      </c>
    </row>
    <row r="66" spans="1:77" ht="29" customHeight="1">
      <c r="B66" s="15"/>
      <c r="C66" s="194" t="s">
        <v>14</v>
      </c>
      <c r="D66" s="194"/>
      <c r="E66" s="73">
        <f t="shared" ref="E66:X66" si="14">SUM(E61:E65)</f>
        <v>170000</v>
      </c>
      <c r="F66" s="73">
        <f t="shared" si="14"/>
        <v>170000</v>
      </c>
      <c r="G66" s="73">
        <f t="shared" si="14"/>
        <v>170000</v>
      </c>
      <c r="H66" s="73">
        <f t="shared" si="14"/>
        <v>170000</v>
      </c>
      <c r="I66" s="73">
        <f t="shared" si="14"/>
        <v>170000</v>
      </c>
      <c r="J66" s="73">
        <f t="shared" si="14"/>
        <v>170000</v>
      </c>
      <c r="K66" s="73">
        <f t="shared" si="14"/>
        <v>170000</v>
      </c>
      <c r="L66" s="73">
        <f t="shared" si="14"/>
        <v>170000</v>
      </c>
      <c r="M66" s="73">
        <f t="shared" si="14"/>
        <v>170000</v>
      </c>
      <c r="N66" s="73">
        <f t="shared" si="14"/>
        <v>170000</v>
      </c>
      <c r="O66" s="73">
        <f t="shared" si="14"/>
        <v>170000</v>
      </c>
      <c r="P66" s="73">
        <f t="shared" si="14"/>
        <v>170000</v>
      </c>
      <c r="Q66" s="73">
        <f t="shared" si="14"/>
        <v>170000</v>
      </c>
      <c r="R66" s="73">
        <f t="shared" si="14"/>
        <v>170000</v>
      </c>
      <c r="S66" s="73">
        <f t="shared" si="14"/>
        <v>170000</v>
      </c>
      <c r="T66" s="73">
        <f t="shared" si="14"/>
        <v>170000</v>
      </c>
      <c r="U66" s="73">
        <f t="shared" si="14"/>
        <v>170000</v>
      </c>
      <c r="V66" s="73">
        <f t="shared" si="14"/>
        <v>170000</v>
      </c>
      <c r="W66" s="73">
        <f t="shared" si="14"/>
        <v>170000</v>
      </c>
      <c r="X66" s="72">
        <f t="shared" si="14"/>
        <v>170000</v>
      </c>
    </row>
    <row r="67" spans="1:77" ht="29" customHeight="1">
      <c r="B67" s="15"/>
      <c r="C67" s="194"/>
      <c r="D67" s="194"/>
      <c r="E67" s="204"/>
      <c r="F67" s="204"/>
      <c r="G67" s="204"/>
      <c r="H67" s="204"/>
      <c r="I67" s="204"/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204"/>
      <c r="U67" s="204"/>
      <c r="V67" s="204"/>
      <c r="W67" s="204"/>
      <c r="X67" s="59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</row>
    <row r="68" spans="1:77" s="57" customFormat="1" ht="29" customHeight="1">
      <c r="B68" s="63"/>
      <c r="C68" s="202" t="s">
        <v>85</v>
      </c>
      <c r="D68" s="205"/>
      <c r="E68" s="71">
        <f>+E57-E66</f>
        <v>-170000</v>
      </c>
      <c r="F68" s="71">
        <f>+F57-F66</f>
        <v>-170000</v>
      </c>
      <c r="G68" s="71">
        <f>+G57-G66</f>
        <v>-170000</v>
      </c>
      <c r="H68" s="71">
        <f t="shared" ref="H68:X68" si="15">+H58-H66</f>
        <v>-33186.302792024449</v>
      </c>
      <c r="I68" s="71">
        <f t="shared" si="15"/>
        <v>20709.565431763651</v>
      </c>
      <c r="J68" s="71">
        <f t="shared" si="15"/>
        <v>100282.38163775392</v>
      </c>
      <c r="K68" s="71">
        <f t="shared" si="15"/>
        <v>233258.44304581877</v>
      </c>
      <c r="L68" s="71">
        <f t="shared" si="15"/>
        <v>2116314.0097706649</v>
      </c>
      <c r="M68" s="71">
        <f t="shared" si="15"/>
        <v>2127745.5798195181</v>
      </c>
      <c r="N68" s="71">
        <f t="shared" si="15"/>
        <v>2139234.307718616</v>
      </c>
      <c r="O68" s="71">
        <f t="shared" si="15"/>
        <v>2150780.4792572088</v>
      </c>
      <c r="P68" s="71">
        <f t="shared" si="15"/>
        <v>2162384.3816688685</v>
      </c>
      <c r="Q68" s="71">
        <f t="shared" si="15"/>
        <v>2174046.3036079602</v>
      </c>
      <c r="R68" s="71">
        <f t="shared" si="15"/>
        <v>2185766.5351721216</v>
      </c>
      <c r="S68" s="71">
        <f t="shared" si="15"/>
        <v>2197545.3679094776</v>
      </c>
      <c r="T68" s="71">
        <f t="shared" si="15"/>
        <v>2209383.0948258946</v>
      </c>
      <c r="U68" s="71">
        <f t="shared" si="15"/>
        <v>2221280.0103922663</v>
      </c>
      <c r="V68" s="71">
        <f t="shared" si="15"/>
        <v>2233236.4105518442</v>
      </c>
      <c r="W68" s="71">
        <f t="shared" si="15"/>
        <v>2245252.5927275941</v>
      </c>
      <c r="X68" s="70">
        <f t="shared" si="15"/>
        <v>2257328.8558295961</v>
      </c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1:77" s="57" customFormat="1" ht="29" customHeight="1">
      <c r="B69" s="63"/>
      <c r="C69" s="202" t="s">
        <v>84</v>
      </c>
      <c r="D69" s="205"/>
      <c r="E69" s="69">
        <f t="shared" ref="E69:K69" si="16">(SUM(E79)*$D$30)-((E89+E92)/2*$D$29)</f>
        <v>0</v>
      </c>
      <c r="F69" s="69">
        <f t="shared" si="16"/>
        <v>6750.5988421676684</v>
      </c>
      <c r="G69" s="69">
        <f t="shared" si="16"/>
        <v>3485.6108190110217</v>
      </c>
      <c r="H69" s="69">
        <f t="shared" si="16"/>
        <v>155.323035391242</v>
      </c>
      <c r="I69" s="69">
        <f t="shared" si="16"/>
        <v>89.261075877975529</v>
      </c>
      <c r="J69" s="69">
        <f t="shared" si="16"/>
        <v>130.85872889325873</v>
      </c>
      <c r="K69" s="69">
        <f t="shared" si="16"/>
        <v>331.6852096265531</v>
      </c>
      <c r="L69" s="69">
        <f t="shared" ref="L69:X69" si="17">(SUM(L79)*$D$30)-(L89*$D$29)</f>
        <v>798.86546613744349</v>
      </c>
      <c r="M69" s="69">
        <f t="shared" si="17"/>
        <v>798.86546613744463</v>
      </c>
      <c r="N69" s="69">
        <f t="shared" si="17"/>
        <v>798.86546613744463</v>
      </c>
      <c r="O69" s="69">
        <f t="shared" si="17"/>
        <v>798.86546613744463</v>
      </c>
      <c r="P69" s="69">
        <f t="shared" si="17"/>
        <v>798.88546613744461</v>
      </c>
      <c r="Q69" s="69">
        <f t="shared" si="17"/>
        <v>798.92546613744457</v>
      </c>
      <c r="R69" s="69">
        <f t="shared" si="17"/>
        <v>798.98546613744463</v>
      </c>
      <c r="S69" s="69">
        <f t="shared" si="17"/>
        <v>799.06546613744467</v>
      </c>
      <c r="T69" s="69">
        <f t="shared" si="17"/>
        <v>799.16546613744458</v>
      </c>
      <c r="U69" s="69">
        <f t="shared" si="17"/>
        <v>799.28546613744459</v>
      </c>
      <c r="V69" s="69">
        <f t="shared" si="17"/>
        <v>799.42546613744457</v>
      </c>
      <c r="W69" s="69">
        <f t="shared" si="17"/>
        <v>799.58546613744466</v>
      </c>
      <c r="X69" s="68">
        <f t="shared" si="17"/>
        <v>799.76546613744461</v>
      </c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1:77" s="64" customFormat="1" ht="29" customHeight="1">
      <c r="B70" s="67"/>
      <c r="C70" s="206" t="s">
        <v>83</v>
      </c>
      <c r="D70" s="207"/>
      <c r="E70" s="208"/>
      <c r="F70" s="208"/>
      <c r="G70" s="208"/>
      <c r="H70" s="209" t="e">
        <f t="shared" ref="H70:X70" si="18">(H69/H92)*-1</f>
        <v>#DIV/0!</v>
      </c>
      <c r="I70" s="209" t="e">
        <f t="shared" si="18"/>
        <v>#DIV/0!</v>
      </c>
      <c r="J70" s="209" t="e">
        <f t="shared" si="18"/>
        <v>#DIV/0!</v>
      </c>
      <c r="K70" s="209" t="e">
        <f t="shared" si="18"/>
        <v>#DIV/0!</v>
      </c>
      <c r="L70" s="209" t="e">
        <f t="shared" si="18"/>
        <v>#DIV/0!</v>
      </c>
      <c r="M70" s="209" t="e">
        <f t="shared" si="18"/>
        <v>#DIV/0!</v>
      </c>
      <c r="N70" s="209" t="e">
        <f t="shared" si="18"/>
        <v>#DIV/0!</v>
      </c>
      <c r="O70" s="209" t="e">
        <f t="shared" si="18"/>
        <v>#DIV/0!</v>
      </c>
      <c r="P70" s="209" t="e">
        <f t="shared" si="18"/>
        <v>#DIV/0!</v>
      </c>
      <c r="Q70" s="209" t="e">
        <f t="shared" si="18"/>
        <v>#DIV/0!</v>
      </c>
      <c r="R70" s="209" t="e">
        <f t="shared" si="18"/>
        <v>#DIV/0!</v>
      </c>
      <c r="S70" s="209" t="e">
        <f t="shared" si="18"/>
        <v>#DIV/0!</v>
      </c>
      <c r="T70" s="209" t="e">
        <f t="shared" si="18"/>
        <v>#DIV/0!</v>
      </c>
      <c r="U70" s="209" t="e">
        <f t="shared" si="18"/>
        <v>#DIV/0!</v>
      </c>
      <c r="V70" s="209" t="e">
        <f t="shared" si="18"/>
        <v>#DIV/0!</v>
      </c>
      <c r="W70" s="209" t="e">
        <f t="shared" si="18"/>
        <v>#DIV/0!</v>
      </c>
      <c r="X70" s="66" t="e">
        <f t="shared" si="18"/>
        <v>#DIV/0!</v>
      </c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</row>
    <row r="71" spans="1:77" s="57" customFormat="1" ht="29" customHeight="1">
      <c r="B71" s="63"/>
      <c r="C71" s="202"/>
      <c r="D71" s="205"/>
      <c r="E71" s="204"/>
      <c r="F71" s="204"/>
      <c r="G71" s="204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6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1:77" ht="29" customHeight="1" thickBot="1">
      <c r="B72" s="15"/>
      <c r="C72" s="201" t="s">
        <v>82</v>
      </c>
      <c r="D72" s="211"/>
      <c r="E72" s="61">
        <f t="shared" ref="E72:X72" si="19">SUM(E68:E69)</f>
        <v>-170000</v>
      </c>
      <c r="F72" s="61">
        <f t="shared" si="19"/>
        <v>-163249.40115783233</v>
      </c>
      <c r="G72" s="61">
        <f t="shared" si="19"/>
        <v>-166514.38918098898</v>
      </c>
      <c r="H72" s="61">
        <f t="shared" si="19"/>
        <v>-33030.979756633205</v>
      </c>
      <c r="I72" s="61">
        <f t="shared" si="19"/>
        <v>20798.826507641625</v>
      </c>
      <c r="J72" s="61">
        <f t="shared" si="19"/>
        <v>100413.24036664718</v>
      </c>
      <c r="K72" s="61">
        <f t="shared" si="19"/>
        <v>233590.12825544534</v>
      </c>
      <c r="L72" s="61">
        <f t="shared" si="19"/>
        <v>2117112.8752368023</v>
      </c>
      <c r="M72" s="61">
        <f t="shared" si="19"/>
        <v>2128544.4452856556</v>
      </c>
      <c r="N72" s="61">
        <f t="shared" si="19"/>
        <v>2140033.1731847534</v>
      </c>
      <c r="O72" s="61">
        <f t="shared" si="19"/>
        <v>2151579.3447233462</v>
      </c>
      <c r="P72" s="61">
        <f t="shared" si="19"/>
        <v>2163183.2671350059</v>
      </c>
      <c r="Q72" s="61">
        <f t="shared" si="19"/>
        <v>2174845.2290740977</v>
      </c>
      <c r="R72" s="61">
        <f t="shared" si="19"/>
        <v>2186565.5206382591</v>
      </c>
      <c r="S72" s="61">
        <f t="shared" si="19"/>
        <v>2198344.4333756152</v>
      </c>
      <c r="T72" s="61">
        <f t="shared" si="19"/>
        <v>2210182.2602920318</v>
      </c>
      <c r="U72" s="61">
        <f t="shared" si="19"/>
        <v>2222079.2958584037</v>
      </c>
      <c r="V72" s="61">
        <f t="shared" si="19"/>
        <v>2234035.8360179816</v>
      </c>
      <c r="W72" s="61">
        <f t="shared" si="19"/>
        <v>2246052.1781937317</v>
      </c>
      <c r="X72" s="60">
        <f t="shared" si="19"/>
        <v>2258128.6212957334</v>
      </c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</row>
    <row r="73" spans="1:77" ht="29" customHeight="1" thickTop="1">
      <c r="B73" s="15"/>
      <c r="C73" s="201"/>
      <c r="D73" s="211"/>
      <c r="E73" s="204"/>
      <c r="F73" s="204"/>
      <c r="G73" s="204"/>
      <c r="H73" s="204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59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</row>
    <row r="74" spans="1:77" ht="29" customHeight="1">
      <c r="B74" s="15"/>
      <c r="C74" s="212" t="s">
        <v>39</v>
      </c>
      <c r="D74" s="194"/>
      <c r="E74" s="213" t="s">
        <v>53</v>
      </c>
      <c r="F74" s="213" t="s">
        <v>53</v>
      </c>
      <c r="G74" s="213" t="s">
        <v>53</v>
      </c>
      <c r="H74" s="213">
        <f t="shared" ref="H74:X74" si="20">H68/H69*-1</f>
        <v>213.65989087472909</v>
      </c>
      <c r="I74" s="213">
        <f t="shared" si="20"/>
        <v>-232.01115635301875</v>
      </c>
      <c r="J74" s="213">
        <f t="shared" si="20"/>
        <v>-766.34078968896381</v>
      </c>
      <c r="K74" s="213">
        <f t="shared" si="20"/>
        <v>-703.25247034212418</v>
      </c>
      <c r="L74" s="213">
        <f t="shared" si="20"/>
        <v>-2649.1494494099916</v>
      </c>
      <c r="M74" s="213">
        <f t="shared" si="20"/>
        <v>-2663.4592055997573</v>
      </c>
      <c r="N74" s="213">
        <f t="shared" si="20"/>
        <v>-2677.840510570476</v>
      </c>
      <c r="O74" s="213">
        <f t="shared" si="20"/>
        <v>-2692.2937220660474</v>
      </c>
      <c r="P74" s="213">
        <f t="shared" si="20"/>
        <v>-2706.751434750523</v>
      </c>
      <c r="Q74" s="213">
        <f t="shared" si="20"/>
        <v>-2721.2129238022617</v>
      </c>
      <c r="R74" s="213">
        <f t="shared" si="20"/>
        <v>-2735.6774657476903</v>
      </c>
      <c r="S74" s="213">
        <f t="shared" si="20"/>
        <v>-2750.1443386510773</v>
      </c>
      <c r="T74" s="213">
        <f t="shared" si="20"/>
        <v>-2764.6128223037026</v>
      </c>
      <c r="U74" s="213">
        <f t="shared" si="20"/>
        <v>-2779.0821984123213</v>
      </c>
      <c r="V74" s="213">
        <f t="shared" si="20"/>
        <v>-2793.5517507868403</v>
      </c>
      <c r="W74" s="213">
        <f t="shared" si="20"/>
        <v>-2808.0207655270797</v>
      </c>
      <c r="X74" s="58">
        <f t="shared" si="20"/>
        <v>-2822.4885312085485</v>
      </c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</row>
    <row r="75" spans="1:77" ht="29" customHeight="1">
      <c r="B75" s="15"/>
      <c r="C75" s="212" t="s">
        <v>40</v>
      </c>
      <c r="D75" s="194"/>
      <c r="E75" s="213" t="s">
        <v>53</v>
      </c>
      <c r="F75" s="213" t="s">
        <v>53</v>
      </c>
      <c r="G75" s="213" t="s">
        <v>53</v>
      </c>
      <c r="H75" s="213">
        <f t="shared" ref="H75:X75" si="21">+H68/(-H69-H91)</f>
        <v>213.65989087472909</v>
      </c>
      <c r="I75" s="213">
        <f t="shared" si="21"/>
        <v>-232.01115635301875</v>
      </c>
      <c r="J75" s="213">
        <f t="shared" si="21"/>
        <v>-766.34078968896381</v>
      </c>
      <c r="K75" s="213">
        <f t="shared" si="21"/>
        <v>-703.25247034212418</v>
      </c>
      <c r="L75" s="213">
        <f t="shared" si="21"/>
        <v>-2649.1494494099916</v>
      </c>
      <c r="M75" s="213">
        <f t="shared" si="21"/>
        <v>-2663.4592055997573</v>
      </c>
      <c r="N75" s="213">
        <f t="shared" si="21"/>
        <v>-2677.840510570476</v>
      </c>
      <c r="O75" s="213">
        <f t="shared" si="21"/>
        <v>-2692.2937220660474</v>
      </c>
      <c r="P75" s="213">
        <f t="shared" si="21"/>
        <v>-2706.751434750523</v>
      </c>
      <c r="Q75" s="213">
        <f t="shared" si="21"/>
        <v>-2721.2129238022617</v>
      </c>
      <c r="R75" s="213">
        <f t="shared" si="21"/>
        <v>-2735.6774657476903</v>
      </c>
      <c r="S75" s="213">
        <f t="shared" si="21"/>
        <v>-2750.1443386510773</v>
      </c>
      <c r="T75" s="213">
        <f t="shared" si="21"/>
        <v>-2764.6128223037026</v>
      </c>
      <c r="U75" s="213">
        <f t="shared" si="21"/>
        <v>-2779.0821984123213</v>
      </c>
      <c r="V75" s="213">
        <f t="shared" si="21"/>
        <v>-2793.5517507868403</v>
      </c>
      <c r="W75" s="213">
        <f t="shared" si="21"/>
        <v>-2808.0207655270797</v>
      </c>
      <c r="X75" s="58">
        <f t="shared" si="21"/>
        <v>-2822.4885312085485</v>
      </c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</row>
    <row r="76" spans="1:77" ht="29" customHeight="1">
      <c r="B76" s="15"/>
      <c r="C76" s="194" t="s">
        <v>54</v>
      </c>
      <c r="D76" s="194"/>
      <c r="E76" s="214" t="s">
        <v>53</v>
      </c>
      <c r="F76" s="214" t="s">
        <v>53</v>
      </c>
      <c r="G76" s="214" t="s">
        <v>53</v>
      </c>
      <c r="H76" s="215">
        <f t="shared" ref="H76:X76" si="22">H68/H58</f>
        <v>-0.24256564561351432</v>
      </c>
      <c r="I76" s="215">
        <f t="shared" si="22"/>
        <v>0.10859216938005967</v>
      </c>
      <c r="J76" s="215">
        <f t="shared" si="22"/>
        <v>0.37102818552249339</v>
      </c>
      <c r="K76" s="215">
        <f t="shared" si="22"/>
        <v>0.57843412101681801</v>
      </c>
      <c r="L76" s="215">
        <f t="shared" si="22"/>
        <v>0.92564450933970688</v>
      </c>
      <c r="M76" s="215">
        <f t="shared" si="22"/>
        <v>0.92601443715393716</v>
      </c>
      <c r="N76" s="215">
        <f t="shared" si="22"/>
        <v>0.92638252453128078</v>
      </c>
      <c r="O76" s="215">
        <f t="shared" si="22"/>
        <v>0.92674878062814003</v>
      </c>
      <c r="P76" s="215">
        <f t="shared" si="22"/>
        <v>0.92711321455584372</v>
      </c>
      <c r="Q76" s="215">
        <f t="shared" si="22"/>
        <v>0.9274758353799003</v>
      </c>
      <c r="R76" s="215">
        <f t="shared" si="22"/>
        <v>0.92783665212071653</v>
      </c>
      <c r="S76" s="215">
        <f t="shared" si="22"/>
        <v>0.92819567375382184</v>
      </c>
      <c r="T76" s="215">
        <f t="shared" si="22"/>
        <v>0.92855290921009115</v>
      </c>
      <c r="U76" s="215">
        <f t="shared" si="22"/>
        <v>0.92890836737596738</v>
      </c>
      <c r="V76" s="215">
        <f t="shared" si="22"/>
        <v>0.92926205709368237</v>
      </c>
      <c r="W76" s="215">
        <f t="shared" si="22"/>
        <v>0.92961398716147714</v>
      </c>
      <c r="X76" s="56">
        <f t="shared" si="22"/>
        <v>0.92996416633382029</v>
      </c>
    </row>
    <row r="77" spans="1:77" ht="29" customHeight="1">
      <c r="B77" s="15"/>
      <c r="C77" s="194"/>
      <c r="D77" s="194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37"/>
    </row>
    <row r="78" spans="1:77" s="8" customFormat="1" ht="29" customHeight="1" thickBot="1">
      <c r="A78" s="2"/>
      <c r="B78" s="29"/>
      <c r="C78" s="28" t="s">
        <v>17</v>
      </c>
      <c r="D78" s="27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5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1:77" ht="29" customHeight="1">
      <c r="B79" s="15"/>
      <c r="C79" s="194" t="s">
        <v>18</v>
      </c>
      <c r="D79" s="194"/>
      <c r="E79" s="217">
        <v>0</v>
      </c>
      <c r="F79" s="217">
        <f t="shared" ref="F79:X79" si="23">E86</f>
        <v>337529.9421083834</v>
      </c>
      <c r="G79" s="217">
        <f t="shared" si="23"/>
        <v>174280.54095055108</v>
      </c>
      <c r="H79" s="217">
        <f t="shared" si="23"/>
        <v>7766.1517695621005</v>
      </c>
      <c r="I79" s="217">
        <f t="shared" si="23"/>
        <v>4463.0537938987763</v>
      </c>
      <c r="J79" s="217">
        <f t="shared" si="23"/>
        <v>6542.936444662937</v>
      </c>
      <c r="K79" s="217">
        <f t="shared" si="23"/>
        <v>16584.260481327656</v>
      </c>
      <c r="L79" s="217">
        <f t="shared" si="23"/>
        <v>39943.273306872172</v>
      </c>
      <c r="M79" s="217">
        <f t="shared" si="23"/>
        <v>39943.27330687223</v>
      </c>
      <c r="N79" s="217">
        <f t="shared" si="23"/>
        <v>39943.27330687223</v>
      </c>
      <c r="O79" s="217">
        <f t="shared" si="23"/>
        <v>39943.27330687223</v>
      </c>
      <c r="P79" s="217">
        <f t="shared" si="23"/>
        <v>39944.27330687223</v>
      </c>
      <c r="Q79" s="217">
        <f t="shared" si="23"/>
        <v>39946.27330687223</v>
      </c>
      <c r="R79" s="217">
        <f t="shared" si="23"/>
        <v>39949.27330687223</v>
      </c>
      <c r="S79" s="217">
        <f t="shared" si="23"/>
        <v>39953.27330687223</v>
      </c>
      <c r="T79" s="217">
        <f t="shared" si="23"/>
        <v>39958.27330687223</v>
      </c>
      <c r="U79" s="217">
        <f t="shared" si="23"/>
        <v>39964.27330687223</v>
      </c>
      <c r="V79" s="217">
        <f t="shared" si="23"/>
        <v>39971.27330687223</v>
      </c>
      <c r="W79" s="217">
        <f t="shared" si="23"/>
        <v>39979.27330687223</v>
      </c>
      <c r="X79" s="46">
        <f t="shared" si="23"/>
        <v>39988.27330687223</v>
      </c>
    </row>
    <row r="80" spans="1:77" ht="29" customHeight="1">
      <c r="B80" s="15"/>
      <c r="C80" s="194" t="s">
        <v>19</v>
      </c>
      <c r="D80" s="194"/>
      <c r="E80" s="218">
        <f>$D$38</f>
        <v>10000000</v>
      </c>
      <c r="F80" s="218">
        <v>0</v>
      </c>
      <c r="G80" s="218">
        <v>0</v>
      </c>
      <c r="H80" s="218">
        <v>0</v>
      </c>
      <c r="I80" s="218">
        <v>0</v>
      </c>
      <c r="J80" s="218">
        <v>0</v>
      </c>
      <c r="K80" s="218">
        <v>0</v>
      </c>
      <c r="L80" s="218">
        <v>0</v>
      </c>
      <c r="M80" s="218">
        <v>0</v>
      </c>
      <c r="N80" s="218">
        <v>0</v>
      </c>
      <c r="O80" s="218">
        <v>1</v>
      </c>
      <c r="P80" s="218">
        <v>2</v>
      </c>
      <c r="Q80" s="218">
        <v>3</v>
      </c>
      <c r="R80" s="218">
        <v>4</v>
      </c>
      <c r="S80" s="218">
        <v>5</v>
      </c>
      <c r="T80" s="218">
        <v>6</v>
      </c>
      <c r="U80" s="218">
        <v>7</v>
      </c>
      <c r="V80" s="218">
        <v>8</v>
      </c>
      <c r="W80" s="218">
        <v>9</v>
      </c>
      <c r="X80" s="50">
        <v>10</v>
      </c>
    </row>
    <row r="81" spans="1:77" ht="29" customHeight="1">
      <c r="B81" s="15"/>
      <c r="C81" s="194" t="s">
        <v>55</v>
      </c>
      <c r="D81" s="194"/>
      <c r="E81" s="218">
        <f t="shared" ref="E81:X81" si="24">E90</f>
        <v>0</v>
      </c>
      <c r="F81" s="218">
        <f t="shared" si="24"/>
        <v>0</v>
      </c>
      <c r="G81" s="218">
        <f t="shared" si="24"/>
        <v>0</v>
      </c>
      <c r="H81" s="218">
        <f t="shared" si="24"/>
        <v>0</v>
      </c>
      <c r="I81" s="218">
        <f t="shared" si="24"/>
        <v>0</v>
      </c>
      <c r="J81" s="218">
        <f t="shared" si="24"/>
        <v>0</v>
      </c>
      <c r="K81" s="218">
        <f t="shared" si="24"/>
        <v>0</v>
      </c>
      <c r="L81" s="218">
        <f t="shared" si="24"/>
        <v>0</v>
      </c>
      <c r="M81" s="218">
        <f t="shared" si="24"/>
        <v>0</v>
      </c>
      <c r="N81" s="218">
        <f t="shared" si="24"/>
        <v>0</v>
      </c>
      <c r="O81" s="218">
        <f t="shared" si="24"/>
        <v>0</v>
      </c>
      <c r="P81" s="218">
        <f t="shared" si="24"/>
        <v>0</v>
      </c>
      <c r="Q81" s="218">
        <f t="shared" si="24"/>
        <v>0</v>
      </c>
      <c r="R81" s="218">
        <f t="shared" si="24"/>
        <v>0</v>
      </c>
      <c r="S81" s="218">
        <f t="shared" si="24"/>
        <v>0</v>
      </c>
      <c r="T81" s="218">
        <f t="shared" si="24"/>
        <v>0</v>
      </c>
      <c r="U81" s="218">
        <f t="shared" si="24"/>
        <v>0</v>
      </c>
      <c r="V81" s="218">
        <f t="shared" si="24"/>
        <v>0</v>
      </c>
      <c r="W81" s="218">
        <f t="shared" si="24"/>
        <v>0</v>
      </c>
      <c r="X81" s="50">
        <f t="shared" si="24"/>
        <v>0</v>
      </c>
    </row>
    <row r="82" spans="1:77" ht="29" customHeight="1">
      <c r="B82" s="15"/>
      <c r="C82" s="194" t="s">
        <v>21</v>
      </c>
      <c r="D82" s="194"/>
      <c r="E82" s="218">
        <f>-E100</f>
        <v>-9492470.0578916166</v>
      </c>
      <c r="F82" s="218">
        <f t="shared" ref="F82:X82" si="25">-F100+F96</f>
        <v>0</v>
      </c>
      <c r="G82" s="218">
        <f t="shared" si="25"/>
        <v>0</v>
      </c>
      <c r="H82" s="218">
        <f t="shared" si="25"/>
        <v>0</v>
      </c>
      <c r="I82" s="218">
        <f t="shared" si="25"/>
        <v>0</v>
      </c>
      <c r="J82" s="218">
        <f t="shared" si="25"/>
        <v>0</v>
      </c>
      <c r="K82" s="218">
        <f t="shared" si="25"/>
        <v>0</v>
      </c>
      <c r="L82" s="218">
        <f t="shared" si="25"/>
        <v>0</v>
      </c>
      <c r="M82" s="218">
        <f t="shared" si="25"/>
        <v>0</v>
      </c>
      <c r="N82" s="218">
        <f t="shared" si="25"/>
        <v>0</v>
      </c>
      <c r="O82" s="218">
        <f t="shared" si="25"/>
        <v>0</v>
      </c>
      <c r="P82" s="218">
        <f t="shared" si="25"/>
        <v>0</v>
      </c>
      <c r="Q82" s="218">
        <f t="shared" si="25"/>
        <v>0</v>
      </c>
      <c r="R82" s="218">
        <f t="shared" si="25"/>
        <v>0</v>
      </c>
      <c r="S82" s="218">
        <f t="shared" si="25"/>
        <v>0</v>
      </c>
      <c r="T82" s="218">
        <f t="shared" si="25"/>
        <v>0</v>
      </c>
      <c r="U82" s="218">
        <f t="shared" si="25"/>
        <v>0</v>
      </c>
      <c r="V82" s="218">
        <f t="shared" si="25"/>
        <v>0</v>
      </c>
      <c r="W82" s="218">
        <f t="shared" si="25"/>
        <v>0</v>
      </c>
      <c r="X82" s="50">
        <f t="shared" si="25"/>
        <v>0</v>
      </c>
    </row>
    <row r="83" spans="1:77" ht="29" customHeight="1">
      <c r="B83" s="15"/>
      <c r="C83" s="194" t="s">
        <v>29</v>
      </c>
      <c r="D83" s="194"/>
      <c r="E83" s="218">
        <f t="shared" ref="E83:X83" si="26">E91</f>
        <v>0</v>
      </c>
      <c r="F83" s="218">
        <f t="shared" si="26"/>
        <v>0</v>
      </c>
      <c r="G83" s="218">
        <f t="shared" si="26"/>
        <v>0</v>
      </c>
      <c r="H83" s="218">
        <f t="shared" si="26"/>
        <v>0</v>
      </c>
      <c r="I83" s="218">
        <f t="shared" si="26"/>
        <v>0</v>
      </c>
      <c r="J83" s="218">
        <f t="shared" si="26"/>
        <v>0</v>
      </c>
      <c r="K83" s="218">
        <f t="shared" si="26"/>
        <v>0</v>
      </c>
      <c r="L83" s="218">
        <f t="shared" si="26"/>
        <v>0</v>
      </c>
      <c r="M83" s="218">
        <f t="shared" si="26"/>
        <v>0</v>
      </c>
      <c r="N83" s="218">
        <f t="shared" si="26"/>
        <v>0</v>
      </c>
      <c r="O83" s="218">
        <f t="shared" si="26"/>
        <v>0</v>
      </c>
      <c r="P83" s="218">
        <f t="shared" si="26"/>
        <v>0</v>
      </c>
      <c r="Q83" s="218">
        <f t="shared" si="26"/>
        <v>0</v>
      </c>
      <c r="R83" s="218">
        <f t="shared" si="26"/>
        <v>0</v>
      </c>
      <c r="S83" s="218">
        <f t="shared" si="26"/>
        <v>0</v>
      </c>
      <c r="T83" s="218">
        <f t="shared" si="26"/>
        <v>0</v>
      </c>
      <c r="U83" s="218">
        <f t="shared" si="26"/>
        <v>0</v>
      </c>
      <c r="V83" s="218">
        <f t="shared" si="26"/>
        <v>0</v>
      </c>
      <c r="W83" s="218">
        <f t="shared" si="26"/>
        <v>0</v>
      </c>
      <c r="X83" s="50">
        <f t="shared" si="26"/>
        <v>0</v>
      </c>
    </row>
    <row r="84" spans="1:77" ht="29" customHeight="1">
      <c r="B84" s="15"/>
      <c r="C84" s="194" t="s">
        <v>36</v>
      </c>
      <c r="D84" s="194"/>
      <c r="E84" s="218">
        <f t="shared" ref="E84:X84" si="27">-E120</f>
        <v>0</v>
      </c>
      <c r="F84" s="218">
        <f t="shared" si="27"/>
        <v>0</v>
      </c>
      <c r="G84" s="218">
        <f t="shared" si="27"/>
        <v>0</v>
      </c>
      <c r="H84" s="218">
        <f t="shared" si="27"/>
        <v>29727.881780969885</v>
      </c>
      <c r="I84" s="218">
        <f t="shared" si="27"/>
        <v>-18718.943856877464</v>
      </c>
      <c r="J84" s="218">
        <f t="shared" si="27"/>
        <v>-90371.916329982458</v>
      </c>
      <c r="K84" s="218">
        <f t="shared" si="27"/>
        <v>-210231.11542990082</v>
      </c>
      <c r="L84" s="218">
        <f t="shared" si="27"/>
        <v>-2117112.8752368023</v>
      </c>
      <c r="M84" s="218">
        <f t="shared" si="27"/>
        <v>-2128544.4452856556</v>
      </c>
      <c r="N84" s="218">
        <f t="shared" si="27"/>
        <v>-2140033.1731847534</v>
      </c>
      <c r="O84" s="218">
        <f t="shared" si="27"/>
        <v>-2151579.3447233462</v>
      </c>
      <c r="P84" s="218">
        <f t="shared" si="27"/>
        <v>-2163183.2671350059</v>
      </c>
      <c r="Q84" s="218">
        <f t="shared" si="27"/>
        <v>-2174845.2290740977</v>
      </c>
      <c r="R84" s="218">
        <f t="shared" si="27"/>
        <v>-2186565.5206382591</v>
      </c>
      <c r="S84" s="218">
        <f t="shared" si="27"/>
        <v>-2198344.4333756152</v>
      </c>
      <c r="T84" s="218">
        <f t="shared" si="27"/>
        <v>-2210182.2602920318</v>
      </c>
      <c r="U84" s="218">
        <f t="shared" si="27"/>
        <v>-2222079.2958584037</v>
      </c>
      <c r="V84" s="218">
        <f t="shared" si="27"/>
        <v>-2234035.8360179816</v>
      </c>
      <c r="W84" s="218">
        <f t="shared" si="27"/>
        <v>-2246052.1781937317</v>
      </c>
      <c r="X84" s="50">
        <f t="shared" si="27"/>
        <v>-2258128.6212957334</v>
      </c>
    </row>
    <row r="85" spans="1:77" ht="29" customHeight="1">
      <c r="B85" s="15"/>
      <c r="C85" s="194" t="str">
        <f>+C72</f>
        <v>Funding from operations</v>
      </c>
      <c r="D85" s="194"/>
      <c r="E85" s="218">
        <f t="shared" ref="E85:X85" si="28">E72</f>
        <v>-170000</v>
      </c>
      <c r="F85" s="218">
        <f t="shared" si="28"/>
        <v>-163249.40115783233</v>
      </c>
      <c r="G85" s="218">
        <f t="shared" si="28"/>
        <v>-166514.38918098898</v>
      </c>
      <c r="H85" s="218">
        <f t="shared" si="28"/>
        <v>-33030.979756633205</v>
      </c>
      <c r="I85" s="218">
        <f t="shared" si="28"/>
        <v>20798.826507641625</v>
      </c>
      <c r="J85" s="218">
        <f t="shared" si="28"/>
        <v>100413.24036664718</v>
      </c>
      <c r="K85" s="218">
        <f t="shared" si="28"/>
        <v>233590.12825544534</v>
      </c>
      <c r="L85" s="218">
        <f t="shared" si="28"/>
        <v>2117112.8752368023</v>
      </c>
      <c r="M85" s="218">
        <f t="shared" si="28"/>
        <v>2128544.4452856556</v>
      </c>
      <c r="N85" s="218">
        <f t="shared" si="28"/>
        <v>2140033.1731847534</v>
      </c>
      <c r="O85" s="218">
        <f t="shared" si="28"/>
        <v>2151579.3447233462</v>
      </c>
      <c r="P85" s="218">
        <f t="shared" si="28"/>
        <v>2163183.2671350059</v>
      </c>
      <c r="Q85" s="218">
        <f t="shared" si="28"/>
        <v>2174845.2290740977</v>
      </c>
      <c r="R85" s="218">
        <f t="shared" si="28"/>
        <v>2186565.5206382591</v>
      </c>
      <c r="S85" s="218">
        <f t="shared" si="28"/>
        <v>2198344.4333756152</v>
      </c>
      <c r="T85" s="218">
        <f t="shared" si="28"/>
        <v>2210182.2602920318</v>
      </c>
      <c r="U85" s="218">
        <f t="shared" si="28"/>
        <v>2222079.2958584037</v>
      </c>
      <c r="V85" s="218">
        <f t="shared" si="28"/>
        <v>2234035.8360179816</v>
      </c>
      <c r="W85" s="218">
        <f t="shared" si="28"/>
        <v>2246052.1781937317</v>
      </c>
      <c r="X85" s="50">
        <f t="shared" si="28"/>
        <v>2258128.6212957334</v>
      </c>
    </row>
    <row r="86" spans="1:77" ht="29" customHeight="1">
      <c r="B86" s="15"/>
      <c r="C86" s="49" t="s">
        <v>20</v>
      </c>
      <c r="D86" s="49"/>
      <c r="E86" s="48">
        <f t="shared" ref="E86:X86" si="29">SUM(E79:E85)</f>
        <v>337529.9421083834</v>
      </c>
      <c r="F86" s="48">
        <f t="shared" si="29"/>
        <v>174280.54095055108</v>
      </c>
      <c r="G86" s="48">
        <f t="shared" si="29"/>
        <v>7766.1517695621005</v>
      </c>
      <c r="H86" s="48">
        <f t="shared" si="29"/>
        <v>4463.0537938987763</v>
      </c>
      <c r="I86" s="48">
        <f t="shared" si="29"/>
        <v>6542.936444662937</v>
      </c>
      <c r="J86" s="48">
        <f t="shared" si="29"/>
        <v>16584.260481327656</v>
      </c>
      <c r="K86" s="48">
        <f t="shared" si="29"/>
        <v>39943.273306872172</v>
      </c>
      <c r="L86" s="48">
        <f t="shared" si="29"/>
        <v>39943.27330687223</v>
      </c>
      <c r="M86" s="48">
        <f t="shared" si="29"/>
        <v>39943.27330687223</v>
      </c>
      <c r="N86" s="48">
        <f t="shared" si="29"/>
        <v>39943.27330687223</v>
      </c>
      <c r="O86" s="48">
        <f t="shared" si="29"/>
        <v>39944.27330687223</v>
      </c>
      <c r="P86" s="48">
        <f t="shared" si="29"/>
        <v>39946.27330687223</v>
      </c>
      <c r="Q86" s="48">
        <f t="shared" si="29"/>
        <v>39949.27330687223</v>
      </c>
      <c r="R86" s="48">
        <f t="shared" si="29"/>
        <v>39953.27330687223</v>
      </c>
      <c r="S86" s="48">
        <f t="shared" si="29"/>
        <v>39958.27330687223</v>
      </c>
      <c r="T86" s="48">
        <f t="shared" si="29"/>
        <v>39964.27330687223</v>
      </c>
      <c r="U86" s="48">
        <f t="shared" si="29"/>
        <v>39971.27330687223</v>
      </c>
      <c r="V86" s="48">
        <f t="shared" si="29"/>
        <v>39979.27330687223</v>
      </c>
      <c r="W86" s="48">
        <f t="shared" si="29"/>
        <v>39988.27330687223</v>
      </c>
      <c r="X86" s="47">
        <f t="shared" si="29"/>
        <v>39998.27330687223</v>
      </c>
    </row>
    <row r="87" spans="1:77" ht="29" customHeight="1">
      <c r="B87" s="15"/>
      <c r="C87" s="194"/>
      <c r="D87" s="194"/>
      <c r="E87" s="216"/>
      <c r="F87" s="216"/>
      <c r="G87" s="55"/>
      <c r="H87" s="216"/>
      <c r="I87" s="216"/>
      <c r="J87" s="216"/>
      <c r="K87" s="216"/>
      <c r="L87" s="216"/>
      <c r="M87" s="216"/>
      <c r="N87" s="216"/>
      <c r="O87" s="216"/>
      <c r="P87" s="216"/>
      <c r="Q87" s="216"/>
      <c r="R87" s="216"/>
      <c r="S87" s="216"/>
      <c r="T87" s="216"/>
      <c r="U87" s="216"/>
      <c r="V87" s="216"/>
      <c r="W87" s="216"/>
      <c r="X87" s="37"/>
    </row>
    <row r="88" spans="1:77" s="8" customFormat="1" ht="29" customHeight="1" thickBot="1">
      <c r="A88" s="2"/>
      <c r="B88" s="29"/>
      <c r="C88" s="28" t="s">
        <v>41</v>
      </c>
      <c r="D88" s="27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5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1:77" ht="29" customHeight="1">
      <c r="B89" s="15"/>
      <c r="C89" s="194" t="s">
        <v>22</v>
      </c>
      <c r="D89" s="194"/>
      <c r="E89" s="45">
        <v>0</v>
      </c>
      <c r="F89" s="45">
        <f t="shared" ref="F89:X89" si="30">E92</f>
        <v>0</v>
      </c>
      <c r="G89" s="45">
        <f t="shared" si="30"/>
        <v>0</v>
      </c>
      <c r="H89" s="45">
        <f t="shared" si="30"/>
        <v>0</v>
      </c>
      <c r="I89" s="45">
        <f t="shared" si="30"/>
        <v>0</v>
      </c>
      <c r="J89" s="45">
        <f t="shared" si="30"/>
        <v>0</v>
      </c>
      <c r="K89" s="45">
        <f t="shared" si="30"/>
        <v>0</v>
      </c>
      <c r="L89" s="45">
        <f t="shared" si="30"/>
        <v>0</v>
      </c>
      <c r="M89" s="45">
        <f t="shared" si="30"/>
        <v>0</v>
      </c>
      <c r="N89" s="45">
        <f t="shared" si="30"/>
        <v>0</v>
      </c>
      <c r="O89" s="45">
        <f t="shared" si="30"/>
        <v>0</v>
      </c>
      <c r="P89" s="45">
        <f t="shared" si="30"/>
        <v>0</v>
      </c>
      <c r="Q89" s="45">
        <f t="shared" si="30"/>
        <v>0</v>
      </c>
      <c r="R89" s="45">
        <f t="shared" si="30"/>
        <v>0</v>
      </c>
      <c r="S89" s="45">
        <f t="shared" si="30"/>
        <v>0</v>
      </c>
      <c r="T89" s="45">
        <f t="shared" si="30"/>
        <v>0</v>
      </c>
      <c r="U89" s="45">
        <f t="shared" si="30"/>
        <v>0</v>
      </c>
      <c r="V89" s="45">
        <f t="shared" si="30"/>
        <v>0</v>
      </c>
      <c r="W89" s="45">
        <f t="shared" si="30"/>
        <v>0</v>
      </c>
      <c r="X89" s="44">
        <f t="shared" si="30"/>
        <v>0</v>
      </c>
    </row>
    <row r="90" spans="1:77" ht="29" customHeight="1">
      <c r="B90" s="15"/>
      <c r="C90" s="194" t="s">
        <v>23</v>
      </c>
      <c r="D90" s="194"/>
      <c r="E90" s="218">
        <v>0</v>
      </c>
      <c r="F90" s="218">
        <v>0</v>
      </c>
      <c r="G90" s="218">
        <v>0</v>
      </c>
      <c r="H90" s="218">
        <f>+E48/2</f>
        <v>0</v>
      </c>
      <c r="I90" s="218">
        <f>+E48/2</f>
        <v>0</v>
      </c>
      <c r="J90" s="218">
        <f>+E49/2</f>
        <v>0</v>
      </c>
      <c r="K90" s="218">
        <v>0</v>
      </c>
      <c r="L90" s="218">
        <v>0</v>
      </c>
      <c r="M90" s="218">
        <f t="shared" ref="M90:X90" si="31">SUM(M97:M99)</f>
        <v>0</v>
      </c>
      <c r="N90" s="218">
        <f t="shared" si="31"/>
        <v>0</v>
      </c>
      <c r="O90" s="218">
        <f t="shared" si="31"/>
        <v>0</v>
      </c>
      <c r="P90" s="218">
        <f t="shared" si="31"/>
        <v>0</v>
      </c>
      <c r="Q90" s="218">
        <f t="shared" si="31"/>
        <v>0</v>
      </c>
      <c r="R90" s="218">
        <f t="shared" si="31"/>
        <v>0</v>
      </c>
      <c r="S90" s="218">
        <f t="shared" si="31"/>
        <v>0</v>
      </c>
      <c r="T90" s="218">
        <f t="shared" si="31"/>
        <v>0</v>
      </c>
      <c r="U90" s="218">
        <f t="shared" si="31"/>
        <v>0</v>
      </c>
      <c r="V90" s="218">
        <f t="shared" si="31"/>
        <v>0</v>
      </c>
      <c r="W90" s="218">
        <f t="shared" si="31"/>
        <v>0</v>
      </c>
      <c r="X90" s="50">
        <f t="shared" si="31"/>
        <v>0</v>
      </c>
    </row>
    <row r="91" spans="1:77" ht="29" customHeight="1">
      <c r="B91" s="15"/>
      <c r="C91" s="194" t="s">
        <v>24</v>
      </c>
      <c r="D91" s="194"/>
      <c r="E91" s="218">
        <v>0</v>
      </c>
      <c r="F91" s="218">
        <v>0</v>
      </c>
      <c r="G91" s="218">
        <v>0</v>
      </c>
      <c r="H91" s="218">
        <v>0</v>
      </c>
      <c r="I91" s="200"/>
      <c r="J91" s="200"/>
      <c r="K91" s="200"/>
      <c r="L91" s="200">
        <f t="shared" ref="L91:X91" si="32">-L72*$D31</f>
        <v>0</v>
      </c>
      <c r="M91" s="200">
        <f t="shared" si="32"/>
        <v>0</v>
      </c>
      <c r="N91" s="200">
        <f t="shared" si="32"/>
        <v>0</v>
      </c>
      <c r="O91" s="200">
        <f t="shared" si="32"/>
        <v>0</v>
      </c>
      <c r="P91" s="200">
        <f t="shared" si="32"/>
        <v>0</v>
      </c>
      <c r="Q91" s="200">
        <f t="shared" si="32"/>
        <v>0</v>
      </c>
      <c r="R91" s="200">
        <f t="shared" si="32"/>
        <v>0</v>
      </c>
      <c r="S91" s="200">
        <f t="shared" si="32"/>
        <v>0</v>
      </c>
      <c r="T91" s="200">
        <f t="shared" si="32"/>
        <v>0</v>
      </c>
      <c r="U91" s="200">
        <f t="shared" si="32"/>
        <v>0</v>
      </c>
      <c r="V91" s="200">
        <f t="shared" si="32"/>
        <v>0</v>
      </c>
      <c r="W91" s="200">
        <f t="shared" si="32"/>
        <v>0</v>
      </c>
      <c r="X91" s="54">
        <f t="shared" si="32"/>
        <v>0</v>
      </c>
    </row>
    <row r="92" spans="1:77" s="51" customFormat="1" ht="29" customHeight="1">
      <c r="A92" s="2"/>
      <c r="B92" s="53"/>
      <c r="C92" s="52" t="s">
        <v>25</v>
      </c>
      <c r="D92" s="52"/>
      <c r="E92" s="48">
        <f t="shared" ref="E92:X92" si="33">SUM(E89:E91)</f>
        <v>0</v>
      </c>
      <c r="F92" s="48">
        <f t="shared" si="33"/>
        <v>0</v>
      </c>
      <c r="G92" s="48">
        <f t="shared" si="33"/>
        <v>0</v>
      </c>
      <c r="H92" s="48">
        <f t="shared" si="33"/>
        <v>0</v>
      </c>
      <c r="I92" s="48">
        <f t="shared" si="33"/>
        <v>0</v>
      </c>
      <c r="J92" s="48">
        <f t="shared" si="33"/>
        <v>0</v>
      </c>
      <c r="K92" s="48">
        <f t="shared" si="33"/>
        <v>0</v>
      </c>
      <c r="L92" s="48">
        <f t="shared" si="33"/>
        <v>0</v>
      </c>
      <c r="M92" s="48">
        <f t="shared" si="33"/>
        <v>0</v>
      </c>
      <c r="N92" s="48">
        <f t="shared" si="33"/>
        <v>0</v>
      </c>
      <c r="O92" s="48">
        <f t="shared" si="33"/>
        <v>0</v>
      </c>
      <c r="P92" s="48">
        <f t="shared" si="33"/>
        <v>0</v>
      </c>
      <c r="Q92" s="48">
        <f t="shared" si="33"/>
        <v>0</v>
      </c>
      <c r="R92" s="48">
        <f t="shared" si="33"/>
        <v>0</v>
      </c>
      <c r="S92" s="48">
        <f t="shared" si="33"/>
        <v>0</v>
      </c>
      <c r="T92" s="48">
        <f t="shared" si="33"/>
        <v>0</v>
      </c>
      <c r="U92" s="48">
        <f t="shared" si="33"/>
        <v>0</v>
      </c>
      <c r="V92" s="48">
        <f t="shared" si="33"/>
        <v>0</v>
      </c>
      <c r="W92" s="48">
        <f t="shared" si="33"/>
        <v>0</v>
      </c>
      <c r="X92" s="44">
        <f t="shared" si="33"/>
        <v>0</v>
      </c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1:77" ht="29" customHeight="1">
      <c r="B93" s="15"/>
      <c r="C93" s="194"/>
      <c r="D93" s="194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4"/>
    </row>
    <row r="94" spans="1:77" ht="29" customHeight="1">
      <c r="B94" s="15"/>
      <c r="C94" s="194"/>
      <c r="D94" s="194"/>
      <c r="E94" s="216"/>
      <c r="F94" s="216"/>
      <c r="G94" s="216"/>
      <c r="H94" s="216"/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37"/>
    </row>
    <row r="95" spans="1:77" s="8" customFormat="1" ht="29" customHeight="1" thickBot="1">
      <c r="A95" s="2"/>
      <c r="B95" s="29"/>
      <c r="C95" s="28" t="s">
        <v>30</v>
      </c>
      <c r="D95" s="27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5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1:77" ht="29" customHeight="1">
      <c r="B96" s="15"/>
      <c r="C96" s="194" t="s">
        <v>26</v>
      </c>
      <c r="D96" s="194"/>
      <c r="E96" s="218">
        <f>($D$43/100)*'[1]PCLP 1_250M'!E115</f>
        <v>9492470.0578916166</v>
      </c>
      <c r="F96" s="218">
        <f>($D$43/100)*'[1]PCLP 1_250M'!F115</f>
        <v>9513938.0097526405</v>
      </c>
      <c r="G96" s="218">
        <f>($D$43/100)*'[1]PCLP 1_250M'!G115</f>
        <v>9506782.2733219601</v>
      </c>
      <c r="H96" s="218">
        <f>($D$43/100)*'[1]PCLP 1_250M'!H115</f>
        <v>12647136.570276735</v>
      </c>
      <c r="I96" s="218">
        <f>($D$43/100)*'[1]PCLP 1_250M'!I115</f>
        <v>12668326.521991376</v>
      </c>
      <c r="J96" s="218">
        <f>($D$43/100)*'[1]PCLP 1_250M'!J115</f>
        <v>20585461.146117814</v>
      </c>
      <c r="K96" s="218">
        <f>($D$43/100)*'[1]PCLP 1_250M'!K115</f>
        <v>20630267.639789578</v>
      </c>
      <c r="L96" s="218">
        <f>($D$43/100)*'[1]PCLP 1_250M'!L115</f>
        <v>36095144.508799843</v>
      </c>
      <c r="M96" s="218">
        <f>($D$43/100)*'[1]PCLP 1_250M'!M115</f>
        <v>36350449.573224239</v>
      </c>
      <c r="N96" s="218">
        <f>($D$43/100)*'[1]PCLP 1_250M'!N115</f>
        <v>36607031.162970744</v>
      </c>
      <c r="O96" s="218">
        <f>($D$43/100)*'[1]PCLP 1_250M'!O115</f>
        <v>42987413.262266777</v>
      </c>
      <c r="P96" s="218">
        <f>($D$43/100)*'[1]PCLP 1_250M'!P115</f>
        <v>43246567.082452208</v>
      </c>
      <c r="Q96" s="218">
        <f>($D$43/100)*'[1]PCLP 1_250M'!Q115</f>
        <v>43507016.671741985</v>
      </c>
      <c r="R96" s="218">
        <f>($D$43/100)*'[1]PCLP 1_250M'!R115</f>
        <v>43768768.508983329</v>
      </c>
      <c r="S96" s="218">
        <f>($D$43/100)*'[1]PCLP 1_250M'!S115</f>
        <v>44031829.105417714</v>
      </c>
      <c r="T96" s="218">
        <f>($D$43/100)*'[1]PCLP 1_250M'!T115</f>
        <v>44296205.00484281</v>
      </c>
      <c r="U96" s="218">
        <f>($D$43/100)*'[1]PCLP 1_250M'!U115</f>
        <v>44561902.783775292</v>
      </c>
      <c r="V96" s="218">
        <f>($D$43/100)*'[1]PCLP 1_250M'!V115</f>
        <v>44828929.051614381</v>
      </c>
      <c r="W96" s="218">
        <f>($D$43/100)*'[1]PCLP 1_250M'!W115</f>
        <v>45097290.450806335</v>
      </c>
      <c r="X96" s="50">
        <f>($D$43/100)*'[1]PCLP 1_250M'!X115</f>
        <v>45366993.657009624</v>
      </c>
    </row>
    <row r="97" spans="1:77" ht="29" customHeight="1">
      <c r="B97" s="15"/>
      <c r="C97" s="194" t="str">
        <f>+C6</f>
        <v>Phase 1 - initial funding for capital assets</v>
      </c>
      <c r="D97" s="194"/>
      <c r="E97" s="218">
        <v>0</v>
      </c>
      <c r="F97" s="218">
        <v>0</v>
      </c>
      <c r="G97" s="218">
        <v>0</v>
      </c>
      <c r="H97" s="218">
        <v>0</v>
      </c>
      <c r="I97" s="218">
        <v>0</v>
      </c>
      <c r="J97" s="218">
        <v>0</v>
      </c>
      <c r="K97" s="218">
        <v>0</v>
      </c>
      <c r="L97" s="218">
        <v>0</v>
      </c>
      <c r="M97" s="218">
        <v>0</v>
      </c>
      <c r="N97" s="218">
        <v>0</v>
      </c>
      <c r="O97" s="218">
        <v>0</v>
      </c>
      <c r="P97" s="218">
        <v>0</v>
      </c>
      <c r="Q97" s="218">
        <v>0</v>
      </c>
      <c r="R97" s="218">
        <v>0</v>
      </c>
      <c r="S97" s="218">
        <v>0</v>
      </c>
      <c r="T97" s="218">
        <v>0</v>
      </c>
      <c r="U97" s="218">
        <v>0</v>
      </c>
      <c r="V97" s="218">
        <v>0</v>
      </c>
      <c r="W97" s="218">
        <v>0</v>
      </c>
      <c r="X97" s="50">
        <v>0</v>
      </c>
    </row>
    <row r="98" spans="1:77" ht="29" customHeight="1">
      <c r="B98" s="15"/>
      <c r="C98" s="194" t="str">
        <f>+C7</f>
        <v>Phase 2 - first financing</v>
      </c>
      <c r="D98" s="194"/>
      <c r="E98" s="218">
        <v>0</v>
      </c>
      <c r="F98" s="218">
        <v>0</v>
      </c>
      <c r="G98" s="218">
        <v>0</v>
      </c>
      <c r="H98" s="218">
        <f>($F$7*$E$7)/$D7</f>
        <v>0</v>
      </c>
      <c r="I98" s="218">
        <f>($F$7*$E$7)/$D7</f>
        <v>0</v>
      </c>
      <c r="J98" s="218">
        <v>0</v>
      </c>
      <c r="K98" s="218">
        <v>0</v>
      </c>
      <c r="L98" s="218">
        <v>0</v>
      </c>
      <c r="M98" s="218">
        <v>0</v>
      </c>
      <c r="N98" s="218">
        <v>0</v>
      </c>
      <c r="O98" s="218">
        <v>0</v>
      </c>
      <c r="P98" s="218">
        <v>0</v>
      </c>
      <c r="Q98" s="218">
        <v>0</v>
      </c>
      <c r="R98" s="218">
        <v>0</v>
      </c>
      <c r="S98" s="218">
        <v>0</v>
      </c>
      <c r="T98" s="218">
        <v>0</v>
      </c>
      <c r="U98" s="218">
        <v>0</v>
      </c>
      <c r="V98" s="218">
        <v>0</v>
      </c>
      <c r="W98" s="218">
        <v>0</v>
      </c>
      <c r="X98" s="50">
        <v>0</v>
      </c>
    </row>
    <row r="99" spans="1:77" ht="29" customHeight="1">
      <c r="B99" s="15"/>
      <c r="C99" s="194" t="str">
        <f>+C8</f>
        <v>Phase 3 - second financing</v>
      </c>
      <c r="D99" s="194"/>
      <c r="E99" s="218">
        <v>0</v>
      </c>
      <c r="F99" s="218">
        <v>0</v>
      </c>
      <c r="G99" s="218">
        <v>0</v>
      </c>
      <c r="H99" s="218">
        <v>0</v>
      </c>
      <c r="I99" s="218">
        <v>0</v>
      </c>
      <c r="J99" s="218">
        <f>($F8*$E8)/$D8</f>
        <v>0</v>
      </c>
      <c r="K99" s="218">
        <f>($F8*$E8)/$D8</f>
        <v>0</v>
      </c>
      <c r="L99" s="218">
        <v>0</v>
      </c>
      <c r="M99" s="218">
        <v>0</v>
      </c>
      <c r="N99" s="218">
        <v>0</v>
      </c>
      <c r="O99" s="218">
        <v>0</v>
      </c>
      <c r="P99" s="218">
        <v>0</v>
      </c>
      <c r="Q99" s="218">
        <v>0</v>
      </c>
      <c r="R99" s="218">
        <v>0</v>
      </c>
      <c r="S99" s="218">
        <v>0</v>
      </c>
      <c r="T99" s="218">
        <v>0</v>
      </c>
      <c r="U99" s="218">
        <v>0</v>
      </c>
      <c r="V99" s="218">
        <v>0</v>
      </c>
      <c r="W99" s="218">
        <v>0</v>
      </c>
      <c r="X99" s="50">
        <v>0</v>
      </c>
    </row>
    <row r="100" spans="1:77" ht="29" customHeight="1">
      <c r="B100" s="15"/>
      <c r="C100" s="49" t="s">
        <v>27</v>
      </c>
      <c r="D100" s="49"/>
      <c r="E100" s="48">
        <f t="shared" ref="E100:X100" si="34">SUM(E96:E99)</f>
        <v>9492470.0578916166</v>
      </c>
      <c r="F100" s="48">
        <f t="shared" si="34"/>
        <v>9513938.0097526405</v>
      </c>
      <c r="G100" s="48">
        <f t="shared" si="34"/>
        <v>9506782.2733219601</v>
      </c>
      <c r="H100" s="48">
        <f t="shared" si="34"/>
        <v>12647136.570276735</v>
      </c>
      <c r="I100" s="48">
        <f t="shared" si="34"/>
        <v>12668326.521991376</v>
      </c>
      <c r="J100" s="48">
        <f t="shared" si="34"/>
        <v>20585461.146117814</v>
      </c>
      <c r="K100" s="48">
        <f t="shared" si="34"/>
        <v>20630267.639789578</v>
      </c>
      <c r="L100" s="48">
        <f t="shared" si="34"/>
        <v>36095144.508799843</v>
      </c>
      <c r="M100" s="48">
        <f t="shared" si="34"/>
        <v>36350449.573224239</v>
      </c>
      <c r="N100" s="48">
        <f t="shared" si="34"/>
        <v>36607031.162970744</v>
      </c>
      <c r="O100" s="48">
        <f t="shared" si="34"/>
        <v>42987413.262266777</v>
      </c>
      <c r="P100" s="48">
        <f t="shared" si="34"/>
        <v>43246567.082452208</v>
      </c>
      <c r="Q100" s="48">
        <f t="shared" si="34"/>
        <v>43507016.671741985</v>
      </c>
      <c r="R100" s="48">
        <f t="shared" si="34"/>
        <v>43768768.508983329</v>
      </c>
      <c r="S100" s="48">
        <f t="shared" si="34"/>
        <v>44031829.105417714</v>
      </c>
      <c r="T100" s="48">
        <f t="shared" si="34"/>
        <v>44296205.00484281</v>
      </c>
      <c r="U100" s="48">
        <f t="shared" si="34"/>
        <v>44561902.783775292</v>
      </c>
      <c r="V100" s="48">
        <f t="shared" si="34"/>
        <v>44828929.051614381</v>
      </c>
      <c r="W100" s="48">
        <f t="shared" si="34"/>
        <v>45097290.450806335</v>
      </c>
      <c r="X100" s="47">
        <f t="shared" si="34"/>
        <v>45366993.657009624</v>
      </c>
    </row>
    <row r="101" spans="1:77" ht="29" customHeight="1">
      <c r="B101" s="15"/>
      <c r="C101" s="43"/>
      <c r="D101" s="43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4"/>
    </row>
    <row r="102" spans="1:77" ht="29" customHeight="1">
      <c r="B102" s="15"/>
      <c r="C102" s="194" t="s">
        <v>37</v>
      </c>
      <c r="D102" s="194"/>
      <c r="E102" s="217">
        <v>0</v>
      </c>
      <c r="F102" s="217">
        <v>0</v>
      </c>
      <c r="G102" s="217">
        <v>0</v>
      </c>
      <c r="H102" s="217">
        <v>0</v>
      </c>
      <c r="I102" s="217">
        <v>0</v>
      </c>
      <c r="J102" s="217">
        <v>0</v>
      </c>
      <c r="K102" s="217">
        <v>0</v>
      </c>
      <c r="L102" s="217">
        <v>0</v>
      </c>
      <c r="M102" s="217">
        <v>0</v>
      </c>
      <c r="N102" s="217">
        <v>0</v>
      </c>
      <c r="O102" s="217">
        <v>0</v>
      </c>
      <c r="P102" s="217">
        <v>0</v>
      </c>
      <c r="Q102" s="217">
        <v>0</v>
      </c>
      <c r="R102" s="217">
        <v>0</v>
      </c>
      <c r="S102" s="217">
        <v>0</v>
      </c>
      <c r="T102" s="217">
        <v>0</v>
      </c>
      <c r="U102" s="217">
        <v>0</v>
      </c>
      <c r="V102" s="217">
        <v>0</v>
      </c>
      <c r="W102" s="217">
        <v>0</v>
      </c>
      <c r="X102" s="46">
        <v>0</v>
      </c>
    </row>
    <row r="103" spans="1:77" ht="29" customHeight="1">
      <c r="B103" s="15"/>
      <c r="C103" s="43"/>
      <c r="D103" s="43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4"/>
    </row>
    <row r="104" spans="1:77" ht="29" customHeight="1">
      <c r="B104" s="15"/>
      <c r="C104" s="43" t="s">
        <v>81</v>
      </c>
      <c r="D104" s="43"/>
      <c r="E104" s="45">
        <v>0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v>0</v>
      </c>
      <c r="O104" s="45">
        <v>0</v>
      </c>
      <c r="P104" s="45">
        <v>0</v>
      </c>
      <c r="Q104" s="45">
        <v>0</v>
      </c>
      <c r="R104" s="45">
        <v>0</v>
      </c>
      <c r="S104" s="45">
        <v>0</v>
      </c>
      <c r="T104" s="45">
        <v>0</v>
      </c>
      <c r="U104" s="45">
        <v>0</v>
      </c>
      <c r="V104" s="45">
        <v>0</v>
      </c>
      <c r="W104" s="45">
        <v>0</v>
      </c>
      <c r="X104" s="44">
        <v>0</v>
      </c>
    </row>
    <row r="105" spans="1:77" ht="29" customHeight="1">
      <c r="B105" s="15"/>
      <c r="C105" s="43" t="s">
        <v>80</v>
      </c>
      <c r="D105" s="43"/>
      <c r="E105" s="45">
        <f t="shared" ref="E105:X105" si="35">E104*(1-$D$25)</f>
        <v>0</v>
      </c>
      <c r="F105" s="45">
        <f t="shared" si="35"/>
        <v>0</v>
      </c>
      <c r="G105" s="45">
        <f t="shared" si="35"/>
        <v>0</v>
      </c>
      <c r="H105" s="45">
        <f t="shared" si="35"/>
        <v>0</v>
      </c>
      <c r="I105" s="45">
        <f t="shared" si="35"/>
        <v>0</v>
      </c>
      <c r="J105" s="45">
        <f t="shared" si="35"/>
        <v>0</v>
      </c>
      <c r="K105" s="45">
        <f t="shared" si="35"/>
        <v>0</v>
      </c>
      <c r="L105" s="45">
        <f t="shared" si="35"/>
        <v>0</v>
      </c>
      <c r="M105" s="45">
        <f t="shared" si="35"/>
        <v>0</v>
      </c>
      <c r="N105" s="45">
        <f t="shared" si="35"/>
        <v>0</v>
      </c>
      <c r="O105" s="45">
        <f t="shared" si="35"/>
        <v>0</v>
      </c>
      <c r="P105" s="45">
        <f t="shared" si="35"/>
        <v>0</v>
      </c>
      <c r="Q105" s="45">
        <f t="shared" si="35"/>
        <v>0</v>
      </c>
      <c r="R105" s="45">
        <f t="shared" si="35"/>
        <v>0</v>
      </c>
      <c r="S105" s="45">
        <f t="shared" si="35"/>
        <v>0</v>
      </c>
      <c r="T105" s="45">
        <f t="shared" si="35"/>
        <v>0</v>
      </c>
      <c r="U105" s="45">
        <f t="shared" si="35"/>
        <v>0</v>
      </c>
      <c r="V105" s="45">
        <f t="shared" si="35"/>
        <v>0</v>
      </c>
      <c r="W105" s="45">
        <f t="shared" si="35"/>
        <v>0</v>
      </c>
      <c r="X105" s="44">
        <f t="shared" si="35"/>
        <v>0</v>
      </c>
    </row>
    <row r="106" spans="1:77" ht="29" customHeight="1">
      <c r="B106" s="15"/>
      <c r="C106" s="43" t="s">
        <v>79</v>
      </c>
      <c r="D106" s="194"/>
      <c r="E106" s="42">
        <f t="shared" ref="E106:X106" si="36">E92/E100</f>
        <v>0</v>
      </c>
      <c r="F106" s="42">
        <f t="shared" si="36"/>
        <v>0</v>
      </c>
      <c r="G106" s="42">
        <f t="shared" si="36"/>
        <v>0</v>
      </c>
      <c r="H106" s="42">
        <f t="shared" si="36"/>
        <v>0</v>
      </c>
      <c r="I106" s="42">
        <f t="shared" si="36"/>
        <v>0</v>
      </c>
      <c r="J106" s="42">
        <f t="shared" si="36"/>
        <v>0</v>
      </c>
      <c r="K106" s="42">
        <f t="shared" si="36"/>
        <v>0</v>
      </c>
      <c r="L106" s="42">
        <f t="shared" si="36"/>
        <v>0</v>
      </c>
      <c r="M106" s="42">
        <f t="shared" si="36"/>
        <v>0</v>
      </c>
      <c r="N106" s="42">
        <f t="shared" si="36"/>
        <v>0</v>
      </c>
      <c r="O106" s="42">
        <f t="shared" si="36"/>
        <v>0</v>
      </c>
      <c r="P106" s="42">
        <f t="shared" si="36"/>
        <v>0</v>
      </c>
      <c r="Q106" s="42">
        <f t="shared" si="36"/>
        <v>0</v>
      </c>
      <c r="R106" s="42">
        <f t="shared" si="36"/>
        <v>0</v>
      </c>
      <c r="S106" s="42">
        <f t="shared" si="36"/>
        <v>0</v>
      </c>
      <c r="T106" s="42">
        <f t="shared" si="36"/>
        <v>0</v>
      </c>
      <c r="U106" s="42">
        <f t="shared" si="36"/>
        <v>0</v>
      </c>
      <c r="V106" s="42">
        <f t="shared" si="36"/>
        <v>0</v>
      </c>
      <c r="W106" s="42">
        <f t="shared" si="36"/>
        <v>0</v>
      </c>
      <c r="X106" s="219">
        <f t="shared" si="36"/>
        <v>0</v>
      </c>
    </row>
    <row r="107" spans="1:77" ht="29" customHeight="1">
      <c r="B107" s="15"/>
      <c r="C107" s="194"/>
      <c r="D107" s="194"/>
      <c r="E107" s="216"/>
      <c r="F107" s="216"/>
      <c r="G107" s="216"/>
      <c r="H107" s="216"/>
      <c r="I107" s="216"/>
      <c r="J107" s="216"/>
      <c r="K107" s="216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6"/>
      <c r="W107" s="216"/>
      <c r="X107" s="37"/>
    </row>
    <row r="108" spans="1:77" s="8" customFormat="1" ht="29" customHeight="1" thickBot="1">
      <c r="A108" s="2"/>
      <c r="B108" s="29"/>
      <c r="C108" s="28" t="s">
        <v>15</v>
      </c>
      <c r="D108" s="27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5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</row>
    <row r="109" spans="1:77" ht="29" customHeight="1">
      <c r="B109" s="15"/>
      <c r="C109" s="201" t="s">
        <v>78</v>
      </c>
      <c r="D109" s="194"/>
      <c r="E109" s="220">
        <f t="shared" ref="E109:X109" si="37">E100+E86</f>
        <v>9830000</v>
      </c>
      <c r="F109" s="220">
        <f t="shared" si="37"/>
        <v>9688218.5507031921</v>
      </c>
      <c r="G109" s="220">
        <f t="shared" si="37"/>
        <v>9514548.4250915218</v>
      </c>
      <c r="H109" s="220">
        <f t="shared" si="37"/>
        <v>12651599.624070633</v>
      </c>
      <c r="I109" s="220">
        <f t="shared" si="37"/>
        <v>12674869.458436038</v>
      </c>
      <c r="J109" s="220">
        <f t="shared" si="37"/>
        <v>20602045.406599142</v>
      </c>
      <c r="K109" s="220">
        <f t="shared" si="37"/>
        <v>20670210.91309645</v>
      </c>
      <c r="L109" s="220">
        <f t="shared" si="37"/>
        <v>36135087.782106712</v>
      </c>
      <c r="M109" s="220">
        <f t="shared" si="37"/>
        <v>36390392.846531108</v>
      </c>
      <c r="N109" s="220">
        <f t="shared" si="37"/>
        <v>36646974.436277613</v>
      </c>
      <c r="O109" s="220">
        <f t="shared" si="37"/>
        <v>43027357.535573646</v>
      </c>
      <c r="P109" s="220">
        <f t="shared" si="37"/>
        <v>43286513.355759077</v>
      </c>
      <c r="Q109" s="220">
        <f t="shared" si="37"/>
        <v>43546965.945048854</v>
      </c>
      <c r="R109" s="220">
        <f t="shared" si="37"/>
        <v>43808721.782290198</v>
      </c>
      <c r="S109" s="220">
        <f t="shared" si="37"/>
        <v>44071787.378724582</v>
      </c>
      <c r="T109" s="220">
        <f t="shared" si="37"/>
        <v>44336169.278149679</v>
      </c>
      <c r="U109" s="220">
        <f t="shared" si="37"/>
        <v>44601874.057082161</v>
      </c>
      <c r="V109" s="220">
        <f t="shared" si="37"/>
        <v>44868908.32492125</v>
      </c>
      <c r="W109" s="220">
        <f t="shared" si="37"/>
        <v>45137278.724113204</v>
      </c>
      <c r="X109" s="40">
        <f t="shared" si="37"/>
        <v>45406991.930316493</v>
      </c>
    </row>
    <row r="110" spans="1:77" ht="29" customHeight="1">
      <c r="B110" s="15"/>
      <c r="C110" s="203" t="s">
        <v>56</v>
      </c>
      <c r="D110" s="194"/>
      <c r="E110" s="221">
        <f t="shared" ref="E110:K110" si="38">+E109/$D$45</f>
        <v>83.555752001768013</v>
      </c>
      <c r="F110" s="221">
        <f t="shared" si="38"/>
        <v>82.350598836366657</v>
      </c>
      <c r="G110" s="221">
        <f t="shared" si="38"/>
        <v>80.874389482783286</v>
      </c>
      <c r="H110" s="221">
        <f t="shared" si="38"/>
        <v>107.53956466068233</v>
      </c>
      <c r="I110" s="221">
        <f t="shared" si="38"/>
        <v>107.73736003294663</v>
      </c>
      <c r="J110" s="221">
        <f t="shared" si="38"/>
        <v>175.11896202675095</v>
      </c>
      <c r="K110" s="221">
        <f t="shared" si="38"/>
        <v>175.69837404668624</v>
      </c>
      <c r="L110" s="221">
        <f t="shared" ref="L110:X110" si="39">L109/$D$45</f>
        <v>307.15101050700162</v>
      </c>
      <c r="M110" s="221">
        <f t="shared" si="39"/>
        <v>309.32112308562216</v>
      </c>
      <c r="N110" s="221">
        <f t="shared" si="39"/>
        <v>311.50208622713575</v>
      </c>
      <c r="O110" s="221">
        <f t="shared" si="39"/>
        <v>365.73583067485208</v>
      </c>
      <c r="P110" s="221">
        <f t="shared" si="39"/>
        <v>367.93867497202689</v>
      </c>
      <c r="Q110" s="221">
        <f t="shared" si="39"/>
        <v>370.15254190579242</v>
      </c>
      <c r="R110" s="221">
        <f t="shared" si="39"/>
        <v>372.3774865468456</v>
      </c>
      <c r="S110" s="221">
        <f t="shared" si="39"/>
        <v>374.6135642412371</v>
      </c>
      <c r="T110" s="221">
        <f t="shared" si="39"/>
        <v>376.86083061174776</v>
      </c>
      <c r="U110" s="221">
        <f t="shared" si="39"/>
        <v>379.11934155927241</v>
      </c>
      <c r="V110" s="221">
        <f t="shared" si="39"/>
        <v>381.38915326420999</v>
      </c>
      <c r="W110" s="221">
        <f t="shared" si="39"/>
        <v>383.67032218786193</v>
      </c>
      <c r="X110" s="39">
        <f t="shared" si="39"/>
        <v>385.96290507383583</v>
      </c>
    </row>
    <row r="111" spans="1:77" ht="29" customHeight="1">
      <c r="B111" s="15"/>
      <c r="C111" s="203"/>
      <c r="D111" s="194"/>
      <c r="E111" s="221"/>
      <c r="F111" s="221"/>
      <c r="G111" s="221"/>
      <c r="H111" s="221"/>
      <c r="I111" s="221"/>
      <c r="J111" s="221"/>
      <c r="K111" s="221"/>
      <c r="L111" s="221"/>
      <c r="M111" s="221"/>
      <c r="N111" s="221"/>
      <c r="O111" s="221"/>
      <c r="P111" s="221"/>
      <c r="Q111" s="221"/>
      <c r="R111" s="221"/>
      <c r="S111" s="221"/>
      <c r="T111" s="221"/>
      <c r="U111" s="221"/>
      <c r="V111" s="221"/>
      <c r="W111" s="221"/>
      <c r="X111" s="39"/>
    </row>
    <row r="112" spans="1:77" ht="29" customHeight="1" thickBot="1">
      <c r="B112" s="29"/>
      <c r="C112" s="28" t="s">
        <v>70</v>
      </c>
      <c r="D112" s="27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5"/>
    </row>
    <row r="113" spans="1:77" ht="29" customHeight="1">
      <c r="B113" s="15"/>
      <c r="C113" s="222"/>
      <c r="D113" s="194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6"/>
      <c r="Q113" s="216"/>
      <c r="R113" s="216"/>
      <c r="S113" s="216"/>
      <c r="T113" s="216"/>
      <c r="U113" s="216"/>
      <c r="V113" s="216"/>
      <c r="W113" s="216"/>
      <c r="X113" s="37"/>
    </row>
    <row r="114" spans="1:77" ht="29" customHeight="1">
      <c r="B114" s="15"/>
      <c r="C114" s="201" t="s">
        <v>78</v>
      </c>
      <c r="D114" s="193"/>
      <c r="E114" s="223">
        <f t="shared" ref="E114:X114" si="40">E109-E92</f>
        <v>9830000</v>
      </c>
      <c r="F114" s="223">
        <f t="shared" si="40"/>
        <v>9688218.5507031921</v>
      </c>
      <c r="G114" s="223">
        <f t="shared" si="40"/>
        <v>9514548.4250915218</v>
      </c>
      <c r="H114" s="223">
        <f t="shared" si="40"/>
        <v>12651599.624070633</v>
      </c>
      <c r="I114" s="223">
        <f t="shared" si="40"/>
        <v>12674869.458436038</v>
      </c>
      <c r="J114" s="223">
        <f t="shared" si="40"/>
        <v>20602045.406599142</v>
      </c>
      <c r="K114" s="223">
        <f t="shared" si="40"/>
        <v>20670210.91309645</v>
      </c>
      <c r="L114" s="223">
        <f t="shared" si="40"/>
        <v>36135087.782106712</v>
      </c>
      <c r="M114" s="223">
        <f t="shared" si="40"/>
        <v>36390392.846531108</v>
      </c>
      <c r="N114" s="223">
        <f t="shared" si="40"/>
        <v>36646974.436277613</v>
      </c>
      <c r="O114" s="223">
        <f t="shared" si="40"/>
        <v>43027357.535573646</v>
      </c>
      <c r="P114" s="223">
        <f t="shared" si="40"/>
        <v>43286513.355759077</v>
      </c>
      <c r="Q114" s="223">
        <f t="shared" si="40"/>
        <v>43546965.945048854</v>
      </c>
      <c r="R114" s="223">
        <f t="shared" si="40"/>
        <v>43808721.782290198</v>
      </c>
      <c r="S114" s="223">
        <f t="shared" si="40"/>
        <v>44071787.378724582</v>
      </c>
      <c r="T114" s="223">
        <f t="shared" si="40"/>
        <v>44336169.278149679</v>
      </c>
      <c r="U114" s="223">
        <f t="shared" si="40"/>
        <v>44601874.057082161</v>
      </c>
      <c r="V114" s="223">
        <f t="shared" si="40"/>
        <v>44868908.32492125</v>
      </c>
      <c r="W114" s="223">
        <f t="shared" si="40"/>
        <v>45137278.724113204</v>
      </c>
      <c r="X114" s="36">
        <f t="shared" si="40"/>
        <v>45406991.930316493</v>
      </c>
    </row>
    <row r="115" spans="1:77" ht="29" customHeight="1">
      <c r="B115" s="15"/>
      <c r="C115" s="203" t="s">
        <v>56</v>
      </c>
      <c r="D115" s="193"/>
      <c r="E115" s="224">
        <f t="shared" ref="E115:X115" si="41">E114/$D45</f>
        <v>83.555752001768013</v>
      </c>
      <c r="F115" s="224">
        <f t="shared" si="41"/>
        <v>82.350598836366657</v>
      </c>
      <c r="G115" s="224">
        <f t="shared" si="41"/>
        <v>80.874389482783286</v>
      </c>
      <c r="H115" s="224">
        <f t="shared" si="41"/>
        <v>107.53956466068233</v>
      </c>
      <c r="I115" s="224">
        <f t="shared" si="41"/>
        <v>107.73736003294663</v>
      </c>
      <c r="J115" s="224">
        <f t="shared" si="41"/>
        <v>175.11896202675095</v>
      </c>
      <c r="K115" s="224">
        <f t="shared" si="41"/>
        <v>175.69837404668624</v>
      </c>
      <c r="L115" s="224">
        <f t="shared" si="41"/>
        <v>307.15101050700162</v>
      </c>
      <c r="M115" s="224">
        <f t="shared" si="41"/>
        <v>309.32112308562216</v>
      </c>
      <c r="N115" s="224">
        <f t="shared" si="41"/>
        <v>311.50208622713575</v>
      </c>
      <c r="O115" s="224">
        <f t="shared" si="41"/>
        <v>365.73583067485208</v>
      </c>
      <c r="P115" s="224">
        <f t="shared" si="41"/>
        <v>367.93867497202689</v>
      </c>
      <c r="Q115" s="224">
        <f t="shared" si="41"/>
        <v>370.15254190579242</v>
      </c>
      <c r="R115" s="224">
        <f t="shared" si="41"/>
        <v>372.3774865468456</v>
      </c>
      <c r="S115" s="224">
        <f t="shared" si="41"/>
        <v>374.6135642412371</v>
      </c>
      <c r="T115" s="224">
        <f t="shared" si="41"/>
        <v>376.86083061174776</v>
      </c>
      <c r="U115" s="224">
        <f t="shared" si="41"/>
        <v>379.11934155927241</v>
      </c>
      <c r="V115" s="224">
        <f t="shared" si="41"/>
        <v>381.38915326420999</v>
      </c>
      <c r="W115" s="224">
        <f t="shared" si="41"/>
        <v>383.67032218786193</v>
      </c>
      <c r="X115" s="35">
        <f t="shared" si="41"/>
        <v>385.96290507383583</v>
      </c>
    </row>
    <row r="116" spans="1:77" ht="29" customHeight="1">
      <c r="B116" s="15"/>
      <c r="C116" s="203" t="s">
        <v>71</v>
      </c>
      <c r="D116" s="193"/>
      <c r="E116" s="225">
        <f t="shared" ref="E116:X116" si="42">E122/E115</f>
        <v>0</v>
      </c>
      <c r="F116" s="225">
        <f t="shared" si="42"/>
        <v>0</v>
      </c>
      <c r="G116" s="225">
        <f t="shared" si="42"/>
        <v>0</v>
      </c>
      <c r="H116" s="225">
        <f t="shared" si="42"/>
        <v>-2.3497330507053289E-3</v>
      </c>
      <c r="I116" s="225">
        <f t="shared" si="42"/>
        <v>1.4768549623537669E-3</v>
      </c>
      <c r="J116" s="225">
        <f t="shared" si="42"/>
        <v>4.3865506820519378E-3</v>
      </c>
      <c r="K116" s="225">
        <f t="shared" si="42"/>
        <v>1.0170729089982357E-2</v>
      </c>
      <c r="L116" s="225">
        <f t="shared" si="42"/>
        <v>5.8588839966376094E-2</v>
      </c>
      <c r="M116" s="225">
        <f t="shared" si="42"/>
        <v>5.8491933688716906E-2</v>
      </c>
      <c r="N116" s="225">
        <f t="shared" si="42"/>
        <v>5.8395903239048551E-2</v>
      </c>
      <c r="O116" s="225">
        <f t="shared" si="42"/>
        <v>5.0004914732318592E-2</v>
      </c>
      <c r="P116" s="225">
        <f t="shared" si="42"/>
        <v>4.9973608392906155E-2</v>
      </c>
      <c r="Q116" s="225">
        <f t="shared" si="42"/>
        <v>4.99425202623415E-2</v>
      </c>
      <c r="R116" s="225">
        <f t="shared" si="42"/>
        <v>4.991164844992544E-2</v>
      </c>
      <c r="S116" s="225">
        <f t="shared" si="42"/>
        <v>4.9880991085849494E-2</v>
      </c>
      <c r="T116" s="225">
        <f t="shared" si="42"/>
        <v>4.9850546320908302E-2</v>
      </c>
      <c r="U116" s="225">
        <f t="shared" si="42"/>
        <v>4.9820312326216441E-2</v>
      </c>
      <c r="V116" s="225">
        <f t="shared" si="42"/>
        <v>4.9790287292930308E-2</v>
      </c>
      <c r="W116" s="225">
        <f t="shared" si="42"/>
        <v>4.9760469431974139E-2</v>
      </c>
      <c r="X116" s="33">
        <f t="shared" si="42"/>
        <v>4.9730856973770783E-2</v>
      </c>
    </row>
    <row r="117" spans="1:77" ht="29" customHeight="1">
      <c r="B117" s="15"/>
      <c r="C117" s="201" t="s">
        <v>77</v>
      </c>
      <c r="D117" s="193"/>
      <c r="E117" s="31">
        <f t="shared" ref="E117:X117" si="43">SUM(E63:E65)/E114</f>
        <v>1.7293997965412006E-2</v>
      </c>
      <c r="F117" s="31">
        <f t="shared" si="43"/>
        <v>1.7547085577220078E-2</v>
      </c>
      <c r="G117" s="31">
        <f t="shared" si="43"/>
        <v>1.7867374509512229E-2</v>
      </c>
      <c r="H117" s="31">
        <f t="shared" si="43"/>
        <v>1.3437036031124637E-2</v>
      </c>
      <c r="I117" s="31">
        <f t="shared" si="43"/>
        <v>1.3412366932651347E-2</v>
      </c>
      <c r="J117" s="31">
        <f t="shared" si="43"/>
        <v>8.2516078692626543E-3</v>
      </c>
      <c r="K117" s="31">
        <f t="shared" si="43"/>
        <v>8.2243960022821833E-3</v>
      </c>
      <c r="L117" s="31">
        <f t="shared" si="43"/>
        <v>4.7045686183217247E-3</v>
      </c>
      <c r="M117" s="31">
        <f t="shared" si="43"/>
        <v>4.6715626488820702E-3</v>
      </c>
      <c r="N117" s="31">
        <f t="shared" si="43"/>
        <v>4.6388549836658115E-3</v>
      </c>
      <c r="O117" s="31">
        <f t="shared" si="43"/>
        <v>3.950974676040689E-3</v>
      </c>
      <c r="P117" s="31">
        <f t="shared" si="43"/>
        <v>3.9273202395124825E-3</v>
      </c>
      <c r="Q117" s="31">
        <f t="shared" si="43"/>
        <v>3.9038311007595799E-3</v>
      </c>
      <c r="R117" s="31">
        <f t="shared" si="43"/>
        <v>3.880505823585179E-3</v>
      </c>
      <c r="S117" s="31">
        <f t="shared" si="43"/>
        <v>3.8573429876834673E-3</v>
      </c>
      <c r="T117" s="31">
        <f t="shared" si="43"/>
        <v>3.8343411884206599E-3</v>
      </c>
      <c r="U117" s="31">
        <f t="shared" si="43"/>
        <v>3.8114990366196586E-3</v>
      </c>
      <c r="V117" s="31">
        <f t="shared" si="43"/>
        <v>3.7888151583482586E-3</v>
      </c>
      <c r="W117" s="31">
        <f t="shared" si="43"/>
        <v>3.766288194710833E-3</v>
      </c>
      <c r="X117" s="30">
        <f t="shared" si="43"/>
        <v>3.7439168016434399E-3</v>
      </c>
    </row>
    <row r="118" spans="1:77" ht="29" customHeight="1">
      <c r="B118" s="15"/>
      <c r="C118" s="201"/>
      <c r="D118" s="193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0"/>
    </row>
    <row r="119" spans="1:77" s="8" customFormat="1" ht="29" customHeight="1" thickBot="1">
      <c r="A119" s="2"/>
      <c r="B119" s="29"/>
      <c r="C119" s="28" t="s">
        <v>31</v>
      </c>
      <c r="D119" s="27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5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</row>
    <row r="120" spans="1:77" ht="29" customHeight="1">
      <c r="B120" s="15"/>
      <c r="C120" s="202" t="s">
        <v>57</v>
      </c>
      <c r="D120" s="194"/>
      <c r="E120" s="23">
        <v>0</v>
      </c>
      <c r="F120" s="23">
        <v>0</v>
      </c>
      <c r="G120" s="23">
        <v>0</v>
      </c>
      <c r="H120" s="200">
        <f>+H72*0.9+H91</f>
        <v>-29727.881780969885</v>
      </c>
      <c r="I120" s="200">
        <f>+I72*0.9+I91</f>
        <v>18718.943856877464</v>
      </c>
      <c r="J120" s="200">
        <f>+J72*0.9+J91</f>
        <v>90371.916329982458</v>
      </c>
      <c r="K120" s="200">
        <f>+K72*0.9+K91</f>
        <v>210231.11542990082</v>
      </c>
      <c r="L120" s="200">
        <f>+L72+L91+L90</f>
        <v>2117112.8752368023</v>
      </c>
      <c r="M120" s="200">
        <f t="shared" ref="M120:X120" si="44">+M72+M91</f>
        <v>2128544.4452856556</v>
      </c>
      <c r="N120" s="200">
        <f t="shared" si="44"/>
        <v>2140033.1731847534</v>
      </c>
      <c r="O120" s="200">
        <f t="shared" si="44"/>
        <v>2151579.3447233462</v>
      </c>
      <c r="P120" s="200">
        <f t="shared" si="44"/>
        <v>2163183.2671350059</v>
      </c>
      <c r="Q120" s="200">
        <f t="shared" si="44"/>
        <v>2174845.2290740977</v>
      </c>
      <c r="R120" s="200">
        <f t="shared" si="44"/>
        <v>2186565.5206382591</v>
      </c>
      <c r="S120" s="200">
        <f t="shared" si="44"/>
        <v>2198344.4333756152</v>
      </c>
      <c r="T120" s="200">
        <f t="shared" si="44"/>
        <v>2210182.2602920318</v>
      </c>
      <c r="U120" s="200">
        <f t="shared" si="44"/>
        <v>2222079.2958584037</v>
      </c>
      <c r="V120" s="200">
        <f t="shared" si="44"/>
        <v>2234035.8360179816</v>
      </c>
      <c r="W120" s="200">
        <f t="shared" si="44"/>
        <v>2246052.1781937317</v>
      </c>
      <c r="X120" s="22">
        <f t="shared" si="44"/>
        <v>2258128.6212957334</v>
      </c>
    </row>
    <row r="121" spans="1:77" ht="29" customHeight="1">
      <c r="B121" s="15"/>
      <c r="C121" s="202"/>
      <c r="D121" s="194"/>
      <c r="E121" s="23"/>
      <c r="F121" s="23"/>
      <c r="G121" s="23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2"/>
    </row>
    <row r="122" spans="1:77" ht="29" customHeight="1">
      <c r="B122" s="15"/>
      <c r="C122" s="203" t="s">
        <v>12</v>
      </c>
      <c r="D122" s="194"/>
      <c r="E122" s="21">
        <v>0</v>
      </c>
      <c r="F122" s="21">
        <v>0</v>
      </c>
      <c r="G122" s="21">
        <v>0</v>
      </c>
      <c r="H122" s="226">
        <f t="shared" ref="H122:X122" si="45">H120/$D45</f>
        <v>-0.25268926934166808</v>
      </c>
      <c r="I122" s="226">
        <f t="shared" si="45"/>
        <v>0.15911245479555161</v>
      </c>
      <c r="J122" s="226">
        <f t="shared" si="45"/>
        <v>0.76816820231867178</v>
      </c>
      <c r="K122" s="226">
        <f t="shared" si="45"/>
        <v>1.7869805639792329</v>
      </c>
      <c r="L122" s="226">
        <f t="shared" si="45"/>
        <v>17.995621400105421</v>
      </c>
      <c r="M122" s="226">
        <f t="shared" si="45"/>
        <v>18.092790620043651</v>
      </c>
      <c r="N122" s="226">
        <f t="shared" si="45"/>
        <v>18.190445686081578</v>
      </c>
      <c r="O122" s="226">
        <f t="shared" si="45"/>
        <v>18.288589027449689</v>
      </c>
      <c r="P122" s="226">
        <f t="shared" si="45"/>
        <v>18.387223255656853</v>
      </c>
      <c r="Q122" s="226">
        <f t="shared" si="45"/>
        <v>18.48635082428725</v>
      </c>
      <c r="R122" s="226">
        <f t="shared" si="45"/>
        <v>18.585974199192997</v>
      </c>
      <c r="S122" s="226">
        <f t="shared" si="45"/>
        <v>18.686095858555454</v>
      </c>
      <c r="T122" s="226">
        <f t="shared" si="45"/>
        <v>18.786718292946908</v>
      </c>
      <c r="U122" s="226">
        <f t="shared" si="45"/>
        <v>18.887844005392481</v>
      </c>
      <c r="V122" s="226">
        <f t="shared" si="45"/>
        <v>18.989475511432445</v>
      </c>
      <c r="W122" s="226">
        <f t="shared" si="45"/>
        <v>19.091615339184774</v>
      </c>
      <c r="X122" s="20">
        <f t="shared" si="45"/>
        <v>19.194266029407999</v>
      </c>
    </row>
    <row r="123" spans="1:77" ht="29" customHeight="1">
      <c r="B123" s="15"/>
      <c r="C123" s="203" t="s">
        <v>38</v>
      </c>
      <c r="D123" s="194"/>
      <c r="E123" s="227">
        <f t="shared" ref="E123:X123" si="46">E122/$D16</f>
        <v>0</v>
      </c>
      <c r="F123" s="227">
        <f t="shared" si="46"/>
        <v>0</v>
      </c>
      <c r="G123" s="227">
        <f t="shared" si="46"/>
        <v>0</v>
      </c>
      <c r="H123" s="227">
        <f t="shared" si="46"/>
        <v>-2.5268926934166806E-3</v>
      </c>
      <c r="I123" s="227">
        <f t="shared" si="46"/>
        <v>1.5911245479555162E-3</v>
      </c>
      <c r="J123" s="227">
        <f t="shared" si="46"/>
        <v>7.6816820231867177E-3</v>
      </c>
      <c r="K123" s="227">
        <f t="shared" si="46"/>
        <v>1.7869805639792329E-2</v>
      </c>
      <c r="L123" s="227">
        <f t="shared" si="46"/>
        <v>0.17995621400105422</v>
      </c>
      <c r="M123" s="227">
        <f t="shared" si="46"/>
        <v>0.1809279062004365</v>
      </c>
      <c r="N123" s="227">
        <f t="shared" si="46"/>
        <v>0.18190445686081577</v>
      </c>
      <c r="O123" s="227">
        <f t="shared" si="46"/>
        <v>0.18288589027449689</v>
      </c>
      <c r="P123" s="227">
        <f t="shared" si="46"/>
        <v>0.18387223255656854</v>
      </c>
      <c r="Q123" s="227">
        <f t="shared" si="46"/>
        <v>0.18486350824287251</v>
      </c>
      <c r="R123" s="227">
        <f t="shared" si="46"/>
        <v>0.18585974199192998</v>
      </c>
      <c r="S123" s="227">
        <f t="shared" si="46"/>
        <v>0.18686095858555454</v>
      </c>
      <c r="T123" s="227">
        <f t="shared" si="46"/>
        <v>0.18786718292946908</v>
      </c>
      <c r="U123" s="227">
        <f t="shared" si="46"/>
        <v>0.18887844005392482</v>
      </c>
      <c r="V123" s="227">
        <f t="shared" si="46"/>
        <v>0.18989475511432446</v>
      </c>
      <c r="W123" s="227">
        <f t="shared" si="46"/>
        <v>0.19091615339184773</v>
      </c>
      <c r="X123" s="16">
        <f t="shared" si="46"/>
        <v>0.19194266029408</v>
      </c>
    </row>
    <row r="124" spans="1:77" ht="29" customHeight="1">
      <c r="B124" s="15"/>
      <c r="C124" s="203"/>
      <c r="D124" s="194"/>
      <c r="E124" s="18"/>
      <c r="F124" s="18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16"/>
    </row>
    <row r="125" spans="1:77" ht="29" customHeight="1">
      <c r="B125" s="15"/>
      <c r="C125" s="203" t="s">
        <v>76</v>
      </c>
      <c r="D125" s="194"/>
      <c r="E125" s="227">
        <v>0</v>
      </c>
      <c r="F125" s="227">
        <v>0</v>
      </c>
      <c r="G125" s="227">
        <v>0</v>
      </c>
      <c r="H125" s="227">
        <v>0</v>
      </c>
      <c r="I125" s="227">
        <f t="shared" ref="I125:S125" si="47">(I122-H122)/H122</f>
        <v>-1.6296763420547602</v>
      </c>
      <c r="J125" s="227">
        <f t="shared" si="47"/>
        <v>3.8278320091642999</v>
      </c>
      <c r="K125" s="227">
        <f t="shared" si="47"/>
        <v>1.3262881209939883</v>
      </c>
      <c r="L125" s="227">
        <f t="shared" si="47"/>
        <v>9.0704068991287325</v>
      </c>
      <c r="M125" s="227">
        <f t="shared" si="47"/>
        <v>5.3996034800810559E-3</v>
      </c>
      <c r="N125" s="227">
        <f t="shared" si="47"/>
        <v>5.3974573678944792E-3</v>
      </c>
      <c r="O125" s="227">
        <f t="shared" si="47"/>
        <v>5.3953236254791368E-3</v>
      </c>
      <c r="P125" s="227">
        <f t="shared" si="47"/>
        <v>5.3932114751510879E-3</v>
      </c>
      <c r="Q125" s="227">
        <f t="shared" si="47"/>
        <v>5.3911113849069332E-3</v>
      </c>
      <c r="R125" s="227">
        <f t="shared" si="47"/>
        <v>5.3890232773718726E-3</v>
      </c>
      <c r="S125" s="227">
        <f t="shared" si="47"/>
        <v>5.3869470757580704E-3</v>
      </c>
      <c r="T125" s="227">
        <f>+(T122-S122)/S122</f>
        <v>5.3848827038626042E-3</v>
      </c>
      <c r="U125" s="227">
        <f>+(U122-T122)/T122</f>
        <v>5.3828300860580868E-3</v>
      </c>
      <c r="V125" s="227">
        <f>+(V122-U122)/U122</f>
        <v>5.38078914729225E-3</v>
      </c>
      <c r="W125" s="227">
        <f>+(W122-V122)/V122</f>
        <v>5.3787598130783463E-3</v>
      </c>
      <c r="X125" s="16">
        <f>+(X122-W122)/W122</f>
        <v>5.3767420094903394E-3</v>
      </c>
    </row>
    <row r="126" spans="1:77" ht="29" customHeight="1">
      <c r="B126" s="15"/>
      <c r="C126" s="203"/>
      <c r="D126" s="194"/>
      <c r="E126" s="18"/>
      <c r="F126" s="18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16"/>
    </row>
    <row r="127" spans="1:77" ht="29" customHeight="1">
      <c r="B127" s="15"/>
      <c r="C127" s="194" t="s">
        <v>58</v>
      </c>
      <c r="D127" s="194"/>
      <c r="E127" s="13">
        <f t="shared" ref="E127:X127" si="48">E68/$D$45</f>
        <v>-1.445013005117046</v>
      </c>
      <c r="F127" s="13">
        <f t="shared" si="48"/>
        <v>-1.445013005117046</v>
      </c>
      <c r="G127" s="13">
        <f t="shared" si="48"/>
        <v>-1.445013005117046</v>
      </c>
      <c r="H127" s="13">
        <f t="shared" si="48"/>
        <v>-0.28208611250722038</v>
      </c>
      <c r="I127" s="13">
        <f t="shared" si="48"/>
        <v>0.17603289046600523</v>
      </c>
      <c r="J127" s="13">
        <f t="shared" si="48"/>
        <v>0.85240791559214868</v>
      </c>
      <c r="K127" s="13">
        <f t="shared" si="48"/>
        <v>1.9827146103209525</v>
      </c>
      <c r="L127" s="13">
        <f t="shared" si="48"/>
        <v>17.988830982529493</v>
      </c>
      <c r="M127" s="13">
        <f t="shared" si="48"/>
        <v>18.086000202467726</v>
      </c>
      <c r="N127" s="13">
        <f t="shared" si="48"/>
        <v>18.183655268505653</v>
      </c>
      <c r="O127" s="13">
        <f t="shared" si="48"/>
        <v>18.281798609873764</v>
      </c>
      <c r="P127" s="13">
        <f t="shared" si="48"/>
        <v>18.380432668079393</v>
      </c>
      <c r="Q127" s="13">
        <f t="shared" si="48"/>
        <v>18.479559896706732</v>
      </c>
      <c r="R127" s="13">
        <f t="shared" si="48"/>
        <v>18.579182761607889</v>
      </c>
      <c r="S127" s="13">
        <f t="shared" si="48"/>
        <v>18.67930374096423</v>
      </c>
      <c r="T127" s="13">
        <f t="shared" si="48"/>
        <v>18.779925325348032</v>
      </c>
      <c r="U127" s="13">
        <f t="shared" si="48"/>
        <v>18.881050017784425</v>
      </c>
      <c r="V127" s="13">
        <f t="shared" si="48"/>
        <v>18.982680333813679</v>
      </c>
      <c r="W127" s="13">
        <f t="shared" si="48"/>
        <v>19.084818801553762</v>
      </c>
      <c r="X127" s="12">
        <f t="shared" si="48"/>
        <v>19.187467961763222</v>
      </c>
    </row>
    <row r="128" spans="1:77" s="6" customFormat="1" ht="22" thickBot="1">
      <c r="A128" s="195"/>
      <c r="B128" s="11"/>
      <c r="C128" s="10"/>
      <c r="D128" s="10"/>
      <c r="E128" s="9"/>
      <c r="F128" s="9"/>
      <c r="G128" s="9"/>
      <c r="H128" s="9"/>
      <c r="I128" s="9"/>
      <c r="J128" s="9"/>
      <c r="K128" s="9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7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</row>
    <row r="129" spans="2:6" ht="29.25" customHeight="1">
      <c r="B129" s="3"/>
      <c r="C129" s="3"/>
    </row>
    <row r="130" spans="2:6" ht="29.25" customHeight="1">
      <c r="B130" s="3" t="s">
        <v>75</v>
      </c>
      <c r="C130" s="3"/>
      <c r="F130" s="5"/>
    </row>
    <row r="131" spans="2:6" ht="29.25" customHeight="1">
      <c r="B131" s="3" t="s">
        <v>74</v>
      </c>
      <c r="C131" s="3"/>
      <c r="E131" s="4"/>
    </row>
    <row r="132" spans="2:6" ht="29.25" customHeight="1">
      <c r="B132" s="3"/>
      <c r="C132" s="3"/>
    </row>
    <row r="133" spans="2:6" ht="29.25" customHeight="1">
      <c r="B133" s="3"/>
      <c r="C133" s="3"/>
    </row>
    <row r="134" spans="2:6" ht="29.25" customHeight="1">
      <c r="B134" s="3"/>
      <c r="C134" s="3"/>
    </row>
    <row r="135" spans="2:6" ht="29.25" customHeight="1">
      <c r="B135" s="3"/>
      <c r="C135" s="3"/>
    </row>
    <row r="136" spans="2:6" ht="29.25" customHeight="1">
      <c r="B136" s="3"/>
      <c r="C136" s="3"/>
    </row>
    <row r="137" spans="2:6" ht="29.25" customHeight="1">
      <c r="B137" s="3"/>
      <c r="C137" s="3"/>
    </row>
    <row r="138" spans="2:6" ht="18" customHeight="1">
      <c r="B138" s="3"/>
      <c r="C138" s="3"/>
    </row>
  </sheetData>
  <printOptions horizontalCentered="1" verticalCentered="1"/>
  <pageMargins left="0.1" right="0.1" top="0.1" bottom="0.1" header="0" footer="0"/>
  <pageSetup paperSize="5" scale="10" orientation="landscape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E10F-B244-0D42-B4FA-0E95FE47CE8B}">
  <sheetPr>
    <pageSetUpPr fitToPage="1"/>
  </sheetPr>
  <dimension ref="A1:BM138"/>
  <sheetViews>
    <sheetView showGridLines="0" topLeftCell="A43" zoomScale="80" zoomScaleNormal="80" zoomScalePageLayoutView="60" workbookViewId="0">
      <selection activeCell="F60" sqref="F60"/>
    </sheetView>
  </sheetViews>
  <sheetFormatPr baseColWidth="10" defaultColWidth="11" defaultRowHeight="18" customHeight="1"/>
  <cols>
    <col min="1" max="1" width="4.33203125" style="2" customWidth="1"/>
    <col min="2" max="2" width="3.1640625" style="2" customWidth="1"/>
    <col min="3" max="3" width="66.83203125" style="2" customWidth="1"/>
    <col min="4" max="4" width="22.6640625" style="2" customWidth="1"/>
    <col min="5" max="5" width="30.6640625" style="2" customWidth="1"/>
    <col min="6" max="7" width="36.1640625" style="2" customWidth="1"/>
    <col min="8" max="8" width="25.83203125" style="2" customWidth="1"/>
    <col min="9" max="9" width="23.5" style="2" bestFit="1" customWidth="1"/>
    <col min="10" max="11" width="23.83203125" style="2" bestFit="1" customWidth="1"/>
    <col min="12" max="12" width="23.5" style="2" bestFit="1" customWidth="1"/>
    <col min="13" max="13" width="24.33203125" style="2" customWidth="1"/>
    <col min="14" max="14" width="21.83203125" style="2" customWidth="1"/>
    <col min="15" max="25" width="18.6640625" style="2" customWidth="1"/>
    <col min="26" max="26" width="20.33203125" style="2" customWidth="1"/>
    <col min="27" max="56" width="18.6640625" style="2" customWidth="1"/>
    <col min="57" max="57" width="11" style="2"/>
    <col min="58" max="58" width="11.33203125" style="2" bestFit="1" customWidth="1"/>
    <col min="59" max="16384" width="11" style="2"/>
  </cols>
  <sheetData>
    <row r="1" spans="2:28" ht="31" customHeight="1">
      <c r="C1" s="189" t="s">
        <v>72</v>
      </c>
      <c r="D1" s="188"/>
      <c r="E1" s="188"/>
    </row>
    <row r="2" spans="2:28" ht="31" customHeight="1">
      <c r="C2" s="190" t="s">
        <v>120</v>
      </c>
      <c r="D2" s="186"/>
      <c r="E2" s="186"/>
    </row>
    <row r="3" spans="2:28" ht="31" customHeight="1">
      <c r="B3" s="187"/>
      <c r="C3" s="191" t="s">
        <v>122</v>
      </c>
      <c r="D3" s="186"/>
      <c r="E3" s="186"/>
    </row>
    <row r="4" spans="2:28" ht="18" customHeight="1">
      <c r="B4" s="186"/>
      <c r="C4" s="186"/>
      <c r="D4" s="186"/>
      <c r="E4" s="186"/>
    </row>
    <row r="5" spans="2:28" s="14" customFormat="1" ht="24" customHeight="1">
      <c r="D5" s="185" t="s">
        <v>28</v>
      </c>
      <c r="E5" s="184" t="s">
        <v>1</v>
      </c>
      <c r="F5" s="184" t="s">
        <v>119</v>
      </c>
      <c r="G5" s="183" t="s">
        <v>118</v>
      </c>
      <c r="H5" s="173"/>
      <c r="I5" s="173"/>
    </row>
    <row r="6" spans="2:28" s="14" customFormat="1" ht="24" customHeight="1">
      <c r="C6" s="101" t="s">
        <v>117</v>
      </c>
      <c r="D6" s="179">
        <v>1</v>
      </c>
      <c r="E6" s="182">
        <v>310</v>
      </c>
      <c r="F6" s="126">
        <f>$D$43/$E6</f>
        <v>31612.903225806451</v>
      </c>
      <c r="G6" s="181">
        <f>+F6*E6</f>
        <v>9800000</v>
      </c>
      <c r="H6" s="173"/>
      <c r="I6" s="173"/>
      <c r="O6" s="38" t="s">
        <v>135</v>
      </c>
    </row>
    <row r="7" spans="2:28" s="14" customFormat="1" ht="24" customHeight="1">
      <c r="C7" s="101" t="s">
        <v>116</v>
      </c>
      <c r="D7" s="179">
        <v>2</v>
      </c>
      <c r="E7" s="178">
        <f>+E6</f>
        <v>310</v>
      </c>
      <c r="F7" s="126">
        <f>$D$48/$E7</f>
        <v>0</v>
      </c>
      <c r="G7" s="177">
        <f>+F7*E7</f>
        <v>0</v>
      </c>
      <c r="H7" s="180"/>
      <c r="I7" s="173"/>
      <c r="O7" s="14" t="s">
        <v>139</v>
      </c>
      <c r="Q7" s="268">
        <f>D21</f>
        <v>0</v>
      </c>
      <c r="X7" s="14" t="s">
        <v>141</v>
      </c>
      <c r="Z7" s="229">
        <f>M63</f>
        <v>2693097.5</v>
      </c>
    </row>
    <row r="8" spans="2:28" s="14" customFormat="1" ht="24" customHeight="1">
      <c r="C8" s="101" t="s">
        <v>115</v>
      </c>
      <c r="D8" s="179">
        <v>2</v>
      </c>
      <c r="E8" s="178">
        <f>+E7</f>
        <v>310</v>
      </c>
      <c r="F8" s="126">
        <f>$D$49/$E8</f>
        <v>0</v>
      </c>
      <c r="G8" s="177">
        <f>+F8*E8</f>
        <v>0</v>
      </c>
      <c r="H8" s="173"/>
      <c r="I8" s="173"/>
      <c r="O8" s="14" t="str">
        <f>C23</f>
        <v>Board of Directors Expense</v>
      </c>
      <c r="Q8" s="256">
        <f>D23</f>
        <v>30000</v>
      </c>
      <c r="X8" s="14" t="s">
        <v>140</v>
      </c>
      <c r="Z8" s="103">
        <f>N100</f>
        <v>7454845.4000000004</v>
      </c>
    </row>
    <row r="9" spans="2:28" s="14" customFormat="1" ht="24" customHeight="1">
      <c r="C9" s="101"/>
      <c r="D9" s="168"/>
      <c r="E9" s="167"/>
      <c r="F9" s="176">
        <f>SUM(F6:F8)</f>
        <v>31612.903225806451</v>
      </c>
      <c r="G9" s="175">
        <f>SUM(G6:G8)</f>
        <v>9800000</v>
      </c>
      <c r="H9" s="174"/>
      <c r="I9" s="173"/>
      <c r="O9" s="14" t="str">
        <f>C24</f>
        <v>Admin Costs</v>
      </c>
      <c r="Q9" s="256">
        <f>D24</f>
        <v>20000</v>
      </c>
    </row>
    <row r="10" spans="2:28" s="14" customFormat="1" ht="24" customHeight="1">
      <c r="C10" s="101" t="s">
        <v>45</v>
      </c>
      <c r="D10" s="141">
        <v>0.105</v>
      </c>
      <c r="E10" s="167"/>
      <c r="F10" s="126"/>
      <c r="G10" s="173"/>
      <c r="O10" s="14" t="s">
        <v>127</v>
      </c>
      <c r="Q10" s="34">
        <f>D34</f>
        <v>0.02</v>
      </c>
    </row>
    <row r="11" spans="2:28" s="14" customFormat="1" ht="24" customHeight="1">
      <c r="C11" s="101"/>
      <c r="D11" s="141"/>
      <c r="E11" s="167"/>
      <c r="Q11" s="256"/>
    </row>
    <row r="12" spans="2:28" s="14" customFormat="1" ht="24" customHeight="1">
      <c r="C12" s="101" t="s">
        <v>78</v>
      </c>
      <c r="D12" s="141">
        <v>6.25E-2</v>
      </c>
      <c r="E12" s="167"/>
      <c r="M12" s="124"/>
      <c r="N12" s="124"/>
      <c r="O12" s="172"/>
      <c r="P12" s="171"/>
      <c r="Q12" s="171"/>
      <c r="R12" s="52"/>
      <c r="S12" s="170" t="s">
        <v>60</v>
      </c>
      <c r="T12" s="170" t="s">
        <v>61</v>
      </c>
      <c r="U12" s="170" t="s">
        <v>62</v>
      </c>
      <c r="V12" s="170" t="s">
        <v>63</v>
      </c>
      <c r="W12" s="170" t="s">
        <v>64</v>
      </c>
      <c r="X12" s="170" t="s">
        <v>65</v>
      </c>
      <c r="Y12" s="170" t="s">
        <v>66</v>
      </c>
      <c r="Z12" s="170" t="s">
        <v>67</v>
      </c>
      <c r="AA12" s="170" t="s">
        <v>68</v>
      </c>
      <c r="AB12" s="169" t="s">
        <v>69</v>
      </c>
    </row>
    <row r="13" spans="2:28" s="14" customFormat="1" ht="24" customHeight="1">
      <c r="C13" s="101"/>
      <c r="D13" s="141"/>
      <c r="E13" s="167"/>
      <c r="O13" s="139" t="s">
        <v>94</v>
      </c>
      <c r="S13" s="121" t="s">
        <v>46</v>
      </c>
      <c r="T13" s="121" t="s">
        <v>46</v>
      </c>
      <c r="U13" s="121" t="s">
        <v>46</v>
      </c>
      <c r="V13" s="152">
        <f>H57/$D45</f>
        <v>1.4128426138193526</v>
      </c>
      <c r="W13" s="152">
        <f>I57/$D45</f>
        <v>1.9694124667603723</v>
      </c>
      <c r="X13" s="152">
        <f>J57/$D45</f>
        <v>2.7911420737494925</v>
      </c>
      <c r="Y13" s="152">
        <f>K57/$D45</f>
        <v>4.1643543325307055</v>
      </c>
      <c r="Z13" s="152">
        <f>L57/$D45</f>
        <v>23.610222715243498</v>
      </c>
      <c r="AA13" s="152">
        <v>0</v>
      </c>
      <c r="AB13" s="151">
        <v>0</v>
      </c>
    </row>
    <row r="14" spans="2:28" s="14" customFormat="1" ht="24" customHeight="1">
      <c r="C14" s="101"/>
      <c r="D14" s="168"/>
      <c r="E14" s="167"/>
      <c r="O14" s="139" t="s">
        <v>36</v>
      </c>
      <c r="S14" s="166" t="s">
        <v>46</v>
      </c>
      <c r="T14" s="166" t="s">
        <v>46</v>
      </c>
      <c r="U14" s="166" t="s">
        <v>46</v>
      </c>
      <c r="V14" s="165">
        <f>H122</f>
        <v>-1.5404130272763799</v>
      </c>
      <c r="W14" s="165">
        <f>I122</f>
        <v>-1.0461060456883229</v>
      </c>
      <c r="X14" s="165">
        <f>J122</f>
        <v>-1.7823517574216952</v>
      </c>
      <c r="Y14" s="165">
        <f>K122</f>
        <v>-0.56141923410369876</v>
      </c>
      <c r="Z14" s="165">
        <f>L122</f>
        <v>15.943835451370861</v>
      </c>
      <c r="AA14" s="165">
        <v>0</v>
      </c>
      <c r="AB14" s="164">
        <v>0</v>
      </c>
    </row>
    <row r="15" spans="2:28" s="14" customFormat="1" ht="24" customHeight="1">
      <c r="C15" s="101" t="s">
        <v>114</v>
      </c>
      <c r="D15" s="163">
        <v>10000000</v>
      </c>
      <c r="E15" s="105"/>
      <c r="O15" s="139"/>
      <c r="S15" s="101"/>
      <c r="T15" s="101"/>
      <c r="U15" s="101"/>
      <c r="AB15" s="142"/>
    </row>
    <row r="16" spans="2:28" s="14" customFormat="1" ht="24" customHeight="1">
      <c r="C16" s="101" t="s">
        <v>10</v>
      </c>
      <c r="D16" s="162">
        <v>100</v>
      </c>
      <c r="E16" s="161"/>
      <c r="G16" s="159"/>
      <c r="I16" s="38"/>
      <c r="J16" s="160"/>
      <c r="K16" s="160"/>
      <c r="L16" s="160"/>
      <c r="O16" s="287" t="s">
        <v>113</v>
      </c>
      <c r="P16" s="286"/>
      <c r="Q16" s="286"/>
      <c r="R16" s="286"/>
      <c r="S16" s="285" t="s">
        <v>46</v>
      </c>
      <c r="T16" s="285" t="s">
        <v>46</v>
      </c>
      <c r="U16" s="285" t="s">
        <v>46</v>
      </c>
      <c r="V16" s="284">
        <f t="shared" ref="V16:AB16" si="0">V14/100</f>
        <v>-1.5404130272763798E-2</v>
      </c>
      <c r="W16" s="284">
        <f t="shared" si="0"/>
        <v>-1.0461060456883229E-2</v>
      </c>
      <c r="X16" s="284">
        <f t="shared" si="0"/>
        <v>-1.7823517574216952E-2</v>
      </c>
      <c r="Y16" s="284">
        <f t="shared" si="0"/>
        <v>-5.6141923410369873E-3</v>
      </c>
      <c r="Z16" s="283">
        <f t="shared" si="0"/>
        <v>0.15943835451370861</v>
      </c>
      <c r="AA16" s="283">
        <f t="shared" si="0"/>
        <v>0</v>
      </c>
      <c r="AB16" s="301">
        <f t="shared" si="0"/>
        <v>0</v>
      </c>
    </row>
    <row r="17" spans="3:28" s="14" customFormat="1" ht="24" customHeight="1">
      <c r="C17" s="95" t="s">
        <v>73</v>
      </c>
      <c r="D17" s="141">
        <v>0</v>
      </c>
      <c r="G17" s="331"/>
      <c r="I17" s="38"/>
      <c r="J17" s="158"/>
      <c r="K17" s="158"/>
      <c r="L17" s="158"/>
      <c r="O17" s="139"/>
      <c r="S17" s="101"/>
      <c r="T17" s="101"/>
      <c r="U17" s="101"/>
      <c r="AB17" s="142"/>
    </row>
    <row r="18" spans="3:28" s="14" customFormat="1" ht="24" customHeight="1">
      <c r="C18" s="101"/>
      <c r="D18" s="154"/>
      <c r="G18" s="192"/>
      <c r="O18" s="139" t="s">
        <v>112</v>
      </c>
      <c r="S18" s="147">
        <f t="shared" ref="S18:Z18" si="1">E110</f>
        <v>98.026487712019218</v>
      </c>
      <c r="T18" s="147">
        <f t="shared" si="1"/>
        <v>98.248182161037491</v>
      </c>
      <c r="U18" s="147">
        <f t="shared" si="1"/>
        <v>98.174286567476003</v>
      </c>
      <c r="V18" s="147">
        <f t="shared" si="1"/>
        <v>130.60398084350919</v>
      </c>
      <c r="W18" s="147">
        <f t="shared" si="1"/>
        <v>130.82280445092701</v>
      </c>
      <c r="X18" s="147">
        <f t="shared" si="1"/>
        <v>212.58117663574379</v>
      </c>
      <c r="Y18" s="147">
        <f t="shared" si="1"/>
        <v>213.04388267269169</v>
      </c>
      <c r="Z18" s="147">
        <f t="shared" si="1"/>
        <v>290.58007487289314</v>
      </c>
      <c r="AA18" s="147">
        <v>0</v>
      </c>
      <c r="AB18" s="155">
        <v>0</v>
      </c>
    </row>
    <row r="19" spans="3:28" s="14" customFormat="1" ht="24" customHeight="1">
      <c r="C19" s="101" t="s">
        <v>111</v>
      </c>
      <c r="D19" s="148">
        <v>0.02</v>
      </c>
      <c r="G19" s="192"/>
      <c r="O19" s="139" t="s">
        <v>110</v>
      </c>
      <c r="S19" s="157">
        <f t="shared" ref="S19:Z19" si="2">E92/$D45</f>
        <v>0</v>
      </c>
      <c r="T19" s="157">
        <f t="shared" si="2"/>
        <v>0</v>
      </c>
      <c r="U19" s="157">
        <f t="shared" si="2"/>
        <v>0</v>
      </c>
      <c r="V19" s="157">
        <f t="shared" si="2"/>
        <v>0</v>
      </c>
      <c r="W19" s="157">
        <f t="shared" si="2"/>
        <v>0</v>
      </c>
      <c r="X19" s="157">
        <f t="shared" si="2"/>
        <v>0</v>
      </c>
      <c r="Y19" s="157">
        <f t="shared" si="2"/>
        <v>0</v>
      </c>
      <c r="Z19" s="157">
        <f t="shared" si="2"/>
        <v>0</v>
      </c>
      <c r="AA19" s="157">
        <v>0</v>
      </c>
      <c r="AB19" s="156">
        <v>0</v>
      </c>
    </row>
    <row r="20" spans="3:28" s="14" customFormat="1" ht="24" customHeight="1">
      <c r="C20" s="101"/>
      <c r="D20" s="148"/>
      <c r="G20" s="328"/>
      <c r="O20" s="139"/>
      <c r="S20" s="101"/>
      <c r="T20" s="101"/>
      <c r="U20" s="101"/>
      <c r="AB20" s="142"/>
    </row>
    <row r="21" spans="3:28" s="14" customFormat="1" ht="24" customHeight="1">
      <c r="C21" s="101" t="s">
        <v>5</v>
      </c>
      <c r="D21" s="141">
        <v>0</v>
      </c>
      <c r="G21" s="328"/>
      <c r="O21" s="139" t="s">
        <v>109</v>
      </c>
      <c r="S21" s="147">
        <f t="shared" ref="S21:Z21" si="3">E115</f>
        <v>98.026487712019218</v>
      </c>
      <c r="T21" s="147">
        <f t="shared" si="3"/>
        <v>98.248182161037491</v>
      </c>
      <c r="U21" s="147">
        <f t="shared" si="3"/>
        <v>98.174286567476003</v>
      </c>
      <c r="V21" s="147">
        <f t="shared" si="3"/>
        <v>130.60398084350919</v>
      </c>
      <c r="W21" s="147">
        <f t="shared" si="3"/>
        <v>130.82280445092701</v>
      </c>
      <c r="X21" s="147">
        <f t="shared" si="3"/>
        <v>212.58117663574379</v>
      </c>
      <c r="Y21" s="147">
        <f t="shared" si="3"/>
        <v>213.04388267269169</v>
      </c>
      <c r="Z21" s="147">
        <f t="shared" si="3"/>
        <v>290.58007487289314</v>
      </c>
      <c r="AA21" s="147">
        <v>0</v>
      </c>
      <c r="AB21" s="155">
        <v>0</v>
      </c>
    </row>
    <row r="22" spans="3:28" s="14" customFormat="1" ht="24" customHeight="1">
      <c r="C22" s="101"/>
      <c r="D22" s="154"/>
      <c r="G22" s="192"/>
      <c r="O22" s="139"/>
      <c r="S22" s="101"/>
      <c r="T22" s="101"/>
      <c r="U22" s="101"/>
      <c r="AB22" s="142"/>
    </row>
    <row r="23" spans="3:28" s="14" customFormat="1" ht="24" customHeight="1">
      <c r="C23" s="101" t="s">
        <v>4</v>
      </c>
      <c r="D23" s="144">
        <v>30000</v>
      </c>
      <c r="G23" s="192"/>
      <c r="I23" s="19"/>
      <c r="O23" s="276" t="s">
        <v>108</v>
      </c>
      <c r="P23" s="154"/>
      <c r="Q23" s="153">
        <v>6.9500000000000006E-2</v>
      </c>
      <c r="R23" s="154"/>
      <c r="S23" s="275">
        <v>100</v>
      </c>
      <c r="T23" s="275">
        <v>100</v>
      </c>
      <c r="U23" s="275">
        <v>100</v>
      </c>
      <c r="V23" s="274">
        <v>125.8</v>
      </c>
      <c r="W23" s="274">
        <v>132.1</v>
      </c>
      <c r="X23" s="274">
        <v>171.5</v>
      </c>
      <c r="Y23" s="274">
        <v>177.3</v>
      </c>
      <c r="Z23" s="274">
        <f>Z14/Q23</f>
        <v>229.40770433627137</v>
      </c>
      <c r="AA23" s="274">
        <f>AA14/Q23</f>
        <v>0</v>
      </c>
      <c r="AB23" s="300">
        <f>AB14/Q23</f>
        <v>0</v>
      </c>
    </row>
    <row r="24" spans="3:28" s="14" customFormat="1" ht="24" customHeight="1">
      <c r="C24" s="101" t="s">
        <v>0</v>
      </c>
      <c r="D24" s="144">
        <v>20000</v>
      </c>
      <c r="G24" s="192"/>
      <c r="O24" s="139"/>
      <c r="S24" s="101"/>
      <c r="T24" s="101"/>
      <c r="U24" s="101"/>
      <c r="V24" s="150">
        <f>(V23-V21)/V21</f>
        <v>-3.6782805642542896E-2</v>
      </c>
      <c r="W24" s="150">
        <f>(W23-W21)/W21</f>
        <v>9.7627898624667881E-3</v>
      </c>
      <c r="X24" s="150">
        <f>(X23-X21)/X21</f>
        <v>-0.19324936142458213</v>
      </c>
      <c r="Y24" s="271">
        <f>(Y23-Y21)/Y21</f>
        <v>-0.16777708997918761</v>
      </c>
      <c r="Z24" s="271">
        <f>(Z23-Z21)/Z21</f>
        <v>-0.21051811815858354</v>
      </c>
      <c r="AA24" s="271">
        <v>0</v>
      </c>
      <c r="AB24" s="299">
        <v>0</v>
      </c>
    </row>
    <row r="25" spans="3:28" s="14" customFormat="1" ht="24" customHeight="1">
      <c r="C25" s="101" t="s">
        <v>107</v>
      </c>
      <c r="D25" s="141">
        <v>0</v>
      </c>
      <c r="O25" s="139" t="s">
        <v>106</v>
      </c>
      <c r="S25" s="101"/>
      <c r="T25" s="101"/>
      <c r="U25" s="101"/>
      <c r="AB25" s="142"/>
    </row>
    <row r="26" spans="3:28" s="14" customFormat="1" ht="24" customHeight="1">
      <c r="C26" s="101"/>
      <c r="D26" s="146"/>
      <c r="O26" s="139"/>
      <c r="S26" s="101"/>
      <c r="T26" s="101"/>
      <c r="U26" s="101"/>
      <c r="AB26" s="142"/>
    </row>
    <row r="27" spans="3:28" s="14" customFormat="1" ht="24" customHeight="1">
      <c r="C27" s="101" t="s">
        <v>47</v>
      </c>
      <c r="D27" s="148">
        <v>0</v>
      </c>
      <c r="O27" s="139" t="s">
        <v>105</v>
      </c>
      <c r="S27" s="101"/>
      <c r="T27" s="101"/>
      <c r="U27" s="101"/>
      <c r="Z27" s="268">
        <f>((Z23/100)^(1/8))-1</f>
        <v>0.10936893359584565</v>
      </c>
      <c r="AB27" s="142"/>
    </row>
    <row r="28" spans="3:28" s="14" customFormat="1" ht="24" customHeight="1">
      <c r="C28" s="95" t="s">
        <v>48</v>
      </c>
      <c r="D28" s="148">
        <v>0</v>
      </c>
      <c r="G28" s="32"/>
      <c r="H28" s="17"/>
      <c r="J28" s="147"/>
      <c r="K28" s="147"/>
      <c r="L28" s="147"/>
      <c r="O28" s="139" t="s">
        <v>104</v>
      </c>
      <c r="S28" s="101"/>
      <c r="T28" s="101"/>
      <c r="U28" s="101"/>
      <c r="Z28" s="34">
        <f>Z14/Z23</f>
        <v>6.9500000000000006E-2</v>
      </c>
      <c r="AA28" s="34">
        <v>0</v>
      </c>
      <c r="AB28" s="138">
        <v>0</v>
      </c>
    </row>
    <row r="29" spans="3:28" s="14" customFormat="1" ht="24" customHeight="1">
      <c r="C29" s="101" t="s">
        <v>49</v>
      </c>
      <c r="D29" s="141">
        <v>0</v>
      </c>
      <c r="I29" s="143"/>
      <c r="O29" s="139"/>
      <c r="S29" s="101"/>
      <c r="T29" s="101"/>
      <c r="U29" s="101"/>
      <c r="AB29" s="142"/>
    </row>
    <row r="30" spans="3:28" s="14" customFormat="1" ht="24" customHeight="1">
      <c r="C30" s="101" t="s">
        <v>103</v>
      </c>
      <c r="D30" s="141">
        <v>0</v>
      </c>
      <c r="J30" s="147"/>
      <c r="K30" s="147"/>
      <c r="L30" s="147"/>
      <c r="O30" s="139" t="s">
        <v>39</v>
      </c>
      <c r="S30" s="121" t="s">
        <v>46</v>
      </c>
      <c r="T30" s="121" t="s">
        <v>46</v>
      </c>
      <c r="U30" s="121" t="s">
        <v>46</v>
      </c>
      <c r="V30" s="120">
        <v>0</v>
      </c>
      <c r="W30" s="120">
        <v>0</v>
      </c>
      <c r="X30" s="120">
        <v>0</v>
      </c>
      <c r="Y30" s="120">
        <v>0</v>
      </c>
      <c r="Z30" s="120">
        <v>0</v>
      </c>
      <c r="AA30" s="120">
        <v>0</v>
      </c>
      <c r="AB30" s="145">
        <v>0</v>
      </c>
    </row>
    <row r="31" spans="3:28" s="14" customFormat="1" ht="24" customHeight="1">
      <c r="C31" s="101" t="s">
        <v>102</v>
      </c>
      <c r="D31" s="141">
        <v>0</v>
      </c>
      <c r="G31" s="19"/>
      <c r="J31" s="34"/>
      <c r="K31" s="34"/>
      <c r="L31" s="34"/>
      <c r="O31" s="139" t="s">
        <v>101</v>
      </c>
      <c r="S31" s="121" t="s">
        <v>46</v>
      </c>
      <c r="T31" s="121" t="s">
        <v>46</v>
      </c>
      <c r="U31" s="121" t="s">
        <v>46</v>
      </c>
      <c r="V31" s="120">
        <f>H106</f>
        <v>0</v>
      </c>
      <c r="W31" s="120">
        <f>I106</f>
        <v>0</v>
      </c>
      <c r="X31" s="120">
        <f>J106</f>
        <v>0</v>
      </c>
      <c r="Y31" s="120">
        <f>K106</f>
        <v>0</v>
      </c>
      <c r="Z31" s="120">
        <f>L106</f>
        <v>0</v>
      </c>
      <c r="AA31" s="120">
        <v>0</v>
      </c>
      <c r="AB31" s="145">
        <v>0</v>
      </c>
    </row>
    <row r="32" spans="3:28" s="14" customFormat="1" ht="24" customHeight="1">
      <c r="C32" s="101"/>
      <c r="D32" s="146"/>
      <c r="O32" s="139" t="s">
        <v>100</v>
      </c>
      <c r="S32" s="121" t="s">
        <v>46</v>
      </c>
      <c r="T32" s="121" t="s">
        <v>46</v>
      </c>
      <c r="U32" s="121" t="s">
        <v>46</v>
      </c>
      <c r="V32" s="120">
        <f>V19/V18</f>
        <v>0</v>
      </c>
      <c r="W32" s="120">
        <f>W19/W18</f>
        <v>0</v>
      </c>
      <c r="X32" s="120">
        <f>X19/X18</f>
        <v>0</v>
      </c>
      <c r="Y32" s="120">
        <f>Y19/Y18</f>
        <v>0</v>
      </c>
      <c r="Z32" s="120">
        <f>Z19/Z18</f>
        <v>0</v>
      </c>
      <c r="AA32" s="120">
        <v>0</v>
      </c>
      <c r="AB32" s="145">
        <v>0</v>
      </c>
    </row>
    <row r="33" spans="2:28" s="14" customFormat="1" ht="24" customHeight="1">
      <c r="C33" s="101" t="s">
        <v>99</v>
      </c>
      <c r="D33" s="144">
        <v>15000</v>
      </c>
      <c r="I33" s="143"/>
      <c r="J33" s="121"/>
      <c r="K33" s="121"/>
      <c r="L33" s="121"/>
      <c r="O33" s="139"/>
      <c r="S33" s="101"/>
      <c r="T33" s="101"/>
      <c r="U33" s="101"/>
      <c r="AB33" s="142"/>
    </row>
    <row r="34" spans="2:28" s="14" customFormat="1" ht="24" customHeight="1">
      <c r="C34" s="101" t="s">
        <v>98</v>
      </c>
      <c r="D34" s="141">
        <v>0.02</v>
      </c>
      <c r="E34" s="140"/>
      <c r="F34" s="103"/>
      <c r="G34" s="103"/>
      <c r="O34" s="139" t="s">
        <v>97</v>
      </c>
      <c r="S34" s="34">
        <f t="shared" ref="S34:Z34" si="4">E117</f>
        <v>2.5401551747566038E-2</v>
      </c>
      <c r="T34" s="34">
        <f t="shared" si="4"/>
        <v>2.5293581986191763E-2</v>
      </c>
      <c r="U34" s="34">
        <f t="shared" si="4"/>
        <v>2.5199797484863975E-2</v>
      </c>
      <c r="V34" s="34">
        <f t="shared" si="4"/>
        <v>2.3922797941895352E-2</v>
      </c>
      <c r="W34" s="34">
        <f t="shared" si="4"/>
        <v>2.3938888412225776E-2</v>
      </c>
      <c r="X34" s="34">
        <f t="shared" si="4"/>
        <v>2.2445698113267753E-2</v>
      </c>
      <c r="Y34" s="34">
        <f t="shared" si="4"/>
        <v>2.2474963474501907E-2</v>
      </c>
      <c r="Z34" s="34">
        <f t="shared" si="4"/>
        <v>2.6383045249148983E-2</v>
      </c>
      <c r="AA34" s="34">
        <v>0</v>
      </c>
      <c r="AB34" s="138">
        <v>0</v>
      </c>
    </row>
    <row r="35" spans="2:28" s="14" customFormat="1" ht="24" customHeight="1">
      <c r="C35" s="101"/>
      <c r="D35" s="17"/>
      <c r="E35" s="137"/>
      <c r="G35" s="32"/>
      <c r="O35" s="135" t="s">
        <v>136</v>
      </c>
      <c r="P35" s="134"/>
      <c r="Q35" s="134"/>
      <c r="R35" s="134"/>
      <c r="S35" s="133" t="s">
        <v>46</v>
      </c>
      <c r="T35" s="133" t="s">
        <v>46</v>
      </c>
      <c r="U35" s="133" t="s">
        <v>46</v>
      </c>
      <c r="V35" s="132">
        <f>+F6</f>
        <v>31612.903225806451</v>
      </c>
      <c r="W35" s="132">
        <f>V35</f>
        <v>31612.903225806451</v>
      </c>
      <c r="X35" s="132">
        <f>+W35+F7</f>
        <v>31612.903225806451</v>
      </c>
      <c r="Y35" s="132">
        <f>X35</f>
        <v>31612.903225806451</v>
      </c>
      <c r="Z35" s="131">
        <f>(D43+D48+D49)/E6</f>
        <v>31612.903225806451</v>
      </c>
      <c r="AA35" s="130">
        <f>Z35</f>
        <v>31612.903225806451</v>
      </c>
      <c r="AB35" s="129">
        <f>AA35</f>
        <v>31612.903225806451</v>
      </c>
    </row>
    <row r="36" spans="2:28" s="14" customFormat="1" ht="24" customHeight="1">
      <c r="O36" s="124"/>
      <c r="P36" s="124"/>
      <c r="Q36" s="124"/>
      <c r="R36" s="124"/>
      <c r="S36" s="124"/>
      <c r="T36" s="124"/>
      <c r="U36" s="124"/>
      <c r="V36" s="124"/>
      <c r="W36" s="2"/>
      <c r="X36" s="2"/>
      <c r="Y36" s="2"/>
      <c r="Z36" s="2"/>
      <c r="AA36" s="2"/>
    </row>
    <row r="37" spans="2:28" s="14" customFormat="1" ht="24" customHeight="1">
      <c r="C37" s="102" t="s">
        <v>35</v>
      </c>
      <c r="D37" s="128"/>
      <c r="F37" s="127"/>
      <c r="G37" s="32"/>
      <c r="H37" s="2"/>
      <c r="J37" s="121"/>
      <c r="K37" s="121"/>
      <c r="L37" s="121"/>
      <c r="M37" s="125"/>
      <c r="N37" s="12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8" ht="24" customHeight="1">
      <c r="B38" s="14"/>
      <c r="C38" s="19" t="s">
        <v>13</v>
      </c>
      <c r="D38" s="111">
        <f>D15-D32</f>
        <v>10000000</v>
      </c>
      <c r="E38" s="19"/>
      <c r="G38" s="14"/>
      <c r="H38" s="14"/>
      <c r="I38" s="14"/>
      <c r="J38" s="34"/>
      <c r="K38" s="34"/>
      <c r="L38" s="34"/>
      <c r="M38" s="124"/>
      <c r="N38" s="124"/>
      <c r="O38" s="259" t="s">
        <v>42</v>
      </c>
      <c r="P38" s="52"/>
      <c r="Q38" s="52"/>
      <c r="R38" s="52"/>
      <c r="S38" s="171" t="s">
        <v>96</v>
      </c>
      <c r="T38" s="258" t="s">
        <v>95</v>
      </c>
    </row>
    <row r="39" spans="2:28" ht="24" customHeight="1">
      <c r="B39" s="14"/>
      <c r="C39" s="19" t="s">
        <v>9</v>
      </c>
      <c r="D39" s="123">
        <f>D17*D38</f>
        <v>0</v>
      </c>
      <c r="E39" s="122"/>
      <c r="F39" s="107"/>
      <c r="G39" s="107"/>
      <c r="H39" s="34"/>
      <c r="J39" s="121"/>
      <c r="K39" s="121"/>
      <c r="L39" s="121"/>
      <c r="O39" s="139"/>
      <c r="P39" s="14"/>
      <c r="Q39" s="14"/>
      <c r="R39" s="14"/>
      <c r="S39" s="14"/>
      <c r="T39" s="142"/>
    </row>
    <row r="40" spans="2:28" ht="24" customHeight="1">
      <c r="B40" s="14"/>
      <c r="C40" s="14" t="s">
        <v>2</v>
      </c>
      <c r="D40" s="119">
        <f>+D27*D38</f>
        <v>0</v>
      </c>
      <c r="E40" s="114"/>
      <c r="F40" s="107"/>
      <c r="G40" s="116"/>
      <c r="H40" s="14"/>
      <c r="I40" s="14"/>
      <c r="J40" s="14"/>
      <c r="K40" s="14"/>
      <c r="L40" s="14"/>
      <c r="O40" s="139" t="s">
        <v>94</v>
      </c>
      <c r="P40" s="14"/>
      <c r="Q40" s="14"/>
      <c r="R40" s="14"/>
      <c r="S40" s="152">
        <f>Z13</f>
        <v>23.610222715243498</v>
      </c>
      <c r="T40" s="149">
        <f>S40/S40</f>
        <v>1</v>
      </c>
    </row>
    <row r="41" spans="2:28" ht="24" customHeight="1">
      <c r="B41" s="14"/>
      <c r="C41" s="52" t="s">
        <v>32</v>
      </c>
      <c r="D41" s="118">
        <f>D38-D39-D40</f>
        <v>10000000</v>
      </c>
      <c r="E41" s="117"/>
      <c r="F41" s="113"/>
      <c r="G41" s="257"/>
      <c r="H41" s="256"/>
      <c r="O41" s="255"/>
      <c r="T41" s="254"/>
    </row>
    <row r="42" spans="2:28" ht="24" customHeight="1">
      <c r="B42" s="14"/>
      <c r="C42" s="102" t="s">
        <v>3</v>
      </c>
      <c r="D42" s="115">
        <f>D34*D38</f>
        <v>200000</v>
      </c>
      <c r="E42" s="114"/>
      <c r="F42" s="113"/>
      <c r="G42" s="112"/>
      <c r="H42" s="34"/>
      <c r="J42" s="34"/>
      <c r="K42" s="34"/>
      <c r="L42" s="34"/>
      <c r="O42" s="139"/>
      <c r="P42" s="14" t="s">
        <v>59</v>
      </c>
      <c r="Q42" s="14"/>
      <c r="R42" s="14"/>
      <c r="S42" s="253">
        <f>L63/D45</f>
        <v>7.1663822638226389</v>
      </c>
      <c r="T42" s="138">
        <f>S42/S40</f>
        <v>0.30352878709593017</v>
      </c>
    </row>
    <row r="43" spans="2:28" ht="24" customHeight="1">
      <c r="B43" s="14"/>
      <c r="C43" s="24" t="s">
        <v>33</v>
      </c>
      <c r="D43" s="111">
        <f>D41-D42</f>
        <v>9800000</v>
      </c>
      <c r="E43" s="19"/>
      <c r="F43" s="14"/>
      <c r="G43" s="14"/>
      <c r="H43" s="14"/>
      <c r="O43" s="139"/>
      <c r="P43" s="14"/>
      <c r="Q43" s="14"/>
      <c r="R43" s="14"/>
      <c r="S43" s="253"/>
      <c r="T43" s="138"/>
    </row>
    <row r="44" spans="2:28" ht="24" customHeight="1">
      <c r="B44" s="14"/>
      <c r="C44" s="14"/>
      <c r="D44" s="14"/>
      <c r="E44" s="110"/>
      <c r="F44" s="14"/>
      <c r="G44" s="109"/>
      <c r="H44" s="34"/>
      <c r="J44" s="34"/>
      <c r="K44" s="34"/>
      <c r="L44" s="34"/>
      <c r="O44" s="139"/>
      <c r="P44" s="14" t="s">
        <v>93</v>
      </c>
      <c r="Q44" s="14"/>
      <c r="R44" s="14"/>
      <c r="S44" s="253">
        <f>(L64+L65)/D45</f>
        <v>0.50000500005000048</v>
      </c>
      <c r="T44" s="138">
        <f>S44/S40</f>
        <v>2.1177479182658519E-2</v>
      </c>
    </row>
    <row r="45" spans="2:28" ht="24" customHeight="1">
      <c r="B45" s="14"/>
      <c r="C45" s="32" t="s">
        <v>11</v>
      </c>
      <c r="D45" s="108">
        <f>ROUND(+((D38/D16)/(1-D21)),0)-1</f>
        <v>99999</v>
      </c>
      <c r="E45" s="329"/>
      <c r="F45" s="107"/>
      <c r="G45" s="106"/>
      <c r="H45" s="14"/>
      <c r="I45" s="14"/>
      <c r="J45" s="14"/>
      <c r="K45" s="14"/>
      <c r="L45" s="14"/>
      <c r="O45" s="139"/>
      <c r="P45" s="14" t="s">
        <v>92</v>
      </c>
      <c r="Q45" s="14"/>
      <c r="R45" s="14"/>
      <c r="S45" s="253">
        <f>(L69/D45)*-1</f>
        <v>0</v>
      </c>
      <c r="T45" s="138">
        <f>S45/S40</f>
        <v>0</v>
      </c>
    </row>
    <row r="46" spans="2:28" ht="24" customHeight="1">
      <c r="B46" s="14"/>
      <c r="C46" s="14"/>
      <c r="D46" s="105"/>
      <c r="E46" s="104"/>
      <c r="F46" s="103"/>
      <c r="G46" s="103"/>
      <c r="H46" s="14"/>
      <c r="O46" s="139"/>
      <c r="P46" s="14"/>
      <c r="Q46" s="14"/>
      <c r="R46" s="14"/>
      <c r="S46" s="14"/>
      <c r="T46" s="142"/>
    </row>
    <row r="47" spans="2:28" ht="24" customHeight="1">
      <c r="B47" s="14"/>
      <c r="C47" s="102" t="s">
        <v>34</v>
      </c>
      <c r="D47" s="82"/>
      <c r="E47" s="128" t="s">
        <v>91</v>
      </c>
      <c r="O47" s="139" t="s">
        <v>90</v>
      </c>
      <c r="P47" s="14"/>
      <c r="Q47" s="14"/>
      <c r="R47" s="14"/>
      <c r="S47" s="14"/>
      <c r="T47" s="142"/>
    </row>
    <row r="48" spans="2:28" ht="24" customHeight="1">
      <c r="B48" s="14"/>
      <c r="C48" s="99" t="s">
        <v>50</v>
      </c>
      <c r="D48" s="98">
        <f>+E48-E48*0.03</f>
        <v>0</v>
      </c>
      <c r="E48" s="93">
        <v>0</v>
      </c>
      <c r="F48" s="97"/>
      <c r="O48" s="139"/>
      <c r="P48" s="14"/>
      <c r="Q48" s="14"/>
      <c r="R48" s="14"/>
      <c r="S48" s="14"/>
      <c r="T48" s="142"/>
    </row>
    <row r="49" spans="1:65" ht="24" customHeight="1">
      <c r="B49" s="14"/>
      <c r="C49" s="95" t="s">
        <v>44</v>
      </c>
      <c r="D49" s="94">
        <f>+E49-E49*0.03</f>
        <v>0</v>
      </c>
      <c r="E49" s="93">
        <v>0</v>
      </c>
      <c r="F49" s="5"/>
      <c r="G49" s="96"/>
      <c r="K49" s="88"/>
      <c r="L49" s="88"/>
      <c r="O49" s="139"/>
      <c r="P49" s="14" t="s">
        <v>89</v>
      </c>
      <c r="Q49" s="14"/>
      <c r="R49" s="14"/>
      <c r="S49" s="103" t="e">
        <f>(#REF!/D45)*-1</f>
        <v>#REF!</v>
      </c>
      <c r="T49" s="138" t="e">
        <f>S49/S40</f>
        <v>#REF!</v>
      </c>
    </row>
    <row r="50" spans="1:65" ht="24" customHeight="1">
      <c r="B50" s="14"/>
      <c r="C50" s="95" t="s">
        <v>51</v>
      </c>
      <c r="D50" s="94"/>
      <c r="E50" s="93">
        <f>SUM(E48:E49)</f>
        <v>0</v>
      </c>
      <c r="F50" s="92"/>
      <c r="K50" s="88"/>
      <c r="L50" s="88"/>
      <c r="O50" s="135"/>
      <c r="P50" s="134" t="s">
        <v>36</v>
      </c>
      <c r="Q50" s="134"/>
      <c r="R50" s="134"/>
      <c r="S50" s="252">
        <f>(L84/D45)*-1</f>
        <v>-14.349453494534945</v>
      </c>
      <c r="T50" s="251">
        <f>S50/S40</f>
        <v>-0.60776442762102745</v>
      </c>
    </row>
    <row r="51" spans="1:65" ht="24" customHeight="1">
      <c r="B51" s="14"/>
      <c r="C51" s="91"/>
      <c r="D51" s="90"/>
      <c r="F51" s="89"/>
      <c r="K51" s="88"/>
      <c r="L51" s="88"/>
    </row>
    <row r="52" spans="1:65" s="8" customFormat="1" ht="24" customHeight="1" thickBot="1">
      <c r="A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</row>
    <row r="53" spans="1:65" ht="29" customHeight="1">
      <c r="B53" s="87"/>
      <c r="C53" s="86"/>
      <c r="D53" s="85"/>
      <c r="E53" s="84"/>
      <c r="F53" s="84"/>
      <c r="G53" s="84"/>
      <c r="H53" s="84"/>
      <c r="I53" s="84"/>
      <c r="J53" s="84"/>
      <c r="K53" s="84"/>
      <c r="L53" s="84"/>
    </row>
    <row r="54" spans="1:65" ht="29" customHeight="1">
      <c r="B54" s="15"/>
      <c r="C54" s="14"/>
      <c r="D54" s="14"/>
      <c r="E54" s="250"/>
      <c r="F54" s="250"/>
      <c r="G54" s="250"/>
      <c r="H54" s="250"/>
      <c r="I54" s="250"/>
      <c r="J54" s="250"/>
      <c r="K54" s="250"/>
      <c r="L54" s="250"/>
    </row>
    <row r="55" spans="1:65" s="80" customFormat="1" ht="29" customHeight="1">
      <c r="B55" s="197"/>
      <c r="C55" s="82"/>
      <c r="D55" s="82"/>
      <c r="E55" s="250">
        <v>1</v>
      </c>
      <c r="F55" s="250">
        <v>2</v>
      </c>
      <c r="G55" s="250">
        <v>3</v>
      </c>
      <c r="H55" s="250">
        <v>4</v>
      </c>
      <c r="I55" s="250">
        <v>5</v>
      </c>
      <c r="J55" s="250">
        <v>6</v>
      </c>
      <c r="K55" s="250">
        <v>7</v>
      </c>
      <c r="L55" s="250">
        <v>8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</row>
    <row r="56" spans="1:65" ht="29" customHeight="1">
      <c r="B56" s="15"/>
      <c r="C56" s="249" t="s">
        <v>8</v>
      </c>
      <c r="D56" s="229"/>
      <c r="E56" s="229"/>
      <c r="F56" s="229"/>
      <c r="G56" s="229"/>
      <c r="H56" s="229"/>
      <c r="I56" s="229"/>
      <c r="J56" s="229"/>
      <c r="K56" s="229"/>
      <c r="L56" s="229"/>
    </row>
    <row r="57" spans="1:65" ht="29" customHeight="1">
      <c r="B57" s="15"/>
      <c r="C57" s="32" t="s">
        <v>88</v>
      </c>
      <c r="D57" s="14"/>
      <c r="E57" s="43">
        <f>($D$43/100)*('[1]PCLP 1_250M'!E123*100)</f>
        <v>0</v>
      </c>
      <c r="F57" s="43">
        <f>($D$43/100)*('[1]PCLP 1_250M'!F123*100)</f>
        <v>0</v>
      </c>
      <c r="G57" s="43">
        <f>($D$43/100)*('[1]PCLP 1_250M'!G123*100)</f>
        <v>0</v>
      </c>
      <c r="H57" s="43">
        <f>($D$43/100)*('[1]PCLP 1_250M'!H123*100)</f>
        <v>141282.84853932145</v>
      </c>
      <c r="I57" s="43">
        <f>($D$43/100)*('[1]PCLP 1_250M'!I123*100)</f>
        <v>196939.27726357046</v>
      </c>
      <c r="J57" s="43">
        <f>($D$43/100)*('[1]PCLP 1_250M'!J123*100)</f>
        <v>279111.41623287549</v>
      </c>
      <c r="K57" s="43">
        <f>($D$43/100)*('[1]PCLP 1_250M'!K123*100)</f>
        <v>416431.26889873802</v>
      </c>
      <c r="L57" s="43">
        <f>($D$43/100)*('[1]PCLP 1_250M'!L123*100)</f>
        <v>2360998.6613016347</v>
      </c>
      <c r="M57" s="296">
        <v>37274227</v>
      </c>
    </row>
    <row r="58" spans="1:65" ht="29" customHeight="1">
      <c r="B58" s="15"/>
      <c r="C58" s="24" t="s">
        <v>87</v>
      </c>
      <c r="D58" s="14" t="s">
        <v>86</v>
      </c>
      <c r="E58" s="78">
        <v>0</v>
      </c>
      <c r="F58" s="78">
        <v>0</v>
      </c>
      <c r="G58" s="78">
        <v>0</v>
      </c>
      <c r="H58" s="77">
        <f>SUM(H57:H57)</f>
        <v>141282.84853932145</v>
      </c>
      <c r="I58" s="77">
        <f>SUM(I57:I57)</f>
        <v>196939.27726357046</v>
      </c>
      <c r="J58" s="77">
        <f>SUM(J57:J57)</f>
        <v>279111.41623287549</v>
      </c>
      <c r="K58" s="77">
        <f>SUM(K57:K57)</f>
        <v>416431.26889873802</v>
      </c>
      <c r="L58" s="77">
        <f>SUM(L57:L57)</f>
        <v>2360998.6613016347</v>
      </c>
    </row>
    <row r="59" spans="1:65" ht="29" customHeight="1">
      <c r="B59" s="15"/>
      <c r="C59" s="14"/>
      <c r="D59" s="14"/>
      <c r="E59" s="229"/>
      <c r="F59" s="229"/>
      <c r="G59" s="229"/>
      <c r="H59" s="229"/>
      <c r="I59" s="229"/>
      <c r="J59" s="229"/>
      <c r="K59" s="229"/>
      <c r="L59" s="229"/>
    </row>
    <row r="60" spans="1:65" ht="29" customHeight="1">
      <c r="B60" s="15"/>
      <c r="C60" s="249" t="s">
        <v>52</v>
      </c>
      <c r="D60" s="14"/>
      <c r="E60" s="229"/>
      <c r="F60" s="248">
        <f>SUM(E61:H65)</f>
        <v>1057335.24</v>
      </c>
      <c r="G60" s="229"/>
      <c r="H60" s="229"/>
      <c r="I60" s="229"/>
      <c r="J60" s="229"/>
      <c r="K60" s="229"/>
      <c r="L60" s="75"/>
    </row>
    <row r="61" spans="1:65" ht="29" customHeight="1">
      <c r="B61" s="15"/>
      <c r="C61" s="19" t="s">
        <v>2</v>
      </c>
      <c r="D61" s="14"/>
      <c r="E61" s="229">
        <f>$D27*$D15</f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</row>
    <row r="62" spans="1:65" ht="29" customHeight="1">
      <c r="B62" s="15"/>
      <c r="C62" s="19" t="s">
        <v>43</v>
      </c>
      <c r="D62" s="14"/>
      <c r="E62" s="229">
        <f>D39</f>
        <v>0</v>
      </c>
      <c r="F62" s="18">
        <v>0</v>
      </c>
      <c r="G62" s="18">
        <v>0</v>
      </c>
      <c r="H62" s="18">
        <f>D28*E48</f>
        <v>0</v>
      </c>
      <c r="I62" s="18">
        <v>0</v>
      </c>
      <c r="J62" s="18">
        <f>D28*E49</f>
        <v>0</v>
      </c>
      <c r="K62" s="18">
        <v>0</v>
      </c>
      <c r="L62" s="18">
        <v>0</v>
      </c>
    </row>
    <row r="63" spans="1:65" ht="29" customHeight="1">
      <c r="B63" s="15"/>
      <c r="C63" s="19" t="s">
        <v>16</v>
      </c>
      <c r="D63" s="14"/>
      <c r="E63" s="229">
        <f t="shared" ref="E63:L63" si="5">E108*$D19</f>
        <v>199000</v>
      </c>
      <c r="F63" s="229">
        <f t="shared" si="5"/>
        <v>198502.36000000002</v>
      </c>
      <c r="G63" s="229">
        <f t="shared" si="5"/>
        <v>197394.74</v>
      </c>
      <c r="H63" s="229">
        <f t="shared" si="5"/>
        <v>262438.14</v>
      </c>
      <c r="I63" s="229">
        <f t="shared" si="5"/>
        <v>263172.12</v>
      </c>
      <c r="J63" s="229">
        <f t="shared" si="5"/>
        <v>427148.52</v>
      </c>
      <c r="K63" s="229">
        <f t="shared" si="5"/>
        <v>428810.56</v>
      </c>
      <c r="L63" s="229">
        <f t="shared" si="5"/>
        <v>716631.06</v>
      </c>
      <c r="M63" s="248">
        <f>SUM(E63:L63)</f>
        <v>2693097.5</v>
      </c>
    </row>
    <row r="64" spans="1:65" ht="29" customHeight="1">
      <c r="B64" s="15"/>
      <c r="C64" s="19" t="s">
        <v>6</v>
      </c>
      <c r="D64" s="14"/>
      <c r="E64" s="229">
        <f t="shared" ref="E64:L64" si="6">$D24</f>
        <v>20000</v>
      </c>
      <c r="F64" s="229">
        <f t="shared" si="6"/>
        <v>20000</v>
      </c>
      <c r="G64" s="229">
        <f t="shared" si="6"/>
        <v>20000</v>
      </c>
      <c r="H64" s="229">
        <f t="shared" si="6"/>
        <v>20000</v>
      </c>
      <c r="I64" s="229">
        <f t="shared" si="6"/>
        <v>20000</v>
      </c>
      <c r="J64" s="229">
        <f t="shared" si="6"/>
        <v>20000</v>
      </c>
      <c r="K64" s="229">
        <f t="shared" si="6"/>
        <v>20000</v>
      </c>
      <c r="L64" s="229">
        <f t="shared" si="6"/>
        <v>20000</v>
      </c>
    </row>
    <row r="65" spans="1:65" ht="29" customHeight="1">
      <c r="B65" s="15"/>
      <c r="C65" s="19" t="s">
        <v>7</v>
      </c>
      <c r="D65" s="14"/>
      <c r="E65" s="229">
        <f t="shared" ref="E65:L65" si="7">+$D23</f>
        <v>30000</v>
      </c>
      <c r="F65" s="229">
        <f t="shared" si="7"/>
        <v>30000</v>
      </c>
      <c r="G65" s="229">
        <f t="shared" si="7"/>
        <v>30000</v>
      </c>
      <c r="H65" s="229">
        <f t="shared" si="7"/>
        <v>30000</v>
      </c>
      <c r="I65" s="229">
        <f t="shared" si="7"/>
        <v>30000</v>
      </c>
      <c r="J65" s="229">
        <f t="shared" si="7"/>
        <v>30000</v>
      </c>
      <c r="K65" s="229">
        <f t="shared" si="7"/>
        <v>30000</v>
      </c>
      <c r="L65" s="229">
        <f t="shared" si="7"/>
        <v>30000</v>
      </c>
    </row>
    <row r="66" spans="1:65" ht="29" customHeight="1">
      <c r="B66" s="15"/>
      <c r="C66" s="14" t="s">
        <v>14</v>
      </c>
      <c r="D66" s="14"/>
      <c r="E66" s="73">
        <f t="shared" ref="E66:L66" si="8">SUM(E61:E65)</f>
        <v>249000</v>
      </c>
      <c r="F66" s="73">
        <f t="shared" si="8"/>
        <v>248502.36000000002</v>
      </c>
      <c r="G66" s="73">
        <f t="shared" si="8"/>
        <v>247394.74</v>
      </c>
      <c r="H66" s="73">
        <f t="shared" si="8"/>
        <v>312438.14</v>
      </c>
      <c r="I66" s="73">
        <f t="shared" si="8"/>
        <v>313172.12</v>
      </c>
      <c r="J66" s="73">
        <f t="shared" si="8"/>
        <v>477148.52</v>
      </c>
      <c r="K66" s="73">
        <f t="shared" si="8"/>
        <v>478810.56</v>
      </c>
      <c r="L66" s="73">
        <f t="shared" si="8"/>
        <v>766631.06</v>
      </c>
    </row>
    <row r="67" spans="1:65" ht="29" customHeight="1">
      <c r="B67" s="15"/>
      <c r="C67" s="14"/>
      <c r="D67" s="14"/>
      <c r="E67" s="240"/>
      <c r="F67" s="240"/>
      <c r="G67" s="240"/>
      <c r="H67" s="240"/>
      <c r="I67" s="240"/>
      <c r="J67" s="240"/>
      <c r="K67" s="240"/>
      <c r="L67" s="240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</row>
    <row r="68" spans="1:65" s="57" customFormat="1" ht="29" customHeight="1">
      <c r="B68" s="63"/>
      <c r="C68" s="24" t="s">
        <v>85</v>
      </c>
      <c r="D68" s="243"/>
      <c r="E68" s="71">
        <f>+E57-E66</f>
        <v>-249000</v>
      </c>
      <c r="F68" s="71">
        <f>+F57-F66</f>
        <v>-248502.36000000002</v>
      </c>
      <c r="G68" s="71">
        <f>+G57-G66</f>
        <v>-247394.74</v>
      </c>
      <c r="H68" s="71">
        <f>+H58-H66</f>
        <v>-171155.29146067856</v>
      </c>
      <c r="I68" s="71">
        <f>+I58-I66</f>
        <v>-116232.84273642953</v>
      </c>
      <c r="J68" s="71">
        <f>+J58-J66</f>
        <v>-198037.10376712453</v>
      </c>
      <c r="K68" s="71">
        <f>+K58-K66</f>
        <v>-62379.291101261973</v>
      </c>
      <c r="L68" s="71">
        <f>+L58-L66</f>
        <v>1594367.6013016347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</row>
    <row r="69" spans="1:65" s="57" customFormat="1" ht="29" customHeight="1">
      <c r="B69" s="63"/>
      <c r="C69" s="24" t="s">
        <v>84</v>
      </c>
      <c r="D69" s="243"/>
      <c r="E69" s="69">
        <f t="shared" ref="E69:K69" si="9">(SUM(E79)*$D$30)-((E89+E92)/2*$D$29)</f>
        <v>0</v>
      </c>
      <c r="F69" s="69">
        <f t="shared" si="9"/>
        <v>0</v>
      </c>
      <c r="G69" s="69">
        <f t="shared" si="9"/>
        <v>0</v>
      </c>
      <c r="H69" s="69">
        <f t="shared" si="9"/>
        <v>0</v>
      </c>
      <c r="I69" s="69">
        <f t="shared" si="9"/>
        <v>0</v>
      </c>
      <c r="J69" s="69">
        <f t="shared" si="9"/>
        <v>0</v>
      </c>
      <c r="K69" s="69">
        <f t="shared" si="9"/>
        <v>0</v>
      </c>
      <c r="L69" s="69">
        <f>(SUM(L79)*$D$30)-(L89*$D$29)</f>
        <v>0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</row>
    <row r="70" spans="1:65" s="64" customFormat="1" ht="29" customHeight="1">
      <c r="B70" s="67"/>
      <c r="C70" s="247" t="s">
        <v>83</v>
      </c>
      <c r="D70" s="246"/>
      <c r="E70" s="245"/>
      <c r="F70" s="245"/>
      <c r="G70" s="245"/>
      <c r="H70" s="244" t="e">
        <f>(H69/H92)*-1</f>
        <v>#DIV/0!</v>
      </c>
      <c r="I70" s="244" t="e">
        <f>(I69/I92)*-1</f>
        <v>#DIV/0!</v>
      </c>
      <c r="J70" s="244" t="e">
        <f>(J69/J92)*-1</f>
        <v>#DIV/0!</v>
      </c>
      <c r="K70" s="244" t="e">
        <f>(K69/K92)*-1</f>
        <v>#DIV/0!</v>
      </c>
      <c r="L70" s="244" t="e">
        <f>(L69/L92)*-1</f>
        <v>#DIV/0!</v>
      </c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</row>
    <row r="71" spans="1:65" s="57" customFormat="1" ht="29" customHeight="1">
      <c r="B71" s="63"/>
      <c r="C71" s="24"/>
      <c r="D71" s="243"/>
      <c r="E71" s="240"/>
      <c r="F71" s="240"/>
      <c r="G71" s="240"/>
      <c r="H71" s="242"/>
      <c r="I71" s="242"/>
      <c r="J71" s="242"/>
      <c r="K71" s="242"/>
      <c r="L71" s="24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</row>
    <row r="72" spans="1:65" ht="29" customHeight="1" thickBot="1">
      <c r="B72" s="15"/>
      <c r="C72" s="32" t="s">
        <v>82</v>
      </c>
      <c r="D72" s="241"/>
      <c r="E72" s="61">
        <f t="shared" ref="E72:L72" si="10">SUM(E68:E69)</f>
        <v>-249000</v>
      </c>
      <c r="F72" s="61">
        <f t="shared" si="10"/>
        <v>-248502.36000000002</v>
      </c>
      <c r="G72" s="61">
        <f t="shared" si="10"/>
        <v>-247394.74</v>
      </c>
      <c r="H72" s="61">
        <f t="shared" si="10"/>
        <v>-171155.29146067856</v>
      </c>
      <c r="I72" s="61">
        <f t="shared" si="10"/>
        <v>-116232.84273642953</v>
      </c>
      <c r="J72" s="61">
        <f t="shared" si="10"/>
        <v>-198037.10376712453</v>
      </c>
      <c r="K72" s="61">
        <f t="shared" si="10"/>
        <v>-62379.291101261973</v>
      </c>
      <c r="L72" s="61">
        <f t="shared" si="10"/>
        <v>1594367.6013016347</v>
      </c>
      <c r="M72" s="19">
        <f>-L72*10%</f>
        <v>-159436.76013016349</v>
      </c>
      <c r="N72" s="298">
        <f>L72+M72</f>
        <v>1434930.8411714712</v>
      </c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</row>
    <row r="73" spans="1:65" ht="29" customHeight="1" thickTop="1">
      <c r="B73" s="15"/>
      <c r="C73" s="32"/>
      <c r="D73" s="241"/>
      <c r="E73" s="240"/>
      <c r="F73" s="240"/>
      <c r="G73" s="240"/>
      <c r="H73" s="240"/>
      <c r="I73" s="240"/>
      <c r="J73" s="240"/>
      <c r="K73" s="240"/>
      <c r="L73" s="240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</row>
    <row r="74" spans="1:65" ht="29" customHeight="1">
      <c r="B74" s="15"/>
      <c r="C74" s="239" t="s">
        <v>39</v>
      </c>
      <c r="D74" s="14"/>
      <c r="E74" s="238" t="s">
        <v>53</v>
      </c>
      <c r="F74" s="238" t="s">
        <v>53</v>
      </c>
      <c r="G74" s="238" t="s">
        <v>53</v>
      </c>
      <c r="H74" s="238" t="e">
        <f>H68/H69*-1</f>
        <v>#DIV/0!</v>
      </c>
      <c r="I74" s="238" t="e">
        <f>I68/I69*-1</f>
        <v>#DIV/0!</v>
      </c>
      <c r="J74" s="238" t="e">
        <f>J68/J69*-1</f>
        <v>#DIV/0!</v>
      </c>
      <c r="K74" s="238" t="e">
        <f>K68/K69*-1</f>
        <v>#DIV/0!</v>
      </c>
      <c r="L74" s="238" t="e">
        <f>L68/L69*-1</f>
        <v>#DIV/0!</v>
      </c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</row>
    <row r="75" spans="1:65" ht="29" customHeight="1">
      <c r="B75" s="15"/>
      <c r="C75" s="239" t="s">
        <v>40</v>
      </c>
      <c r="D75" s="14"/>
      <c r="E75" s="238" t="s">
        <v>53</v>
      </c>
      <c r="F75" s="238" t="s">
        <v>53</v>
      </c>
      <c r="G75" s="238" t="s">
        <v>53</v>
      </c>
      <c r="H75" s="238" t="e">
        <f>+H68/(-H69-H91)</f>
        <v>#DIV/0!</v>
      </c>
      <c r="I75" s="238" t="e">
        <f>+I68/(-I69-I91)</f>
        <v>#DIV/0!</v>
      </c>
      <c r="J75" s="238" t="e">
        <f>+J68/(-J69-J91)</f>
        <v>#DIV/0!</v>
      </c>
      <c r="K75" s="238" t="e">
        <f>+K68/(-K69-K91)</f>
        <v>#DIV/0!</v>
      </c>
      <c r="L75" s="238" t="e">
        <f>+L68/(-L69-L91)</f>
        <v>#DIV/0!</v>
      </c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</row>
    <row r="76" spans="1:65" ht="29" customHeight="1">
      <c r="B76" s="15"/>
      <c r="C76" s="14" t="s">
        <v>54</v>
      </c>
      <c r="D76" s="14"/>
      <c r="E76" s="237" t="s">
        <v>53</v>
      </c>
      <c r="F76" s="237" t="s">
        <v>53</v>
      </c>
      <c r="G76" s="237" t="s">
        <v>53</v>
      </c>
      <c r="H76" s="236">
        <f>H68/H58</f>
        <v>-1.2114371505826704</v>
      </c>
      <c r="I76" s="236">
        <f>I68/I58</f>
        <v>-0.59019635062878395</v>
      </c>
      <c r="J76" s="236">
        <f>J68/J58</f>
        <v>-0.70952706428135881</v>
      </c>
      <c r="K76" s="236">
        <f>K68/K58</f>
        <v>-0.14979492598196439</v>
      </c>
      <c r="L76" s="236">
        <f>L68/L58</f>
        <v>0.67529373372141133</v>
      </c>
    </row>
    <row r="77" spans="1:65" ht="29" customHeight="1">
      <c r="B77" s="15"/>
      <c r="C77" s="14"/>
      <c r="D77" s="14"/>
      <c r="E77" s="232"/>
      <c r="F77" s="232"/>
      <c r="G77" s="232"/>
      <c r="H77" s="232"/>
      <c r="I77" s="232"/>
      <c r="J77" s="232"/>
      <c r="K77" s="232"/>
      <c r="L77" s="232"/>
    </row>
    <row r="78" spans="1:65" s="8" customFormat="1" ht="29" customHeight="1" thickBot="1">
      <c r="A78" s="2"/>
      <c r="B78" s="29"/>
      <c r="C78" s="28" t="s">
        <v>17</v>
      </c>
      <c r="D78" s="27"/>
      <c r="E78" s="26"/>
      <c r="F78" s="26"/>
      <c r="G78" s="26"/>
      <c r="H78" s="26"/>
      <c r="I78" s="26"/>
      <c r="J78" s="26"/>
      <c r="K78" s="26"/>
      <c r="L78" s="26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</row>
    <row r="79" spans="1:65" ht="29" customHeight="1">
      <c r="B79" s="15"/>
      <c r="C79" s="14" t="s">
        <v>18</v>
      </c>
      <c r="D79" s="14"/>
      <c r="E79" s="234">
        <v>0</v>
      </c>
      <c r="F79" s="234">
        <f t="shared" ref="F79:L79" si="11">E86</f>
        <v>-51550.74471420981</v>
      </c>
      <c r="G79" s="234">
        <f t="shared" si="11"/>
        <v>-300053.1047142098</v>
      </c>
      <c r="H79" s="234">
        <f t="shared" si="11"/>
        <v>-547447.84471420979</v>
      </c>
      <c r="I79" s="234">
        <f t="shared" si="11"/>
        <v>-564563.3738602777</v>
      </c>
      <c r="J79" s="234">
        <f t="shared" si="11"/>
        <v>-576186.65813392063</v>
      </c>
      <c r="K79" s="234">
        <f t="shared" si="11"/>
        <v>-595990.36851063301</v>
      </c>
      <c r="L79" s="234">
        <f t="shared" si="11"/>
        <v>-602228.29762075923</v>
      </c>
    </row>
    <row r="80" spans="1:65" ht="29" customHeight="1">
      <c r="B80" s="15"/>
      <c r="C80" s="14" t="s">
        <v>19</v>
      </c>
      <c r="D80" s="14"/>
      <c r="E80" s="235">
        <f>$D$38</f>
        <v>10000000</v>
      </c>
      <c r="F80" s="235">
        <v>0</v>
      </c>
      <c r="G80" s="235">
        <v>0</v>
      </c>
      <c r="H80" s="235">
        <v>0</v>
      </c>
      <c r="I80" s="235">
        <v>0</v>
      </c>
      <c r="J80" s="235">
        <v>0</v>
      </c>
      <c r="K80" s="235">
        <v>0</v>
      </c>
      <c r="L80" s="235">
        <v>0</v>
      </c>
    </row>
    <row r="81" spans="1:65" ht="29" customHeight="1">
      <c r="B81" s="15"/>
      <c r="C81" s="14" t="s">
        <v>55</v>
      </c>
      <c r="D81" s="14"/>
      <c r="E81" s="235">
        <f t="shared" ref="E81:L81" si="12">E90</f>
        <v>0</v>
      </c>
      <c r="F81" s="235">
        <f t="shared" si="12"/>
        <v>0</v>
      </c>
      <c r="G81" s="235">
        <f t="shared" si="12"/>
        <v>0</v>
      </c>
      <c r="H81" s="235">
        <f t="shared" si="12"/>
        <v>0</v>
      </c>
      <c r="I81" s="235">
        <f t="shared" si="12"/>
        <v>0</v>
      </c>
      <c r="J81" s="235">
        <f t="shared" si="12"/>
        <v>0</v>
      </c>
      <c r="K81" s="235">
        <f t="shared" si="12"/>
        <v>0</v>
      </c>
      <c r="L81" s="235">
        <f t="shared" si="12"/>
        <v>0</v>
      </c>
    </row>
    <row r="82" spans="1:65" ht="29" customHeight="1">
      <c r="B82" s="15"/>
      <c r="C82" s="14" t="s">
        <v>21</v>
      </c>
      <c r="D82" s="14"/>
      <c r="E82" s="235">
        <f>-E100</f>
        <v>-9802550.7447142098</v>
      </c>
      <c r="F82" s="235">
        <f t="shared" ref="F82:K82" si="13">-F100+F96</f>
        <v>0</v>
      </c>
      <c r="G82" s="235">
        <f t="shared" si="13"/>
        <v>0</v>
      </c>
      <c r="H82" s="235">
        <f t="shared" si="13"/>
        <v>0</v>
      </c>
      <c r="I82" s="235">
        <f t="shared" si="13"/>
        <v>0</v>
      </c>
      <c r="J82" s="235">
        <f t="shared" si="13"/>
        <v>0</v>
      </c>
      <c r="K82" s="235">
        <f t="shared" si="13"/>
        <v>0</v>
      </c>
      <c r="L82" s="235">
        <v>0</v>
      </c>
    </row>
    <row r="83" spans="1:65" ht="29" customHeight="1">
      <c r="B83" s="15"/>
      <c r="C83" s="14" t="s">
        <v>29</v>
      </c>
      <c r="D83" s="14"/>
      <c r="E83" s="235">
        <f t="shared" ref="E83:K83" si="14">E91</f>
        <v>0</v>
      </c>
      <c r="F83" s="235">
        <f t="shared" si="14"/>
        <v>0</v>
      </c>
      <c r="G83" s="235">
        <f t="shared" si="14"/>
        <v>0</v>
      </c>
      <c r="H83" s="235">
        <f t="shared" si="14"/>
        <v>0</v>
      </c>
      <c r="I83" s="235">
        <f t="shared" si="14"/>
        <v>0</v>
      </c>
      <c r="J83" s="235">
        <f t="shared" si="14"/>
        <v>0</v>
      </c>
      <c r="K83" s="235">
        <f t="shared" si="14"/>
        <v>0</v>
      </c>
      <c r="L83" s="235">
        <v>-7454845.4000000004</v>
      </c>
      <c r="M83" s="96">
        <f>L83-M63</f>
        <v>-10147942.9</v>
      </c>
    </row>
    <row r="84" spans="1:65" ht="29" customHeight="1">
      <c r="B84" s="15"/>
      <c r="C84" s="14" t="s">
        <v>36</v>
      </c>
      <c r="D84" s="14"/>
      <c r="E84" s="235">
        <f t="shared" ref="E84:K84" si="15">-E120</f>
        <v>0</v>
      </c>
      <c r="F84" s="235">
        <f t="shared" si="15"/>
        <v>0</v>
      </c>
      <c r="G84" s="235">
        <f t="shared" si="15"/>
        <v>0</v>
      </c>
      <c r="H84" s="235">
        <f t="shared" si="15"/>
        <v>154039.76231461071</v>
      </c>
      <c r="I84" s="235">
        <f t="shared" si="15"/>
        <v>104609.55846278659</v>
      </c>
      <c r="J84" s="235">
        <f t="shared" si="15"/>
        <v>178233.39339041209</v>
      </c>
      <c r="K84" s="235">
        <f t="shared" si="15"/>
        <v>56141.361991135775</v>
      </c>
      <c r="L84" s="235">
        <v>1434931</v>
      </c>
    </row>
    <row r="85" spans="1:65" ht="29" customHeight="1">
      <c r="B85" s="15"/>
      <c r="C85" s="14" t="str">
        <f>+C72</f>
        <v>Funding from operations</v>
      </c>
      <c r="D85" s="14"/>
      <c r="E85" s="235">
        <f t="shared" ref="E85:K85" si="16">E72</f>
        <v>-249000</v>
      </c>
      <c r="F85" s="235">
        <f t="shared" si="16"/>
        <v>-248502.36000000002</v>
      </c>
      <c r="G85" s="235">
        <f t="shared" si="16"/>
        <v>-247394.74</v>
      </c>
      <c r="H85" s="235">
        <f t="shared" si="16"/>
        <v>-171155.29146067856</v>
      </c>
      <c r="I85" s="235">
        <f t="shared" si="16"/>
        <v>-116232.84273642953</v>
      </c>
      <c r="J85" s="235">
        <f t="shared" si="16"/>
        <v>-198037.10376712453</v>
      </c>
      <c r="K85" s="235">
        <f t="shared" si="16"/>
        <v>-62379.291101261973</v>
      </c>
      <c r="L85" s="235">
        <f>-L72</f>
        <v>-1594367.6013016347</v>
      </c>
    </row>
    <row r="86" spans="1:65" ht="29" customHeight="1">
      <c r="B86" s="15"/>
      <c r="C86" s="49" t="s">
        <v>20</v>
      </c>
      <c r="D86" s="49"/>
      <c r="E86" s="48">
        <f t="shared" ref="E86:L86" si="17">SUM(E79:E85)</f>
        <v>-51550.74471420981</v>
      </c>
      <c r="F86" s="48">
        <f t="shared" si="17"/>
        <v>-300053.1047142098</v>
      </c>
      <c r="G86" s="48">
        <f t="shared" si="17"/>
        <v>-547447.84471420979</v>
      </c>
      <c r="H86" s="48">
        <f t="shared" si="17"/>
        <v>-564563.3738602777</v>
      </c>
      <c r="I86" s="48">
        <f t="shared" si="17"/>
        <v>-576186.65813392063</v>
      </c>
      <c r="J86" s="48">
        <f t="shared" si="17"/>
        <v>-595990.36851063301</v>
      </c>
      <c r="K86" s="48">
        <f t="shared" si="17"/>
        <v>-602228.29762075923</v>
      </c>
      <c r="L86" s="48">
        <f t="shared" si="17"/>
        <v>-8216510.2989223944</v>
      </c>
      <c r="M86" s="107">
        <f>L82-L86</f>
        <v>8216510.2989223944</v>
      </c>
    </row>
    <row r="87" spans="1:65" ht="29" customHeight="1">
      <c r="B87" s="15"/>
      <c r="C87" s="14"/>
      <c r="D87" s="14"/>
      <c r="E87" s="232"/>
      <c r="F87" s="232"/>
      <c r="G87" s="55"/>
      <c r="H87" s="232"/>
      <c r="I87" s="232"/>
      <c r="J87" s="232"/>
      <c r="K87" s="232"/>
      <c r="L87" s="232"/>
    </row>
    <row r="88" spans="1:65" s="8" customFormat="1" ht="29" customHeight="1" thickBot="1">
      <c r="A88" s="2"/>
      <c r="B88" s="29"/>
      <c r="C88" s="28" t="s">
        <v>41</v>
      </c>
      <c r="D88" s="27"/>
      <c r="E88" s="26"/>
      <c r="F88" s="26"/>
      <c r="G88" s="26"/>
      <c r="H88" s="26"/>
      <c r="I88" s="26"/>
      <c r="J88" s="26"/>
      <c r="K88" s="26"/>
      <c r="L88" s="26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</row>
    <row r="89" spans="1:65" ht="29" customHeight="1">
      <c r="B89" s="15"/>
      <c r="C89" s="14" t="s">
        <v>22</v>
      </c>
      <c r="D89" s="14"/>
      <c r="E89" s="45">
        <v>0</v>
      </c>
      <c r="F89" s="45">
        <f t="shared" ref="F89:L89" si="18">E92</f>
        <v>0</v>
      </c>
      <c r="G89" s="45">
        <f t="shared" si="18"/>
        <v>0</v>
      </c>
      <c r="H89" s="45">
        <f t="shared" si="18"/>
        <v>0</v>
      </c>
      <c r="I89" s="45">
        <f t="shared" si="18"/>
        <v>0</v>
      </c>
      <c r="J89" s="45">
        <f t="shared" si="18"/>
        <v>0</v>
      </c>
      <c r="K89" s="45">
        <f t="shared" si="18"/>
        <v>0</v>
      </c>
      <c r="L89" s="45">
        <f t="shared" si="18"/>
        <v>0</v>
      </c>
    </row>
    <row r="90" spans="1:65" ht="29" customHeight="1">
      <c r="B90" s="15"/>
      <c r="C90" s="14" t="s">
        <v>23</v>
      </c>
      <c r="D90" s="14"/>
      <c r="E90" s="235">
        <v>0</v>
      </c>
      <c r="F90" s="235">
        <v>0</v>
      </c>
      <c r="G90" s="235">
        <v>0</v>
      </c>
      <c r="H90" s="235">
        <f>+E48/2</f>
        <v>0</v>
      </c>
      <c r="I90" s="235">
        <f>+E48/2</f>
        <v>0</v>
      </c>
      <c r="J90" s="235">
        <f>+E49/2</f>
        <v>0</v>
      </c>
      <c r="K90" s="235">
        <v>0</v>
      </c>
      <c r="L90" s="235">
        <v>0</v>
      </c>
    </row>
    <row r="91" spans="1:65" ht="29" customHeight="1">
      <c r="B91" s="15"/>
      <c r="C91" s="14" t="s">
        <v>24</v>
      </c>
      <c r="D91" s="14"/>
      <c r="E91" s="235">
        <v>0</v>
      </c>
      <c r="F91" s="235">
        <v>0</v>
      </c>
      <c r="G91" s="235">
        <v>0</v>
      </c>
      <c r="H91" s="235">
        <v>0</v>
      </c>
      <c r="I91" s="229"/>
      <c r="J91" s="229"/>
      <c r="K91" s="229"/>
      <c r="L91" s="229">
        <f>-L72*$D31</f>
        <v>0</v>
      </c>
    </row>
    <row r="92" spans="1:65" s="51" customFormat="1" ht="29" customHeight="1">
      <c r="A92" s="2"/>
      <c r="B92" s="53"/>
      <c r="C92" s="52" t="s">
        <v>25</v>
      </c>
      <c r="D92" s="52"/>
      <c r="E92" s="48">
        <f t="shared" ref="E92:L92" si="19">SUM(E89:E91)</f>
        <v>0</v>
      </c>
      <c r="F92" s="48">
        <f t="shared" si="19"/>
        <v>0</v>
      </c>
      <c r="G92" s="48">
        <f t="shared" si="19"/>
        <v>0</v>
      </c>
      <c r="H92" s="48">
        <f t="shared" si="19"/>
        <v>0</v>
      </c>
      <c r="I92" s="48">
        <f t="shared" si="19"/>
        <v>0</v>
      </c>
      <c r="J92" s="48">
        <f t="shared" si="19"/>
        <v>0</v>
      </c>
      <c r="K92" s="48">
        <f t="shared" si="19"/>
        <v>0</v>
      </c>
      <c r="L92" s="48">
        <f t="shared" si="19"/>
        <v>0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</row>
    <row r="93" spans="1:65" ht="29" customHeight="1">
      <c r="B93" s="15"/>
      <c r="C93" s="14"/>
      <c r="D93" s="14"/>
      <c r="E93" s="45"/>
      <c r="F93" s="45"/>
      <c r="G93" s="45"/>
      <c r="H93" s="45"/>
      <c r="I93" s="45"/>
      <c r="J93" s="45"/>
      <c r="K93" s="45"/>
      <c r="L93" s="45"/>
    </row>
    <row r="94" spans="1:65" ht="29" customHeight="1">
      <c r="B94" s="15"/>
      <c r="C94" s="14"/>
      <c r="D94" s="14"/>
      <c r="E94" s="232"/>
      <c r="F94" s="232"/>
      <c r="G94" s="232"/>
      <c r="H94" s="232"/>
      <c r="I94" s="232"/>
      <c r="J94" s="232"/>
      <c r="K94" s="232"/>
      <c r="L94" s="232"/>
    </row>
    <row r="95" spans="1:65" s="8" customFormat="1" ht="29" customHeight="1" thickBot="1">
      <c r="A95" s="2"/>
      <c r="B95" s="29"/>
      <c r="C95" s="28" t="s">
        <v>30</v>
      </c>
      <c r="D95" s="27"/>
      <c r="E95" s="26"/>
      <c r="F95" s="26"/>
      <c r="G95" s="26"/>
      <c r="H95" s="26"/>
      <c r="I95" s="26"/>
      <c r="J95" s="26"/>
      <c r="K95" s="26"/>
      <c r="L95" s="26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</row>
    <row r="96" spans="1:65" ht="29" customHeight="1">
      <c r="B96" s="15"/>
      <c r="C96" s="14" t="s">
        <v>26</v>
      </c>
      <c r="D96" s="14"/>
      <c r="E96" s="235">
        <f>($D$43/100)*'[1]PCLP 1_250M'!E115</f>
        <v>9802550.7447142098</v>
      </c>
      <c r="F96" s="235">
        <f>($D$43/100)*'[1]PCLP 1_250M'!F115</f>
        <v>9824719.9679215886</v>
      </c>
      <c r="G96" s="235">
        <f>($D$43/100)*'[1]PCLP 1_250M'!G115</f>
        <v>9817330.4824610334</v>
      </c>
      <c r="H96" s="235">
        <f>($D$43/100)*'[1]PCLP 1_250M'!H115</f>
        <v>13060267.480370075</v>
      </c>
      <c r="I96" s="235">
        <f>($D$43/100)*'[1]PCLP 1_250M'!I115</f>
        <v>13082149.622288249</v>
      </c>
      <c r="J96" s="235">
        <f>($D$43/100)*'[1]PCLP 1_250M'!J115</f>
        <v>21257905.082397744</v>
      </c>
      <c r="K96" s="235">
        <f>($D$43/100)*'[1]PCLP 1_250M'!K115</f>
        <v>21304175.223386496</v>
      </c>
      <c r="L96" s="235">
        <f>($D$43/100)*'[1]PCLP 1_250M'!L115</f>
        <v>37274227.20613683</v>
      </c>
    </row>
    <row r="97" spans="1:65" ht="29" customHeight="1">
      <c r="B97" s="15"/>
      <c r="C97" s="14" t="str">
        <f>+C6</f>
        <v>Phase 1 - initial funding for capital assets</v>
      </c>
      <c r="D97" s="14"/>
      <c r="E97" s="235">
        <v>0</v>
      </c>
      <c r="F97" s="235">
        <v>0</v>
      </c>
      <c r="G97" s="235">
        <v>0</v>
      </c>
      <c r="H97" s="235">
        <v>0</v>
      </c>
      <c r="I97" s="235">
        <v>0</v>
      </c>
      <c r="J97" s="235">
        <v>0</v>
      </c>
      <c r="K97" s="235">
        <v>0</v>
      </c>
      <c r="L97" s="235">
        <v>0</v>
      </c>
    </row>
    <row r="98" spans="1:65" ht="29" customHeight="1">
      <c r="B98" s="15"/>
      <c r="C98" s="14" t="str">
        <f>+C7</f>
        <v>Phase 2 - first financing</v>
      </c>
      <c r="D98" s="14"/>
      <c r="E98" s="235">
        <v>0</v>
      </c>
      <c r="F98" s="235">
        <v>0</v>
      </c>
      <c r="G98" s="235">
        <v>0</v>
      </c>
      <c r="H98" s="235">
        <f>($F$7*$E$7)/$D7</f>
        <v>0</v>
      </c>
      <c r="I98" s="235">
        <f>($F$7*$E$7)/$D7</f>
        <v>0</v>
      </c>
      <c r="J98" s="235">
        <v>0</v>
      </c>
      <c r="K98" s="235">
        <v>0</v>
      </c>
      <c r="L98" s="235">
        <v>0</v>
      </c>
    </row>
    <row r="99" spans="1:65" ht="29" customHeight="1">
      <c r="B99" s="15"/>
      <c r="C99" s="14" t="str">
        <f>+C8</f>
        <v>Phase 3 - second financing</v>
      </c>
      <c r="D99" s="14"/>
      <c r="E99" s="235">
        <v>0</v>
      </c>
      <c r="F99" s="235">
        <v>0</v>
      </c>
      <c r="G99" s="235">
        <v>0</v>
      </c>
      <c r="H99" s="235">
        <v>0</v>
      </c>
      <c r="I99" s="235">
        <v>0</v>
      </c>
      <c r="J99" s="235">
        <f>($F8*$E8)/$D8</f>
        <v>0</v>
      </c>
      <c r="K99" s="235">
        <f>($F8*$E8)/$D8</f>
        <v>0</v>
      </c>
      <c r="L99" s="297">
        <v>-8216510.2989223897</v>
      </c>
    </row>
    <row r="100" spans="1:65" ht="29" customHeight="1">
      <c r="B100" s="15"/>
      <c r="C100" s="49" t="s">
        <v>27</v>
      </c>
      <c r="D100" s="49"/>
      <c r="E100" s="48">
        <f t="shared" ref="E100:L100" si="20">SUM(E96:E99)</f>
        <v>9802550.7447142098</v>
      </c>
      <c r="F100" s="48">
        <f t="shared" si="20"/>
        <v>9824719.9679215886</v>
      </c>
      <c r="G100" s="48">
        <f t="shared" si="20"/>
        <v>9817330.4824610334</v>
      </c>
      <c r="H100" s="48">
        <f t="shared" si="20"/>
        <v>13060267.480370075</v>
      </c>
      <c r="I100" s="48">
        <f t="shared" si="20"/>
        <v>13082149.622288249</v>
      </c>
      <c r="J100" s="48">
        <f t="shared" si="20"/>
        <v>21257905.082397744</v>
      </c>
      <c r="K100" s="48">
        <f t="shared" si="20"/>
        <v>21304175.223386496</v>
      </c>
      <c r="L100" s="48">
        <f t="shared" si="20"/>
        <v>29057716.90721444</v>
      </c>
      <c r="M100" s="296">
        <v>37274227</v>
      </c>
      <c r="N100" s="103">
        <f>M100*20%</f>
        <v>7454845.4000000004</v>
      </c>
    </row>
    <row r="101" spans="1:65" ht="29" customHeight="1">
      <c r="B101" s="15"/>
      <c r="C101" s="43"/>
      <c r="D101" s="43"/>
      <c r="E101" s="45"/>
      <c r="F101" s="45"/>
      <c r="G101" s="45"/>
      <c r="H101" s="45"/>
      <c r="I101" s="45"/>
      <c r="J101" s="45"/>
      <c r="K101" s="45"/>
      <c r="L101" s="45"/>
    </row>
    <row r="102" spans="1:65" ht="29" customHeight="1">
      <c r="B102" s="15"/>
      <c r="C102" s="14" t="s">
        <v>37</v>
      </c>
      <c r="D102" s="14"/>
      <c r="E102" s="234">
        <v>0</v>
      </c>
      <c r="F102" s="234">
        <v>0</v>
      </c>
      <c r="G102" s="234">
        <v>0</v>
      </c>
      <c r="H102" s="234">
        <v>0</v>
      </c>
      <c r="I102" s="234">
        <v>0</v>
      </c>
      <c r="J102" s="234">
        <v>0</v>
      </c>
      <c r="K102" s="234">
        <v>0</v>
      </c>
      <c r="L102" s="2">
        <v>0</v>
      </c>
      <c r="N102" s="103">
        <f>N100+M63</f>
        <v>10147942.9</v>
      </c>
    </row>
    <row r="103" spans="1:65" ht="29" customHeight="1">
      <c r="B103" s="15"/>
      <c r="C103" s="43"/>
      <c r="D103" s="43"/>
      <c r="E103" s="45"/>
      <c r="F103" s="45"/>
      <c r="G103" s="45"/>
      <c r="H103" s="45"/>
      <c r="I103" s="45"/>
      <c r="J103" s="45"/>
      <c r="K103" s="45"/>
      <c r="L103" s="45"/>
    </row>
    <row r="104" spans="1:65" ht="29" customHeight="1">
      <c r="B104" s="15"/>
      <c r="C104" s="43" t="s">
        <v>81</v>
      </c>
      <c r="D104" s="43"/>
      <c r="E104" s="45">
        <v>0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</row>
    <row r="105" spans="1:65" ht="29" customHeight="1">
      <c r="B105" s="15"/>
      <c r="C105" s="43" t="s">
        <v>80</v>
      </c>
      <c r="D105" s="43"/>
      <c r="E105" s="45">
        <f t="shared" ref="E105:L105" si="21">E104*(1-$D$25)</f>
        <v>0</v>
      </c>
      <c r="F105" s="45">
        <f t="shared" si="21"/>
        <v>0</v>
      </c>
      <c r="G105" s="45">
        <f t="shared" si="21"/>
        <v>0</v>
      </c>
      <c r="H105" s="45">
        <f t="shared" si="21"/>
        <v>0</v>
      </c>
      <c r="I105" s="45">
        <f t="shared" si="21"/>
        <v>0</v>
      </c>
      <c r="J105" s="45">
        <f t="shared" si="21"/>
        <v>0</v>
      </c>
      <c r="K105" s="45">
        <f t="shared" si="21"/>
        <v>0</v>
      </c>
      <c r="L105" s="45">
        <f t="shared" si="21"/>
        <v>0</v>
      </c>
    </row>
    <row r="106" spans="1:65" ht="29" customHeight="1">
      <c r="B106" s="15"/>
      <c r="C106" s="43" t="s">
        <v>79</v>
      </c>
      <c r="D106" s="14"/>
      <c r="E106" s="42">
        <f t="shared" ref="E106:L106" si="22">E92/E100</f>
        <v>0</v>
      </c>
      <c r="F106" s="42">
        <f t="shared" si="22"/>
        <v>0</v>
      </c>
      <c r="G106" s="42">
        <f t="shared" si="22"/>
        <v>0</v>
      </c>
      <c r="H106" s="42">
        <f t="shared" si="22"/>
        <v>0</v>
      </c>
      <c r="I106" s="42">
        <f t="shared" si="22"/>
        <v>0</v>
      </c>
      <c r="J106" s="42">
        <f t="shared" si="22"/>
        <v>0</v>
      </c>
      <c r="K106" s="42">
        <f t="shared" si="22"/>
        <v>0</v>
      </c>
      <c r="L106" s="42">
        <f t="shared" si="22"/>
        <v>0</v>
      </c>
    </row>
    <row r="107" spans="1:65" ht="29" customHeight="1">
      <c r="B107" s="15"/>
      <c r="C107" s="14"/>
      <c r="D107" s="14"/>
      <c r="E107" s="232"/>
      <c r="F107" s="232"/>
      <c r="G107" s="232"/>
      <c r="H107" s="232"/>
      <c r="I107" s="232"/>
      <c r="J107" s="232"/>
      <c r="K107" s="232"/>
      <c r="L107" s="232"/>
      <c r="M107" s="295">
        <v>35831553</v>
      </c>
      <c r="N107" s="294">
        <f>M107*20%</f>
        <v>7166310.6000000006</v>
      </c>
    </row>
    <row r="108" spans="1:65" s="8" customFormat="1" ht="29" customHeight="1" thickBot="1">
      <c r="A108" s="2"/>
      <c r="B108" s="29"/>
      <c r="C108" s="28" t="s">
        <v>15</v>
      </c>
      <c r="D108" s="27"/>
      <c r="E108" s="293">
        <v>9950000</v>
      </c>
      <c r="F108" s="293">
        <v>9925118</v>
      </c>
      <c r="G108" s="293">
        <v>9869737</v>
      </c>
      <c r="H108" s="293">
        <v>13121907</v>
      </c>
      <c r="I108" s="293">
        <v>13158606</v>
      </c>
      <c r="J108" s="293">
        <v>21357426</v>
      </c>
      <c r="K108" s="293">
        <v>21440528</v>
      </c>
      <c r="L108" s="293">
        <v>35831553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</row>
    <row r="109" spans="1:65" ht="29" customHeight="1">
      <c r="B109" s="15"/>
      <c r="C109" s="32" t="s">
        <v>78</v>
      </c>
      <c r="D109" s="14"/>
      <c r="E109" s="41">
        <f t="shared" ref="E109:L109" si="23">E100</f>
        <v>9802550.7447142098</v>
      </c>
      <c r="F109" s="41">
        <f t="shared" si="23"/>
        <v>9824719.9679215886</v>
      </c>
      <c r="G109" s="41">
        <f t="shared" si="23"/>
        <v>9817330.4824610334</v>
      </c>
      <c r="H109" s="41">
        <f t="shared" si="23"/>
        <v>13060267.480370075</v>
      </c>
      <c r="I109" s="41">
        <f t="shared" si="23"/>
        <v>13082149.622288249</v>
      </c>
      <c r="J109" s="41">
        <f t="shared" si="23"/>
        <v>21257905.082397744</v>
      </c>
      <c r="K109" s="41">
        <f t="shared" si="23"/>
        <v>21304175.223386496</v>
      </c>
      <c r="L109" s="41">
        <f t="shared" si="23"/>
        <v>29057716.90721444</v>
      </c>
    </row>
    <row r="110" spans="1:65" ht="29" customHeight="1">
      <c r="B110" s="15"/>
      <c r="C110" s="19" t="s">
        <v>56</v>
      </c>
      <c r="D110" s="14"/>
      <c r="E110" s="233">
        <f t="shared" ref="E110:K110" si="24">+E109/$D$45</f>
        <v>98.026487712019218</v>
      </c>
      <c r="F110" s="233">
        <f t="shared" si="24"/>
        <v>98.248182161037491</v>
      </c>
      <c r="G110" s="233">
        <f t="shared" si="24"/>
        <v>98.174286567476003</v>
      </c>
      <c r="H110" s="233">
        <f t="shared" si="24"/>
        <v>130.60398084350919</v>
      </c>
      <c r="I110" s="233">
        <f t="shared" si="24"/>
        <v>130.82280445092701</v>
      </c>
      <c r="J110" s="233">
        <f t="shared" si="24"/>
        <v>212.58117663574379</v>
      </c>
      <c r="K110" s="233">
        <f t="shared" si="24"/>
        <v>213.04388267269169</v>
      </c>
      <c r="L110" s="233">
        <f>L109/$D$45</f>
        <v>290.58007487289314</v>
      </c>
    </row>
    <row r="111" spans="1:65" ht="29" customHeight="1">
      <c r="B111" s="15"/>
      <c r="C111" s="19"/>
      <c r="D111" s="14"/>
      <c r="E111" s="233"/>
      <c r="F111" s="233"/>
      <c r="G111" s="233"/>
      <c r="H111" s="233"/>
      <c r="I111" s="233"/>
      <c r="J111" s="233"/>
      <c r="K111" s="233"/>
      <c r="L111" s="233"/>
    </row>
    <row r="112" spans="1:65" ht="29" customHeight="1" thickBot="1">
      <c r="B112" s="29"/>
      <c r="C112" s="28" t="s">
        <v>70</v>
      </c>
      <c r="D112" s="27"/>
      <c r="E112" s="26"/>
      <c r="F112" s="26"/>
      <c r="G112" s="26"/>
      <c r="H112" s="26"/>
      <c r="I112" s="26"/>
      <c r="J112" s="26"/>
      <c r="K112" s="26"/>
      <c r="L112" s="26"/>
    </row>
    <row r="113" spans="1:65" ht="29" customHeight="1">
      <c r="B113" s="15"/>
      <c r="C113" s="38"/>
      <c r="D113" s="14"/>
      <c r="E113" s="232"/>
      <c r="F113" s="232"/>
      <c r="G113" s="232"/>
      <c r="H113" s="232"/>
      <c r="I113" s="232"/>
      <c r="J113" s="232"/>
      <c r="K113" s="232"/>
      <c r="L113" s="232"/>
    </row>
    <row r="114" spans="1:65" ht="29" customHeight="1">
      <c r="B114" s="15"/>
      <c r="C114" s="32" t="s">
        <v>78</v>
      </c>
      <c r="E114" s="231">
        <f t="shared" ref="E114:L114" si="25">E109-E92</f>
        <v>9802550.7447142098</v>
      </c>
      <c r="F114" s="231">
        <f t="shared" si="25"/>
        <v>9824719.9679215886</v>
      </c>
      <c r="G114" s="231">
        <f t="shared" si="25"/>
        <v>9817330.4824610334</v>
      </c>
      <c r="H114" s="231">
        <f t="shared" si="25"/>
        <v>13060267.480370075</v>
      </c>
      <c r="I114" s="231">
        <f t="shared" si="25"/>
        <v>13082149.622288249</v>
      </c>
      <c r="J114" s="231">
        <f t="shared" si="25"/>
        <v>21257905.082397744</v>
      </c>
      <c r="K114" s="231">
        <f t="shared" si="25"/>
        <v>21304175.223386496</v>
      </c>
      <c r="L114" s="231">
        <f t="shared" si="25"/>
        <v>29057716.90721444</v>
      </c>
    </row>
    <row r="115" spans="1:65" ht="29" customHeight="1">
      <c r="B115" s="15"/>
      <c r="C115" s="19" t="s">
        <v>56</v>
      </c>
      <c r="E115" s="230">
        <f t="shared" ref="E115:L115" si="26">E114/$D45</f>
        <v>98.026487712019218</v>
      </c>
      <c r="F115" s="230">
        <f t="shared" si="26"/>
        <v>98.248182161037491</v>
      </c>
      <c r="G115" s="230">
        <f t="shared" si="26"/>
        <v>98.174286567476003</v>
      </c>
      <c r="H115" s="230">
        <f t="shared" si="26"/>
        <v>130.60398084350919</v>
      </c>
      <c r="I115" s="230">
        <f t="shared" si="26"/>
        <v>130.82280445092701</v>
      </c>
      <c r="J115" s="230">
        <f t="shared" si="26"/>
        <v>212.58117663574379</v>
      </c>
      <c r="K115" s="230">
        <f t="shared" si="26"/>
        <v>213.04388267269169</v>
      </c>
      <c r="L115" s="230">
        <f t="shared" si="26"/>
        <v>290.58007487289314</v>
      </c>
    </row>
    <row r="116" spans="1:65" ht="29" customHeight="1">
      <c r="B116" s="15"/>
      <c r="C116" s="19" t="s">
        <v>71</v>
      </c>
      <c r="E116" s="34">
        <f t="shared" ref="E116:L116" si="27">E122/E115</f>
        <v>0</v>
      </c>
      <c r="F116" s="34">
        <f t="shared" si="27"/>
        <v>0</v>
      </c>
      <c r="G116" s="34">
        <f t="shared" si="27"/>
        <v>0</v>
      </c>
      <c r="H116" s="34">
        <f t="shared" si="27"/>
        <v>-1.1794533499879425E-2</v>
      </c>
      <c r="I116" s="34">
        <f t="shared" si="27"/>
        <v>-7.9963585101153218E-3</v>
      </c>
      <c r="J116" s="34">
        <f t="shared" si="27"/>
        <v>-8.3843348015508502E-3</v>
      </c>
      <c r="K116" s="34">
        <f t="shared" si="27"/>
        <v>-2.6352281373233834E-3</v>
      </c>
      <c r="L116" s="34">
        <f t="shared" si="27"/>
        <v>5.4868990787978446E-2</v>
      </c>
    </row>
    <row r="117" spans="1:65" ht="29" customHeight="1">
      <c r="B117" s="15"/>
      <c r="C117" s="32" t="s">
        <v>77</v>
      </c>
      <c r="E117" s="31">
        <f t="shared" ref="E117:L117" si="28">SUM(E63:E65)/E114</f>
        <v>2.5401551747566038E-2</v>
      </c>
      <c r="F117" s="31">
        <f t="shared" si="28"/>
        <v>2.5293581986191763E-2</v>
      </c>
      <c r="G117" s="31">
        <f t="shared" si="28"/>
        <v>2.5199797484863975E-2</v>
      </c>
      <c r="H117" s="31">
        <f t="shared" si="28"/>
        <v>2.3922797941895352E-2</v>
      </c>
      <c r="I117" s="31">
        <f t="shared" si="28"/>
        <v>2.3938888412225776E-2</v>
      </c>
      <c r="J117" s="31">
        <f t="shared" si="28"/>
        <v>2.2445698113267753E-2</v>
      </c>
      <c r="K117" s="31">
        <f t="shared" si="28"/>
        <v>2.2474963474501907E-2</v>
      </c>
      <c r="L117" s="31">
        <f t="shared" si="28"/>
        <v>2.6383045249148983E-2</v>
      </c>
    </row>
    <row r="118" spans="1:65" ht="29" customHeight="1">
      <c r="B118" s="15"/>
      <c r="C118" s="32"/>
      <c r="E118" s="31"/>
      <c r="F118" s="31"/>
      <c r="G118" s="31"/>
      <c r="H118" s="31"/>
      <c r="I118" s="31"/>
      <c r="J118" s="31"/>
      <c r="K118" s="31"/>
      <c r="L118" s="31"/>
    </row>
    <row r="119" spans="1:65" s="8" customFormat="1" ht="29" customHeight="1" thickBot="1">
      <c r="A119" s="2"/>
      <c r="B119" s="29"/>
      <c r="C119" s="28" t="s">
        <v>31</v>
      </c>
      <c r="D119" s="27"/>
      <c r="E119" s="26"/>
      <c r="F119" s="26"/>
      <c r="G119" s="26"/>
      <c r="H119" s="26"/>
      <c r="I119" s="26"/>
      <c r="J119" s="26"/>
      <c r="K119" s="26"/>
      <c r="L119" s="26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</row>
    <row r="120" spans="1:65" ht="29" customHeight="1">
      <c r="B120" s="15"/>
      <c r="C120" s="24" t="s">
        <v>57</v>
      </c>
      <c r="D120" s="14"/>
      <c r="E120" s="23">
        <v>0</v>
      </c>
      <c r="F120" s="23">
        <v>0</v>
      </c>
      <c r="G120" s="23">
        <v>0</v>
      </c>
      <c r="H120" s="229">
        <f>+H72*0.9+H91</f>
        <v>-154039.76231461071</v>
      </c>
      <c r="I120" s="229">
        <f>+I72*0.9+I91</f>
        <v>-104609.55846278659</v>
      </c>
      <c r="J120" s="229">
        <f>+J72*0.9+J91</f>
        <v>-178233.39339041209</v>
      </c>
      <c r="K120" s="229">
        <f>+K72*0.9+K91</f>
        <v>-56141.361991135775</v>
      </c>
      <c r="L120" s="229">
        <f>+L72+L91+L90</f>
        <v>1594367.6013016347</v>
      </c>
    </row>
    <row r="121" spans="1:65" ht="29" customHeight="1">
      <c r="B121" s="15"/>
      <c r="C121" s="24"/>
      <c r="D121" s="14"/>
      <c r="E121" s="23"/>
      <c r="F121" s="23"/>
      <c r="G121" s="23"/>
      <c r="H121" s="229"/>
      <c r="I121" s="229"/>
      <c r="J121" s="229"/>
      <c r="K121" s="229"/>
      <c r="L121" s="229"/>
    </row>
    <row r="122" spans="1:65" ht="29" customHeight="1">
      <c r="B122" s="15"/>
      <c r="C122" s="19" t="s">
        <v>12</v>
      </c>
      <c r="D122" s="14"/>
      <c r="E122" s="21">
        <v>0</v>
      </c>
      <c r="F122" s="21">
        <v>0</v>
      </c>
      <c r="G122" s="21">
        <v>0</v>
      </c>
      <c r="H122" s="228">
        <f>H120/$D45</f>
        <v>-1.5404130272763799</v>
      </c>
      <c r="I122" s="228">
        <f>I120/$D45</f>
        <v>-1.0461060456883229</v>
      </c>
      <c r="J122" s="228">
        <f>J120/$D45</f>
        <v>-1.7823517574216952</v>
      </c>
      <c r="K122" s="228">
        <f>K120/$D45</f>
        <v>-0.56141923410369876</v>
      </c>
      <c r="L122" s="228">
        <f>L120/$D45</f>
        <v>15.943835451370861</v>
      </c>
    </row>
    <row r="123" spans="1:65" ht="29" customHeight="1">
      <c r="B123" s="15"/>
      <c r="C123" s="19" t="s">
        <v>38</v>
      </c>
      <c r="D123" s="14"/>
      <c r="E123" s="17">
        <f t="shared" ref="E123:L123" si="29">E122/$D16</f>
        <v>0</v>
      </c>
      <c r="F123" s="17">
        <f t="shared" si="29"/>
        <v>0</v>
      </c>
      <c r="G123" s="17">
        <f t="shared" si="29"/>
        <v>0</v>
      </c>
      <c r="H123" s="17">
        <f t="shared" si="29"/>
        <v>-1.5404130272763798E-2</v>
      </c>
      <c r="I123" s="17">
        <f t="shared" si="29"/>
        <v>-1.0461060456883229E-2</v>
      </c>
      <c r="J123" s="17">
        <f t="shared" si="29"/>
        <v>-1.7823517574216952E-2</v>
      </c>
      <c r="K123" s="17">
        <f t="shared" si="29"/>
        <v>-5.6141923410369873E-3</v>
      </c>
      <c r="L123" s="17">
        <f t="shared" si="29"/>
        <v>0.15943835451370861</v>
      </c>
    </row>
    <row r="124" spans="1:65" ht="29" customHeight="1">
      <c r="B124" s="15"/>
      <c r="C124" s="19"/>
      <c r="D124" s="14"/>
      <c r="E124" s="18"/>
      <c r="F124" s="18"/>
      <c r="G124" s="17"/>
      <c r="H124" s="17"/>
      <c r="I124" s="17"/>
      <c r="J124" s="17"/>
      <c r="K124" s="17"/>
      <c r="L124" s="17"/>
    </row>
    <row r="125" spans="1:65" ht="29" customHeight="1">
      <c r="B125" s="15"/>
      <c r="C125" s="19" t="s">
        <v>76</v>
      </c>
      <c r="D125" s="14"/>
      <c r="E125" s="17">
        <v>0</v>
      </c>
      <c r="F125" s="17">
        <v>0</v>
      </c>
      <c r="G125" s="17">
        <v>0</v>
      </c>
      <c r="H125" s="17">
        <v>0</v>
      </c>
      <c r="I125" s="17">
        <f>(I122-H122)/H122</f>
        <v>-0.32089249625605037</v>
      </c>
      <c r="J125" s="17">
        <f>(J122-I122)/I122</f>
        <v>0.70379644087510562</v>
      </c>
      <c r="K125" s="17">
        <f>(K122-J122)/J122</f>
        <v>-0.68501210169880633</v>
      </c>
      <c r="L125" s="17">
        <f>(L122-K122)/K122</f>
        <v>-29.399161416022846</v>
      </c>
    </row>
    <row r="126" spans="1:65" ht="29" customHeight="1">
      <c r="B126" s="15"/>
      <c r="C126" s="19"/>
      <c r="D126" s="14"/>
      <c r="E126" s="18"/>
      <c r="F126" s="18"/>
      <c r="G126" s="17"/>
      <c r="H126" s="17"/>
      <c r="I126" s="17"/>
      <c r="J126" s="17"/>
      <c r="K126" s="17"/>
      <c r="L126" s="17"/>
    </row>
    <row r="127" spans="1:65" ht="29" customHeight="1">
      <c r="B127" s="15"/>
      <c r="C127" s="14" t="s">
        <v>58</v>
      </c>
      <c r="D127" s="14"/>
      <c r="E127" s="13">
        <f t="shared" ref="E127:L127" si="30">E68/$D$45</f>
        <v>-2.4900249002490025</v>
      </c>
      <c r="F127" s="13">
        <f t="shared" si="30"/>
        <v>-2.4850484504845052</v>
      </c>
      <c r="G127" s="13">
        <f t="shared" si="30"/>
        <v>-2.473972139721397</v>
      </c>
      <c r="H127" s="13">
        <f t="shared" si="30"/>
        <v>-1.7115700303070887</v>
      </c>
      <c r="I127" s="13">
        <f t="shared" si="30"/>
        <v>-1.162340050764803</v>
      </c>
      <c r="J127" s="13">
        <f t="shared" si="30"/>
        <v>-1.9803908415796612</v>
      </c>
      <c r="K127" s="13">
        <f t="shared" si="30"/>
        <v>-0.62379914900410982</v>
      </c>
      <c r="L127" s="13">
        <f t="shared" si="30"/>
        <v>15.943835451370861</v>
      </c>
    </row>
    <row r="128" spans="1:65" s="6" customFormat="1" ht="22" thickBot="1">
      <c r="A128" s="195"/>
      <c r="B128" s="11"/>
      <c r="C128" s="10"/>
      <c r="D128" s="10"/>
      <c r="E128" s="9"/>
      <c r="F128" s="9"/>
      <c r="G128" s="9"/>
      <c r="H128" s="9"/>
      <c r="I128" s="9"/>
      <c r="J128" s="9"/>
      <c r="K128" s="9"/>
      <c r="L128" s="8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</row>
    <row r="129" spans="2:6" ht="29.25" customHeight="1">
      <c r="B129" s="3"/>
      <c r="C129" s="3"/>
    </row>
    <row r="130" spans="2:6" ht="29.25" customHeight="1">
      <c r="B130" s="3" t="s">
        <v>75</v>
      </c>
      <c r="C130" s="3"/>
      <c r="F130" s="5"/>
    </row>
    <row r="131" spans="2:6" ht="29.25" customHeight="1">
      <c r="B131" s="3" t="s">
        <v>74</v>
      </c>
      <c r="C131" s="3"/>
      <c r="E131" s="4"/>
    </row>
    <row r="132" spans="2:6" ht="29.25" customHeight="1">
      <c r="B132" s="3"/>
      <c r="C132" s="3"/>
    </row>
    <row r="133" spans="2:6" ht="29.25" customHeight="1">
      <c r="B133" s="3"/>
      <c r="C133" s="3"/>
    </row>
    <row r="134" spans="2:6" ht="29.25" customHeight="1">
      <c r="B134" s="3"/>
      <c r="C134" s="3"/>
    </row>
    <row r="135" spans="2:6" ht="29.25" customHeight="1">
      <c r="B135" s="3"/>
      <c r="C135" s="3"/>
    </row>
    <row r="136" spans="2:6" ht="29.25" customHeight="1">
      <c r="B136" s="3"/>
      <c r="C136" s="3"/>
    </row>
    <row r="137" spans="2:6" ht="29.25" customHeight="1">
      <c r="B137" s="3"/>
      <c r="C137" s="3"/>
    </row>
    <row r="138" spans="2:6" ht="18" customHeight="1">
      <c r="B138" s="3"/>
      <c r="C138" s="3"/>
    </row>
  </sheetData>
  <printOptions horizontalCentered="1" verticalCentered="1"/>
  <pageMargins left="0.1" right="0.1" top="0.1" bottom="0.1" header="0" footer="0"/>
  <pageSetup paperSize="5" scale="1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Alert</vt:lpstr>
      <vt:lpstr>SPV_Compensations</vt:lpstr>
      <vt:lpstr>SPV_Compensations_10 percent</vt:lpstr>
      <vt:lpstr>SPV_Compensations_15 percent</vt:lpstr>
      <vt:lpstr>SPV_Compensations_2&amp;20</vt:lpstr>
      <vt:lpstr>SPV_Compensations!Print_Area</vt:lpstr>
    </vt:vector>
  </TitlesOfParts>
  <Company>Woodfine Capital Projects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Woodfine</dc:creator>
  <cp:lastModifiedBy>Microsoft Office User</cp:lastModifiedBy>
  <cp:lastPrinted>2026-01-08T00:24:47Z</cp:lastPrinted>
  <dcterms:created xsi:type="dcterms:W3CDTF">2011-04-17T16:02:47Z</dcterms:created>
  <dcterms:modified xsi:type="dcterms:W3CDTF">2026-05-23T01:53:51Z</dcterms:modified>
</cp:coreProperties>
</file>