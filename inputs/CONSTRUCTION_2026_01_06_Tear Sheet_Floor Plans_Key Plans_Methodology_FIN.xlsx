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Office/Desktop/Marketing_Word Files/"/>
    </mc:Choice>
  </mc:AlternateContent>
  <xr:revisionPtr revIDLastSave="0" documentId="13_ncr:1_{188101F3-9B2E-9F41-87E2-A0323EB02A61}" xr6:coauthVersionLast="45" xr6:coauthVersionMax="45" xr10:uidLastSave="{00000000-0000-0000-0000-000000000000}"/>
  <bookViews>
    <workbookView xWindow="40660" yWindow="1040" windowWidth="34380" windowHeight="21620" xr2:uid="{4626928F-6DBF-CA4A-81C4-D19CC48EF3C4}"/>
  </bookViews>
  <sheets>
    <sheet name="Building a Key Plan" sheetId="7" r:id="rId1"/>
    <sheet name="Alternative Tile_Pg1" sheetId="19" r:id="rId2"/>
    <sheet name="Alternative Tile_Pg2" sheetId="18" r:id="rId3"/>
    <sheet name="Alternative Tile_Pg1 (2)" sheetId="22" r:id="rId4"/>
    <sheet name="Alternative Tile_Pg2 (2)" sheetId="20" r:id="rId5"/>
    <sheet name="Building a Floor Plate_Pg1" sheetId="10" r:id="rId6"/>
    <sheet name="Building a Floor Plate_Pg2" sheetId="9" r:id="rId7"/>
    <sheet name="Building a Floor Plate Pg3_V3" sheetId="17" r:id="rId8"/>
    <sheet name="Building a Floor Plate Pg3" sheetId="11" r:id="rId9"/>
    <sheet name="Retail Select - Floor Plates" sheetId="12" r:id="rId10"/>
    <sheet name="Tech Industrial - Floor Plates" sheetId="13" r:id="rId11"/>
    <sheet name="Professional and Suburban" sheetId="3" r:id="rId12"/>
    <sheet name="Retail Select - Key Plans" sheetId="2" r:id="rId13"/>
    <sheet name="Tech Industrial - Key Plans" sheetId="1" r:id="rId14"/>
    <sheet name="Landscaping - Key Plans" sheetId="15" r:id="rId15"/>
    <sheet name="Building Width Calculator" sheetId="4" r:id="rId16"/>
  </sheets>
  <definedNames>
    <definedName name="_xlnm.Print_Area" localSheetId="1">'Alternative Tile_Pg1'!$B$1:$AQ$43</definedName>
    <definedName name="_xlnm.Print_Area" localSheetId="3">'Alternative Tile_Pg1 (2)'!$B$1:$AO$45</definedName>
    <definedName name="_xlnm.Print_Area" localSheetId="2">'Alternative Tile_Pg2'!$B$1:$BD$59</definedName>
    <definedName name="_xlnm.Print_Area" localSheetId="4">'Alternative Tile_Pg2 (2)'!$B$1:$AY$53</definedName>
    <definedName name="_xlnm.Print_Area" localSheetId="8">'Building a Floor Plate Pg3'!$C$2:$BI$441</definedName>
    <definedName name="_xlnm.Print_Area" localSheetId="7">'Building a Floor Plate Pg3_V3'!$C$2:$BI$441</definedName>
    <definedName name="_xlnm.Print_Area" localSheetId="5">'Building a Floor Plate_Pg1'!$C$2:$BJ$51</definedName>
    <definedName name="_xlnm.Print_Area" localSheetId="6">'Building a Floor Plate_Pg2'!$C$1:$AS$135</definedName>
    <definedName name="_xlnm.Print_Area" localSheetId="0">'Building a Key Plan'!$B$2:$W$67</definedName>
    <definedName name="_xlnm.Print_Area" localSheetId="15">'Building Width Calculator'!$B$1:$P$41</definedName>
    <definedName name="_xlnm.Print_Area" localSheetId="14">'Landscaping - Key Plans'!$B$2:$Q$14</definedName>
    <definedName name="_xlnm.Print_Area" localSheetId="11">'Professional and Suburban'!$B$2:$P$196</definedName>
    <definedName name="_xlnm.Print_Area" localSheetId="9">'Retail Select - Floor Plates'!$B$2:$S$35</definedName>
    <definedName name="_xlnm.Print_Area" localSheetId="12">'Retail Select - Key Plans'!$B$2:$S$41</definedName>
    <definedName name="_xlnm.Print_Area" localSheetId="10">'Tech Industrial - Floor Plates'!$A$1:$U$36</definedName>
    <definedName name="_xlnm.Print_Area" localSheetId="13">'Tech Industrial - Key Plans'!$B$2:$W$31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2" i="3" l="1"/>
  <c r="I72" i="3"/>
  <c r="J71" i="3"/>
  <c r="I71" i="3"/>
  <c r="J70" i="3"/>
  <c r="I70" i="3"/>
  <c r="J69" i="3"/>
  <c r="I69" i="3"/>
  <c r="J68" i="3"/>
  <c r="J73" i="3" s="1"/>
  <c r="I68" i="3"/>
  <c r="H89" i="17" l="1"/>
  <c r="R67" i="17" s="1"/>
  <c r="R68" i="17" s="1"/>
  <c r="H142" i="17"/>
  <c r="AX142" i="17"/>
  <c r="AT170" i="17"/>
  <c r="H194" i="17"/>
  <c r="AX306" i="17"/>
  <c r="N344" i="17"/>
  <c r="AX362" i="17"/>
  <c r="AT387" i="17"/>
  <c r="N368" i="17" s="1"/>
  <c r="H410" i="17"/>
  <c r="N392" i="17" s="1"/>
  <c r="H436" i="17"/>
  <c r="AT59" i="17"/>
  <c r="R38" i="17" s="1"/>
  <c r="R39" i="17" s="1"/>
  <c r="AX32" i="17"/>
  <c r="R7" i="17" s="1"/>
  <c r="R8" i="17" s="1"/>
  <c r="R19" i="2" l="1"/>
  <c r="R18" i="2"/>
  <c r="V17" i="1"/>
  <c r="M21" i="2" l="1"/>
  <c r="R17" i="2" s="1"/>
  <c r="H436" i="11" l="1"/>
  <c r="H410" i="11"/>
  <c r="N392" i="11" s="1"/>
  <c r="AT387" i="11"/>
  <c r="N368" i="11" s="1"/>
  <c r="AX362" i="11"/>
  <c r="N344" i="11" s="1"/>
  <c r="AX306" i="11"/>
  <c r="H194" i="11"/>
  <c r="AT170" i="11"/>
  <c r="AX142" i="11"/>
  <c r="H142" i="11"/>
  <c r="H89" i="11"/>
  <c r="R67" i="11" s="1"/>
  <c r="R68" i="11" s="1"/>
  <c r="AT59" i="11"/>
  <c r="R38" i="11" s="1"/>
  <c r="R39" i="11" s="1"/>
  <c r="AX32" i="11"/>
  <c r="R7" i="11" s="1"/>
  <c r="R8" i="11" s="1"/>
  <c r="M178" i="3" l="1"/>
  <c r="M155" i="3"/>
  <c r="E32" i="4" l="1"/>
  <c r="E33" i="4" l="1"/>
  <c r="I23" i="3"/>
  <c r="I22" i="3"/>
  <c r="I21" i="3"/>
  <c r="I20" i="3"/>
  <c r="I19" i="3"/>
  <c r="I18" i="3"/>
  <c r="I36" i="3"/>
  <c r="I35" i="3"/>
  <c r="I34" i="3"/>
  <c r="I33" i="3"/>
  <c r="I32" i="3"/>
  <c r="I45" i="3"/>
  <c r="I44" i="3"/>
  <c r="I43" i="3"/>
  <c r="I42" i="3"/>
  <c r="I41" i="3"/>
  <c r="I63" i="3"/>
  <c r="I62" i="3"/>
  <c r="I61" i="3"/>
  <c r="I60" i="3"/>
  <c r="I59" i="3"/>
  <c r="J63" i="3" l="1"/>
  <c r="J62" i="3"/>
  <c r="J61" i="3"/>
  <c r="J60" i="3"/>
  <c r="J59" i="3"/>
  <c r="J64" i="3" s="1"/>
  <c r="J51" i="3"/>
  <c r="J50" i="3"/>
  <c r="J54" i="3" l="1"/>
  <c r="J53" i="3"/>
  <c r="J52" i="3"/>
  <c r="J55" i="3" s="1"/>
  <c r="M187" i="3" l="1"/>
  <c r="M164" i="3"/>
  <c r="M139" i="3" l="1"/>
  <c r="M41" i="2" l="1"/>
  <c r="Q20" i="1"/>
  <c r="Q31" i="1"/>
  <c r="J46" i="3" l="1"/>
  <c r="J24" i="3" l="1"/>
  <c r="M31" i="2"/>
  <c r="J37" i="3"/>
  <c r="M79" i="3" l="1"/>
  <c r="M85" i="3" s="1"/>
  <c r="M90" i="3"/>
  <c r="M96" i="3" s="1"/>
  <c r="M101" i="3"/>
  <c r="M104" i="3" s="1"/>
  <c r="M112" i="3"/>
  <c r="M113" i="3" s="1"/>
</calcChain>
</file>

<file path=xl/sharedStrings.xml><?xml version="1.0" encoding="utf-8"?>
<sst xmlns="http://schemas.openxmlformats.org/spreadsheetml/2006/main" count="2555" uniqueCount="369">
  <si>
    <t>A</t>
  </si>
  <si>
    <t>B</t>
  </si>
  <si>
    <t>Tech Industrial</t>
  </si>
  <si>
    <t>M 200</t>
  </si>
  <si>
    <t>C</t>
  </si>
  <si>
    <t>D</t>
  </si>
  <si>
    <t>TOTAL</t>
  </si>
  <si>
    <t>CAN ADD MORE "B" AND "D" TO MAKE BUILDING BIGGER</t>
  </si>
  <si>
    <t>M</t>
  </si>
  <si>
    <t>E</t>
  </si>
  <si>
    <t xml:space="preserve">Full Floor </t>
  </si>
  <si>
    <t>1/2 Floor</t>
  </si>
  <si>
    <t xml:space="preserve">1/4 Floor </t>
  </si>
  <si>
    <t xml:space="preserve">1/8 Floor </t>
  </si>
  <si>
    <t xml:space="preserve">% of availability </t>
  </si>
  <si>
    <t>File Room and Kitchen</t>
  </si>
  <si>
    <t xml:space="preserve">Desk </t>
  </si>
  <si>
    <t>Reception</t>
  </si>
  <si>
    <t xml:space="preserve">Medical </t>
  </si>
  <si>
    <t xml:space="preserve">Large </t>
  </si>
  <si>
    <t>Medium</t>
  </si>
  <si>
    <t xml:space="preserve">Small </t>
  </si>
  <si>
    <t xml:space="preserve">Approximate Net Leasable Floor Plate </t>
  </si>
  <si>
    <t>Woodfine Management Corp.</t>
  </si>
  <si>
    <t xml:space="preserve">Jennifer M. Woodfine </t>
  </si>
  <si>
    <t>Private offices</t>
  </si>
  <si>
    <t>Private Office</t>
  </si>
  <si>
    <t>Tenant Lounge</t>
  </si>
  <si>
    <t xml:space="preserve">1/2 Floor </t>
  </si>
  <si>
    <t>Full Floor</t>
  </si>
  <si>
    <t>CAN ADD MORE "C" TO MAKE BUILDING BIGGER</t>
  </si>
  <si>
    <t xml:space="preserve">Private Office </t>
  </si>
  <si>
    <t xml:space="preserve">Professional Office </t>
  </si>
  <si>
    <t>square feet</t>
  </si>
  <si>
    <t xml:space="preserve">*Tenant Lounge to be accompanied by Private Office </t>
  </si>
  <si>
    <t>Medical Office</t>
  </si>
  <si>
    <t xml:space="preserve">Professional Centres and Suburban Office </t>
  </si>
  <si>
    <t xml:space="preserve">Exam Room / Dental Chair </t>
  </si>
  <si>
    <t xml:space="preserve">Doctor's Office </t>
  </si>
  <si>
    <t>Mail Room</t>
  </si>
  <si>
    <t xml:space="preserve">3-Person Round Table </t>
  </si>
  <si>
    <t xml:space="preserve">Filing Cabinet </t>
  </si>
  <si>
    <t>N</t>
  </si>
  <si>
    <t>O</t>
  </si>
  <si>
    <t>P</t>
  </si>
  <si>
    <t>R</t>
  </si>
  <si>
    <t>S</t>
  </si>
  <si>
    <t>T</t>
  </si>
  <si>
    <t>U</t>
  </si>
  <si>
    <t>X</t>
  </si>
  <si>
    <t>Y</t>
  </si>
  <si>
    <t>Loading</t>
  </si>
  <si>
    <t>Corridor Expanders</t>
  </si>
  <si>
    <t>Z</t>
  </si>
  <si>
    <t>AA</t>
  </si>
  <si>
    <t>Coffee/Bread</t>
  </si>
  <si>
    <t>Second Floor — Tenant Lounge</t>
  </si>
  <si>
    <t>V</t>
  </si>
  <si>
    <t>W</t>
  </si>
  <si>
    <t>Upper Floors — Corridors</t>
  </si>
  <si>
    <t xml:space="preserve"> T</t>
  </si>
  <si>
    <t>Upper Floors — Private Office</t>
  </si>
  <si>
    <t>L-1</t>
  </si>
  <si>
    <t>L-2</t>
  </si>
  <si>
    <t>L-3</t>
  </si>
  <si>
    <t xml:space="preserve">Storage </t>
  </si>
  <si>
    <t>Clean Room</t>
  </si>
  <si>
    <t>Bench</t>
  </si>
  <si>
    <t>Desk</t>
  </si>
  <si>
    <t>Auditorium Seating</t>
  </si>
  <si>
    <t>Podium</t>
  </si>
  <si>
    <t>M-1</t>
  </si>
  <si>
    <t>M-2</t>
  </si>
  <si>
    <t>M-3</t>
  </si>
  <si>
    <t>PO-1</t>
  </si>
  <si>
    <t>PO-2</t>
  </si>
  <si>
    <t>PO-3</t>
  </si>
  <si>
    <t>TBD</t>
  </si>
  <si>
    <t>Corridor</t>
  </si>
  <si>
    <t>Zone 3 Corridor</t>
  </si>
  <si>
    <t>Zone 2 Magazine</t>
  </si>
  <si>
    <t>Desks/Workstations</t>
  </si>
  <si>
    <t>Façade</t>
  </si>
  <si>
    <t xml:space="preserve">Width </t>
  </si>
  <si>
    <t xml:space="preserve">Length </t>
  </si>
  <si>
    <t>Zone 1 Habitat</t>
  </si>
  <si>
    <t>feet</t>
  </si>
  <si>
    <t>Zone</t>
  </si>
  <si>
    <t xml:space="preserve">Test </t>
  </si>
  <si>
    <t xml:space="preserve">Zone 1 Habitat </t>
  </si>
  <si>
    <t>Storage/Bookshelves, etc.</t>
  </si>
  <si>
    <t>Coat Rack</t>
  </si>
  <si>
    <t>Recycling</t>
  </si>
  <si>
    <t>Bike Room</t>
  </si>
  <si>
    <t xml:space="preserve">Upper Floors — Professional Office — Medical, Business, Laboratory, and Academic </t>
  </si>
  <si>
    <t>Business</t>
  </si>
  <si>
    <t>Laboratory</t>
  </si>
  <si>
    <t>Academic</t>
  </si>
  <si>
    <t>Bookshelf</t>
  </si>
  <si>
    <t>Desk and Chair</t>
  </si>
  <si>
    <t>6 metres</t>
  </si>
  <si>
    <t>3 metres</t>
  </si>
  <si>
    <t>metres</t>
  </si>
  <si>
    <t>*Key Plans J, K, L, and M should each be presented as full-size open plans for medical, business, laboratory, and academic tenants</t>
  </si>
  <si>
    <t>Upper Floors — Corporate Office</t>
  </si>
  <si>
    <r>
      <rPr>
        <b/>
        <sz val="12"/>
        <color theme="1"/>
        <rFont val="Calibri"/>
        <family val="2"/>
        <scheme val="minor"/>
      </rPr>
      <t>"Key Plans and Tiles"</t>
    </r>
    <r>
      <rPr>
        <sz val="12"/>
        <color theme="1"/>
        <rFont val="Calibri"/>
        <family val="2"/>
        <scheme val="minor"/>
      </rPr>
      <t xml:space="preserve"> means a geometric self-similar aperiodic space planning system based on furniture/equipment arrangements and circulation versus modular area per person progressions.</t>
    </r>
  </si>
  <si>
    <t xml:space="preserve">1/4 Floor Tile </t>
  </si>
  <si>
    <t>1/2 Floor Tile</t>
  </si>
  <si>
    <t>1/8 Floor Tile</t>
  </si>
  <si>
    <t>B-1</t>
  </si>
  <si>
    <t>B-2</t>
  </si>
  <si>
    <t>B-3</t>
  </si>
  <si>
    <t>A-1</t>
  </si>
  <si>
    <t>A-2</t>
  </si>
  <si>
    <t>A-3</t>
  </si>
  <si>
    <t>Façade Frontage</t>
  </si>
  <si>
    <t>Tenant</t>
  </si>
  <si>
    <t>Guest</t>
  </si>
  <si>
    <t>$</t>
  </si>
  <si>
    <t>Total</t>
  </si>
  <si>
    <t>BUDGET</t>
  </si>
  <si>
    <t>Small</t>
  </si>
  <si>
    <t>Round Table</t>
  </si>
  <si>
    <t>NOTES:</t>
  </si>
  <si>
    <t>Core</t>
  </si>
  <si>
    <t>Large</t>
  </si>
  <si>
    <t>? metres</t>
  </si>
  <si>
    <t>Stairs</t>
  </si>
  <si>
    <t>Zone 3</t>
  </si>
  <si>
    <t xml:space="preserve"> Corridor</t>
  </si>
  <si>
    <t>Sample Floor Plate</t>
  </si>
  <si>
    <t>Using Small Tile</t>
  </si>
  <si>
    <t>Professional</t>
  </si>
  <si>
    <t>Internal Corridor</t>
  </si>
  <si>
    <t>Net leasable</t>
  </si>
  <si>
    <t>Building a Key Plan</t>
  </si>
  <si>
    <t>Building a Floor Plate</t>
  </si>
  <si>
    <t>Creating the Tiles</t>
  </si>
  <si>
    <t>Special Tile A</t>
  </si>
  <si>
    <t>Special Tile B</t>
  </si>
  <si>
    <t>2-Floor Tenant Lounge</t>
  </si>
  <si>
    <t>Using Medium Tile</t>
  </si>
  <si>
    <t>Inventory of Tiles</t>
  </si>
  <si>
    <t>Tile</t>
  </si>
  <si>
    <t>Special Tile — Core</t>
  </si>
  <si>
    <t>Sample Small Tile</t>
  </si>
  <si>
    <t>Sample Medium Tile</t>
  </si>
  <si>
    <t>Sample Large Tile</t>
  </si>
  <si>
    <t>Sample 2-Floor Plate</t>
  </si>
  <si>
    <t>Lobby Atrium</t>
  </si>
  <si>
    <t>Sample Main Floor</t>
  </si>
  <si>
    <t>-</t>
  </si>
  <si>
    <t xml:space="preserve">Private </t>
  </si>
  <si>
    <t>Office</t>
  </si>
  <si>
    <t xml:space="preserve">Office </t>
  </si>
  <si>
    <t>Main Floor Retail</t>
  </si>
  <si>
    <t>Special Tiles</t>
  </si>
  <si>
    <t>Credenza</t>
  </si>
  <si>
    <t xml:space="preserve">Net leasable square feet </t>
  </si>
  <si>
    <t>Which Tile size creates the appropriate number of climate zones and availability of corporate offices?</t>
  </si>
  <si>
    <t>Tile Size = Corporate Office = Climate Zone</t>
  </si>
  <si>
    <t>Matching Tile size with desired net leasable square footage</t>
  </si>
  <si>
    <t>Façade frontage</t>
  </si>
  <si>
    <t>Might be too big a jump from the Professional Office to Corporate Office</t>
  </si>
  <si>
    <t>Staff Lockers</t>
  </si>
  <si>
    <t>Loading and Recycling</t>
  </si>
  <si>
    <t>Workbench</t>
  </si>
  <si>
    <t>Building Manager</t>
  </si>
  <si>
    <t>Corridor A</t>
  </si>
  <si>
    <t xml:space="preserve">Corridor B </t>
  </si>
  <si>
    <t>Corridor C</t>
  </si>
  <si>
    <t>Corridor B</t>
  </si>
  <si>
    <t>found in the corridor Tile.</t>
  </si>
  <si>
    <t>Dealing with end caps for Professional and Private Office</t>
  </si>
  <si>
    <t>Allows for natural light at end cap</t>
  </si>
  <si>
    <t>Emergency</t>
  </si>
  <si>
    <t>No natural light at the end caps — Not 100% efficient in the leasehold</t>
  </si>
  <si>
    <t xml:space="preserve">Service </t>
  </si>
  <si>
    <t>Service</t>
  </si>
  <si>
    <t>Corporate Office</t>
  </si>
  <si>
    <t>Taking more then a Tile</t>
  </si>
  <si>
    <t>Leasing</t>
  </si>
  <si>
    <t xml:space="preserve">Professional </t>
  </si>
  <si>
    <t xml:space="preserve">Tenants have the ability to take any size space as long as the demising </t>
  </si>
  <si>
    <t xml:space="preserve">Tenants who take space beyond the boundaries of the Tiles no longer </t>
  </si>
  <si>
    <t>this problem.</t>
  </si>
  <si>
    <t>Elevator Lobby</t>
  </si>
  <si>
    <t>Meter Room</t>
  </si>
  <si>
    <t>Building Manager Office</t>
  </si>
  <si>
    <r>
      <t xml:space="preserve">Zone 1 </t>
    </r>
    <r>
      <rPr>
        <sz val="12"/>
        <color theme="1"/>
        <rFont val="Calibri"/>
        <family val="2"/>
        <scheme val="minor"/>
      </rPr>
      <t>Habitat</t>
    </r>
  </si>
  <si>
    <r>
      <t xml:space="preserve">Zone 2 </t>
    </r>
    <r>
      <rPr>
        <sz val="12"/>
        <color theme="1"/>
        <rFont val="Calibri"/>
        <family val="2"/>
        <scheme val="minor"/>
      </rPr>
      <t>Magazine</t>
    </r>
  </si>
  <si>
    <t>Accessibility</t>
  </si>
  <si>
    <t>BB</t>
  </si>
  <si>
    <t>CC</t>
  </si>
  <si>
    <t>DD</t>
  </si>
  <si>
    <t>NB — Not drawn to scale</t>
  </si>
  <si>
    <t>Corporate Office x 2</t>
  </si>
  <si>
    <t>Corporate Office x 4</t>
  </si>
  <si>
    <t>Special Tile x 2</t>
  </si>
  <si>
    <t>Professional Office</t>
  </si>
  <si>
    <t>Tenant C</t>
  </si>
  <si>
    <t xml:space="preserve">Here the Special Tiles need to be positioned properly in order to demise the </t>
  </si>
  <si>
    <t>of their thermostat.</t>
  </si>
  <si>
    <t xml:space="preserve">took the entire short side of the building they would be 100% in control </t>
  </si>
  <si>
    <t>side of the building needs to be taken into consideration.</t>
  </si>
  <si>
    <t xml:space="preserve">Here the Tile itself becomes too large in that it prevents both ends of the </t>
  </si>
  <si>
    <t>Tenant A</t>
  </si>
  <si>
    <t>Tenant B</t>
  </si>
  <si>
    <t>Corridor D</t>
  </si>
  <si>
    <t>Corridor E</t>
  </si>
  <si>
    <t>Special Tile C</t>
  </si>
  <si>
    <t>Tile — Corners</t>
  </si>
  <si>
    <t>Right End Cap</t>
  </si>
  <si>
    <t xml:space="preserve">Corporate Office </t>
  </si>
  <si>
    <t>Sample #1 — Right End Cap — Professional Office</t>
  </si>
  <si>
    <t>Sample #2 — Right End Cap — Private  Office</t>
  </si>
  <si>
    <t>Sample #3 — Right End Cap — Professional Office</t>
  </si>
  <si>
    <t>Sample #4 — Right End Cap — Private  Office</t>
  </si>
  <si>
    <t>Solutions — Tile Size</t>
  </si>
  <si>
    <t>Solutions — Tenant Lounge</t>
  </si>
  <si>
    <t>Tenant Lounge using Medium Size Tile</t>
  </si>
  <si>
    <t>Private</t>
  </si>
  <si>
    <t>Special Tiles allow for the proper massing of the buildings in terms of the dimensions of the Floor Plates.</t>
  </si>
  <si>
    <t>https://www.steelcase.com/</t>
  </si>
  <si>
    <t>Small Private Office (PO-1)</t>
  </si>
  <si>
    <t>Actual furniture</t>
  </si>
  <si>
    <t>the Tenants, as there will be more "in and out" with smaller Tenants.</t>
  </si>
  <si>
    <t>Left End Cap Private Office — Medium</t>
  </si>
  <si>
    <t>Right End Cap Professional Office — Medium</t>
  </si>
  <si>
    <t>Small Private Office (PO-1) + Building Width Calculator + Actual Furniture + Circulation</t>
  </si>
  <si>
    <t xml:space="preserve">Steelcase Products </t>
  </si>
  <si>
    <t>NOTES</t>
  </si>
  <si>
    <t xml:space="preserve">The schema below is not the arrangement we are looking for. It is an outline to present general use of space of the individual Key Plans which collectively make the Main Floor. </t>
  </si>
  <si>
    <t>We look forward to discussing in more detail.</t>
  </si>
  <si>
    <t>layouts with the aesthetics of the building.</t>
  </si>
  <si>
    <t>of the Tiles and Key Plans.</t>
  </si>
  <si>
    <t>Office Key Plans should remain the same.</t>
  </si>
  <si>
    <t>make the desired arrangement available.</t>
  </si>
  <si>
    <t xml:space="preserve">placement, so when coming off the elevator and the door is open it is not a direct entry. </t>
  </si>
  <si>
    <t>Building Staff Lockers</t>
  </si>
  <si>
    <t>Mop Room</t>
  </si>
  <si>
    <t xml:space="preserve">Workbench </t>
  </si>
  <si>
    <t>Should the Service Stairs be on the short or long side of the building?</t>
  </si>
  <si>
    <t>When the Tile is too small, might be difficult to box out the corners.</t>
  </si>
  <si>
    <t>Not going to be able to get a "true" Climate Zone.</t>
  </si>
  <si>
    <t>Might be better to move the core.</t>
  </si>
  <si>
    <t>Might be too big a jump from the Professional Office to Corporate Office.</t>
  </si>
  <si>
    <t xml:space="preserve">Here the placement of the Special Tile has less of an effect. However, the short </t>
  </si>
  <si>
    <t>Will only be able to give the full-width office on one size.</t>
  </si>
  <si>
    <t>building from being broken out into inclusive Climate Zones.</t>
  </si>
  <si>
    <t>walls line up with any of the Tiles.</t>
  </si>
  <si>
    <t xml:space="preserve">Suburban Office will most likely require different size Tiles, along with different short and long side dimensions, in order to account for its elevation. However, its Private Office and Professional </t>
  </si>
  <si>
    <t>For example, if we know Professional Office is 450 square feet and we see the Special Tile is 400 square feet, we would increase each Special Tile by 50 to make the size of the Special Tile</t>
  </si>
  <si>
    <t>match the size of the Professional Office.</t>
  </si>
  <si>
    <t>NB — Not drawn to scale — Approximate square footages</t>
  </si>
  <si>
    <t>How do we get a window from the Building Manager Office to Loading and Recycling?</t>
  </si>
  <si>
    <t>Spatial Taxonomy — Floor Plate Methodology — Retail Select</t>
  </si>
  <si>
    <t>Spatial Taxonomy — Floor Plate Methodology — Tech Industrial</t>
  </si>
  <si>
    <t xml:space="preserve">Spatial Taxonomy — Building Width Calculator </t>
  </si>
  <si>
    <t>Spatial Taxonomy — Key Plans and Tiles — Retail Select</t>
  </si>
  <si>
    <t>Spatial Taxonomy — Key Plans and Tiles — Tech Industrial</t>
  </si>
  <si>
    <t>Adding the Mechanical Room</t>
  </si>
  <si>
    <t xml:space="preserve">Main Floor — Building Manager Office and Mail Room </t>
  </si>
  <si>
    <t>Retail Select</t>
  </si>
  <si>
    <t>Spatial Taxonomy — Key Plans and Tiles — Parking and Landscaping</t>
  </si>
  <si>
    <t>Parking and Landscaping</t>
  </si>
  <si>
    <r>
      <rPr>
        <b/>
        <sz val="12"/>
        <color theme="1"/>
        <rFont val="Calibri"/>
        <family val="2"/>
        <scheme val="minor"/>
      </rPr>
      <t>"Key Plans and Tiles"</t>
    </r>
    <r>
      <rPr>
        <sz val="12"/>
        <color theme="1"/>
        <rFont val="Calibri"/>
        <family val="2"/>
        <scheme val="minor"/>
      </rPr>
      <t xml:space="preserve"> means a geometric self-similar aperiodic space planning system based on private automobiles/pedestrians/cyclists.</t>
    </r>
  </si>
  <si>
    <t xml:space="preserve">The width of the Zone 2 Magazine can be used to balance out the dimensions of the floor plate </t>
  </si>
  <si>
    <t>to not end up with simply a long, narrow rectangle.</t>
  </si>
  <si>
    <t>Overdesign the width of the corridors by 20% in order to promote well-being and circulation for</t>
  </si>
  <si>
    <t>Spatial Taxonomy — Floor Plate Methodology — Professional Centres and Suburban Office</t>
  </si>
  <si>
    <t>Square footage?</t>
  </si>
  <si>
    <t>Net leasable area: ~20,000 square feet</t>
  </si>
  <si>
    <t>Adding the Building Core, Stairwells, and Corridors</t>
  </si>
  <si>
    <t xml:space="preserve">short side of the building as an inclusive Climate Zone, so that if a Tenant </t>
  </si>
  <si>
    <t>Corporate Office (3,500) − Medium Professional Office (1,100) = 2,400</t>
  </si>
  <si>
    <t>Corporate Office (2,700) − Medium Professional Office (1,100) = 1,600</t>
  </si>
  <si>
    <t>Corporate Office (3,500) − Large Professional Office (1,400) = 3,500</t>
  </si>
  <si>
    <t>Coffee/Bread must be kept separate from the Lobby Atrium to preserve the environment and aesthetics of the Lobby Atrium as a waiting area.</t>
  </si>
  <si>
    <t xml:space="preserve">maintain control of the Climate Zone. Not sure any Building Services solve </t>
  </si>
  <si>
    <t xml:space="preserve">Even though we could eliminate the need for Special Tiles by adjusting the size of the Floor Plates, that is not the goal, and not what we would like to do, as we need to match combinations for efficient </t>
  </si>
  <si>
    <t>The Special Tiles allow for the shaping of the building to be of a human scale and a natural look and feel, rather than an "engineered" building that takes it shaping from the linearity</t>
  </si>
  <si>
    <t xml:space="preserve">We started with 20,000 as a reference working through the solutions. Now it would be possible to adjust the net leasable of the Floor Plate itself in order to choose the best size Tile to </t>
  </si>
  <si>
    <t>We could also increase the size of Special Tile B to match the size of Special Tile A, having only one Special Tile size.</t>
  </si>
  <si>
    <t xml:space="preserve">Special Tile C, in front of the Core, needs to take into consideration the placement of the doors for all modalities: Private, Professional, and Corporate. We need to try to eliminate any direct </t>
  </si>
  <si>
    <t>This may be hard to avoid.</t>
  </si>
  <si>
    <t>We need to take into account the aesthetics of the building for all these Floor Plate increases.</t>
  </si>
  <si>
    <t>A building can be made larger by adding staggered offset bays, but not by stretching.</t>
  </si>
  <si>
    <t>Net leasable area: ~4,500 square feet</t>
  </si>
  <si>
    <t>Net leasable area: ~7,200 square feet</t>
  </si>
  <si>
    <t>Spatial Taxonomy — Key Plans and Tiles — Professional Centres and Suburban Office</t>
  </si>
  <si>
    <t>Main Floor — Loading, Recycling, and Bike Room</t>
  </si>
  <si>
    <t>4,500−7,700 square feet</t>
  </si>
  <si>
    <t>Approximate Net Leasable Floor Plate 7,200−9,600 square feet</t>
  </si>
  <si>
    <t>BUILDING SIZE MEDIUM</t>
  </si>
  <si>
    <t>BUILDING SIZE LARGE</t>
  </si>
  <si>
    <t>BUILDING SIZE SMALL</t>
  </si>
  <si>
    <t>Public Restrooms</t>
  </si>
  <si>
    <t>Tenant Restrooms</t>
  </si>
  <si>
    <t>Main Floor — Coffee/Bread and Public Restrooms</t>
  </si>
  <si>
    <t xml:space="preserve">*Coffee/Bread requires access to the public, Main Lobby, Public Restrooms, and Loading and Recycling </t>
  </si>
  <si>
    <t xml:space="preserve">Upper Floors — Restrooms, Meter, and Utility </t>
  </si>
  <si>
    <t>Spatial Taxonomy — Key Plan Methodology — Professional Centres and Suburban Office</t>
  </si>
  <si>
    <t>Professional Office － Medium</t>
  </si>
  <si>
    <t>Private Office －End Cap</t>
  </si>
  <si>
    <t>Professional Office － Medium － End Cap</t>
  </si>
  <si>
    <t>Professional Office － Large － End Cap</t>
  </si>
  <si>
    <t xml:space="preserve">Professional Office － Large </t>
  </si>
  <si>
    <t>Emergency Stairwell</t>
  </si>
  <si>
    <t>TILE: D2</t>
  </si>
  <si>
    <t>TILE: C2</t>
  </si>
  <si>
    <t>TILE: B2</t>
  </si>
  <si>
    <t>TILE: A2</t>
  </si>
  <si>
    <t>Which combination of Key Plans makes an efficient set of the Tiles? What is the lowest number of Tiles while maintaining the highest degree of flexibility?</t>
  </si>
  <si>
    <t>TILE: D</t>
  </si>
  <si>
    <t>TILE: C</t>
  </si>
  <si>
    <t>TILE: B</t>
  </si>
  <si>
    <t>TILE: A</t>
  </si>
  <si>
    <t>Jennifer M. Woodfine</t>
  </si>
  <si>
    <t xml:space="preserve">Alternative Tiles: Mixing and Matching </t>
  </si>
  <si>
    <t>`</t>
  </si>
  <si>
    <t>TILE: C-2</t>
  </si>
  <si>
    <t>TILE: C-3</t>
  </si>
  <si>
    <t>TILE: C-1</t>
  </si>
  <si>
    <t>TILE: B-2</t>
  </si>
  <si>
    <t>Tile: A</t>
  </si>
  <si>
    <t>Tile: B</t>
  </si>
  <si>
    <t>Tile: C</t>
  </si>
  <si>
    <t>Tile: D</t>
  </si>
  <si>
    <t>Tile: E</t>
  </si>
  <si>
    <t>Tile: F</t>
  </si>
  <si>
    <t>Tile: E-1</t>
  </si>
  <si>
    <t>Tile: E-2</t>
  </si>
  <si>
    <t>Tile: G</t>
  </si>
  <si>
    <t>Tile: H</t>
  </si>
  <si>
    <t>We are looking to create the highest number of Climate Zones and the lowest number of Special Tiles.</t>
  </si>
  <si>
    <t>more sensitive than that of the overall Floor Plate.</t>
  </si>
  <si>
    <t>right and left side of the buildings in order to maintain its aesthetics.</t>
  </si>
  <si>
    <t>Tenants are always going to want the Tile size to be smaller to get their own Climate Zone.</t>
  </si>
  <si>
    <t>Climate Zone is the same size as the Tile.</t>
  </si>
  <si>
    <t>Combining Corporate Office at ends of building (Left or Right) may require a special entrance.</t>
  </si>
  <si>
    <r>
      <rPr>
        <b/>
        <sz val="72"/>
        <color theme="1"/>
        <rFont val="Calibri"/>
        <family val="2"/>
        <scheme val="minor"/>
      </rPr>
      <t>Special Tiles — Core:</t>
    </r>
    <r>
      <rPr>
        <sz val="72"/>
        <color theme="1"/>
        <rFont val="Calibri"/>
        <family val="2"/>
        <scheme val="minor"/>
      </rPr>
      <t xml:space="preserve"> Space surrounding the building core.</t>
    </r>
  </si>
  <si>
    <r>
      <t>Rolling efficiency:</t>
    </r>
    <r>
      <rPr>
        <sz val="72"/>
        <color theme="1"/>
        <rFont val="Calibri"/>
        <family val="2"/>
        <scheme val="minor"/>
      </rPr>
      <t xml:space="preserve"> Ability to go to 100% in the future</t>
    </r>
    <r>
      <rPr>
        <b/>
        <sz val="72"/>
        <color theme="1"/>
        <rFont val="Calibri"/>
        <family val="2"/>
        <scheme val="minor"/>
      </rPr>
      <t>.</t>
    </r>
  </si>
  <si>
    <t>Always maintain the ability to recapture 100% efficiency when the Tenant moves out.</t>
  </si>
  <si>
    <t>How do we pick the right size Tile?</t>
  </si>
  <si>
    <t xml:space="preserve">The square footage of both the Private Office and Professional Office Key Plans need to be adjusted to fit </t>
  </si>
  <si>
    <t>the sizing of the Tile or visa versa, depending on which is more sensitive. The Key Plan sizing is</t>
  </si>
  <si>
    <t>Here, the aggregate square footage of the Key Plans of both the Private Offices and Professional Offices</t>
  </si>
  <si>
    <t>does not match the square footage of the Tiles. This is something that needs to be worked on.</t>
  </si>
  <si>
    <t xml:space="preserve">One purpose of not having the sizing of the Tile too large is to allow for the proper relative dimensions of the </t>
  </si>
  <si>
    <t>If two Tiles are combined, Tenants don’t want half of their Climate Zone controlled by another Cilmate Zone.</t>
  </si>
  <si>
    <r>
      <t>Tiles — Corners:</t>
    </r>
    <r>
      <rPr>
        <sz val="72"/>
        <color theme="1"/>
        <rFont val="Calibri"/>
        <family val="2"/>
        <scheme val="minor"/>
      </rPr>
      <t xml:space="preserve"> The two ends of the building</t>
    </r>
    <r>
      <rPr>
        <b/>
        <sz val="72"/>
        <color theme="1"/>
        <rFont val="Calibri"/>
        <family val="2"/>
        <scheme val="minor"/>
      </rPr>
      <t>.</t>
    </r>
  </si>
  <si>
    <t>Never want to have the door looking into each other.</t>
  </si>
  <si>
    <t>Left and Right Tiles for the placement of the doors.</t>
  </si>
  <si>
    <r>
      <t>Climate Zone:</t>
    </r>
    <r>
      <rPr>
        <sz val="72"/>
        <color theme="1"/>
        <rFont val="Calibri"/>
        <family val="2"/>
        <scheme val="minor"/>
      </rPr>
      <t xml:space="preserve"> Control of the Building Services</t>
    </r>
    <r>
      <rPr>
        <b/>
        <sz val="72"/>
        <color theme="1"/>
        <rFont val="Calibri"/>
        <family val="2"/>
        <scheme val="minor"/>
      </rPr>
      <t>.</t>
    </r>
  </si>
  <si>
    <t>Professional Office － Large</t>
  </si>
  <si>
    <t>TILE: B-1</t>
  </si>
  <si>
    <t>TILE: C-4</t>
  </si>
  <si>
    <t>TILE: A-1</t>
  </si>
  <si>
    <t>Civic</t>
  </si>
  <si>
    <t>C-1</t>
  </si>
  <si>
    <t>C-2</t>
  </si>
  <si>
    <t>C-3</t>
  </si>
  <si>
    <t>Theather Seating</t>
  </si>
  <si>
    <t>Judge</t>
  </si>
  <si>
    <t>Court Clerk Desk</t>
  </si>
  <si>
    <t>V12</t>
  </si>
  <si>
    <t>January 6, 2026</t>
  </si>
  <si>
    <t>November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</si>
</sst>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theme="0" tint="-0.14999847407452621"/>
      <name val="Calibri"/>
      <family val="2"/>
      <scheme val="minor"/>
    </font>
    <font>
      <sz val="12"/>
      <color theme="1"/>
      <name val="Calibri (Body)"/>
    </font>
    <font>
      <sz val="12"/>
      <color theme="7" tint="0.39997558519241921"/>
      <name val="Calibri"/>
      <family val="2"/>
      <scheme val="minor"/>
    </font>
    <font>
      <sz val="12"/>
      <name val="Calibri"/>
      <family val="2"/>
      <scheme val="minor"/>
    </font>
    <font>
      <b/>
      <sz val="12"/>
      <color rgb="FF000000"/>
      <name val="Calibri"/>
      <family val="2"/>
    </font>
    <font>
      <sz val="20"/>
      <color theme="1"/>
      <name val="Calibri"/>
      <family val="2"/>
      <scheme val="minor"/>
    </font>
    <font>
      <b/>
      <sz val="20"/>
      <color theme="1"/>
      <name val="Calibri"/>
      <family val="2"/>
      <scheme val="minor"/>
    </font>
    <font>
      <b/>
      <sz val="20"/>
      <color rgb="FF000000"/>
      <name val="Calibri"/>
      <family val="2"/>
      <scheme val="minor"/>
    </font>
    <font>
      <b/>
      <sz val="26"/>
      <color theme="0"/>
      <name val="Calibri"/>
      <family val="2"/>
      <scheme val="minor"/>
    </font>
    <font>
      <sz val="12"/>
      <color rgb="FF000000"/>
      <name val="Calibri"/>
      <family val="2"/>
    </font>
    <font>
      <u/>
      <sz val="12"/>
      <color theme="10"/>
      <name val="Calibri"/>
      <family val="2"/>
      <scheme val="minor"/>
    </font>
    <font>
      <b/>
      <sz val="14"/>
      <color theme="1"/>
      <name val="Calibri (Body)"/>
    </font>
    <font>
      <sz val="14"/>
      <color theme="1"/>
      <name val="Calibri (Body)"/>
    </font>
    <font>
      <sz val="14"/>
      <color theme="1"/>
      <name val="Calibri"/>
      <family val="2"/>
      <scheme val="minor"/>
    </font>
    <font>
      <u/>
      <sz val="14"/>
      <color theme="10"/>
      <name val="Calibri"/>
      <family val="2"/>
      <scheme val="minor"/>
    </font>
    <font>
      <sz val="72"/>
      <color theme="1"/>
      <name val="Calibri"/>
      <family val="2"/>
      <scheme val="minor"/>
    </font>
    <font>
      <b/>
      <sz val="72"/>
      <color theme="1"/>
      <name val="Calibri"/>
      <family val="2"/>
      <scheme val="minor"/>
    </font>
    <font>
      <sz val="72"/>
      <color theme="1"/>
      <name val="Calibri (Body)"/>
    </font>
    <font>
      <b/>
      <sz val="72"/>
      <color theme="0"/>
      <name val="Calibri"/>
      <family val="2"/>
      <scheme val="minor"/>
    </font>
    <font>
      <b/>
      <sz val="72"/>
      <color theme="1"/>
      <name val="Calibri (Body)"/>
    </font>
    <font>
      <sz val="72"/>
      <color theme="7" tint="0.79998168889431442"/>
      <name val="Calibri"/>
      <family val="2"/>
      <scheme val="minor"/>
    </font>
    <font>
      <sz val="72"/>
      <color rgb="FF800080"/>
      <name val="Calibri"/>
      <family val="2"/>
      <scheme val="minor"/>
    </font>
    <font>
      <sz val="72"/>
      <color rgb="FFFF0000"/>
      <name val="Calibri"/>
      <family val="2"/>
      <scheme val="minor"/>
    </font>
    <font>
      <sz val="72"/>
      <color theme="0" tint="-0.249977111117893"/>
      <name val="Calibri"/>
      <family val="2"/>
      <scheme val="minor"/>
    </font>
    <font>
      <sz val="72"/>
      <color theme="0" tint="-0.34998626667073579"/>
      <name val="Calibri"/>
      <family val="2"/>
      <scheme val="minor"/>
    </font>
    <font>
      <b/>
      <sz val="85"/>
      <color theme="1"/>
      <name val="Calibri"/>
      <family val="2"/>
      <scheme val="minor"/>
    </font>
    <font>
      <sz val="85"/>
      <color theme="1"/>
      <name val="Calibri"/>
      <family val="2"/>
      <scheme val="minor"/>
    </font>
    <font>
      <sz val="85"/>
      <color rgb="FF000000"/>
      <name val="Calibri"/>
      <family val="2"/>
      <scheme val="minor"/>
    </font>
    <font>
      <sz val="62"/>
      <color theme="1"/>
      <name val="Calibri (Body)"/>
    </font>
    <font>
      <sz val="60"/>
      <color theme="1"/>
      <name val="Calibri"/>
      <family val="2"/>
      <scheme val="minor"/>
    </font>
    <font>
      <sz val="62"/>
      <color theme="1"/>
      <name val="Calibri"/>
      <family val="2"/>
      <scheme val="minor"/>
    </font>
    <font>
      <b/>
      <sz val="12"/>
      <color rgb="FF000000"/>
      <name val="Calibri"/>
      <family val="2"/>
      <scheme val="minor"/>
    </font>
    <font>
      <b/>
      <sz val="72"/>
      <color rgb="FF000000"/>
      <name val="Calibri"/>
      <family val="2"/>
      <scheme val="minor"/>
    </font>
    <font>
      <sz val="72"/>
      <color rgb="FF000000"/>
      <name val="Calibri"/>
      <family val="2"/>
      <scheme val="minor"/>
    </font>
    <font>
      <sz val="72"/>
      <color theme="0"/>
      <name val="Calibri"/>
      <family val="2"/>
      <scheme val="minor"/>
    </font>
    <font>
      <sz val="48"/>
      <color theme="1"/>
      <name val="Calibri"/>
      <family val="2"/>
      <scheme val="minor"/>
    </font>
    <font>
      <sz val="28"/>
      <color theme="1"/>
      <name val="Calibri"/>
      <family val="2"/>
      <scheme val="minor"/>
    </font>
  </fonts>
  <fills count="40">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D8BFD8"/>
        <bgColor indexed="64"/>
      </patternFill>
    </fill>
    <fill>
      <patternFill patternType="solid">
        <fgColor rgb="FF800080"/>
        <bgColor indexed="64"/>
      </patternFill>
    </fill>
    <fill>
      <patternFill patternType="solid">
        <fgColor rgb="FFE6E6FA"/>
        <bgColor indexed="64"/>
      </patternFill>
    </fill>
    <fill>
      <patternFill patternType="solid">
        <fgColor rgb="FFF5DEB3"/>
        <bgColor indexed="64"/>
      </patternFill>
    </fill>
    <fill>
      <patternFill patternType="solid">
        <fgColor rgb="FFB2DDE1"/>
        <bgColor indexed="64"/>
      </patternFill>
    </fill>
    <fill>
      <patternFill patternType="solid">
        <fgColor rgb="FF7030A0"/>
        <bgColor indexed="64"/>
      </patternFill>
    </fill>
    <fill>
      <patternFill patternType="solid">
        <fgColor theme="5" tint="-0.499984740745262"/>
        <bgColor indexed="64"/>
      </patternFill>
    </fill>
    <fill>
      <patternFill patternType="solid">
        <fgColor theme="8"/>
        <bgColor indexed="64"/>
      </patternFill>
    </fill>
    <fill>
      <patternFill patternType="solid">
        <fgColor rgb="FFFFC000"/>
        <bgColor indexed="64"/>
      </patternFill>
    </fill>
    <fill>
      <patternFill patternType="solid">
        <fgColor theme="4" tint="-0.249977111117893"/>
        <bgColor indexed="64"/>
      </patternFill>
    </fill>
    <fill>
      <patternFill patternType="solid">
        <fgColor theme="9" tint="-0.499984740745262"/>
        <bgColor indexed="64"/>
      </patternFill>
    </fill>
    <fill>
      <patternFill patternType="solid">
        <fgColor theme="8" tint="-0.49998474074526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E2EDD9"/>
        <bgColor indexed="64"/>
      </patternFill>
    </fill>
    <fill>
      <patternFill patternType="solid">
        <fgColor theme="9" tint="0.79998168889431442"/>
        <bgColor indexed="64"/>
      </patternFill>
    </fill>
    <fill>
      <patternFill patternType="solid">
        <fgColor theme="7"/>
        <bgColor indexed="64"/>
      </patternFill>
    </fill>
    <fill>
      <patternFill patternType="solid">
        <fgColor rgb="FFC3B1FF"/>
        <bgColor indexed="64"/>
      </patternFill>
    </fill>
    <fill>
      <patternFill patternType="solid">
        <fgColor theme="9"/>
        <bgColor indexed="64"/>
      </patternFill>
    </fill>
    <fill>
      <patternFill patternType="solid">
        <fgColor theme="9" tint="-0.249977111117893"/>
        <bgColor indexed="64"/>
      </patternFill>
    </fill>
  </fills>
  <borders count="6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right/>
      <top style="thin">
        <color indexed="64"/>
      </top>
      <bottom/>
      <diagonal/>
    </border>
    <border>
      <left/>
      <right/>
      <top/>
      <bottom style="thin">
        <color indexed="64"/>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style="medium">
        <color indexed="64"/>
      </bottom>
      <diagonal/>
    </border>
    <border>
      <left/>
      <right/>
      <top/>
      <bottom style="mediumDashed">
        <color theme="0" tint="-0.499984740745262"/>
      </bottom>
      <diagonal/>
    </border>
    <border>
      <left/>
      <right/>
      <top style="mediumDashed">
        <color theme="0" tint="-0.499984740745262"/>
      </top>
      <bottom/>
      <diagonal/>
    </border>
    <border>
      <left/>
      <right style="mediumDashed">
        <color theme="1"/>
      </right>
      <top/>
      <bottom/>
      <diagonal/>
    </border>
    <border>
      <left/>
      <right/>
      <top style="thin">
        <color theme="1"/>
      </top>
      <bottom style="medium">
        <color theme="1"/>
      </bottom>
      <diagonal/>
    </border>
    <border>
      <left style="mediumDashed">
        <color theme="1"/>
      </left>
      <right/>
      <top/>
      <bottom/>
      <diagonal/>
    </border>
    <border>
      <left/>
      <right style="mediumDashed">
        <color indexed="64"/>
      </right>
      <top/>
      <bottom/>
      <diagonal/>
    </border>
    <border>
      <left/>
      <right/>
      <top/>
      <bottom style="dashed">
        <color theme="0" tint="-0.499984740745262"/>
      </bottom>
      <diagonal/>
    </border>
    <border>
      <left/>
      <right style="mediumDashed">
        <color theme="1"/>
      </right>
      <top/>
      <bottom style="dashed">
        <color theme="0" tint="-0.499984740745262"/>
      </bottom>
      <diagonal/>
    </border>
    <border>
      <left style="mediumDashed">
        <color indexed="64"/>
      </left>
      <right/>
      <top/>
      <bottom/>
      <diagonal/>
    </border>
    <border>
      <left style="mediumDashed">
        <color theme="1"/>
      </left>
      <right/>
      <top/>
      <bottom style="dashed">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right style="mediumDashed">
        <color theme="1"/>
      </right>
      <top style="dashed">
        <color theme="0" tint="-0.499984740745262"/>
      </top>
      <bottom/>
      <diagonal/>
    </border>
    <border>
      <left/>
      <right/>
      <top/>
      <bottom style="dashed">
        <color theme="1"/>
      </bottom>
      <diagonal/>
    </border>
    <border>
      <left/>
      <right style="mediumDashed">
        <color theme="1"/>
      </right>
      <top/>
      <bottom style="dashed">
        <color theme="1"/>
      </bottom>
      <diagonal/>
    </border>
    <border>
      <left style="thin">
        <color theme="0" tint="-0.34998626667073579"/>
      </left>
      <right style="dashed">
        <color theme="0" tint="-0.34998626667073579"/>
      </right>
      <top/>
      <bottom/>
      <diagonal/>
    </border>
    <border>
      <left style="thin">
        <color theme="0" tint="-0.34998626667073579"/>
      </left>
      <right style="dashed">
        <color theme="0" tint="-0.34998626667073579"/>
      </right>
      <top/>
      <bottom style="thin">
        <color theme="0" tint="-0.34998626667073579"/>
      </bottom>
      <diagonal/>
    </border>
    <border>
      <left/>
      <right style="dashed">
        <color theme="0" tint="-0.34998626667073579"/>
      </right>
      <top style="thin">
        <color theme="0" tint="-0.34998626667073579"/>
      </top>
      <bottom/>
      <diagonal/>
    </border>
    <border>
      <left/>
      <right style="dashed">
        <color theme="0" tint="-0.34998626667073579"/>
      </right>
      <top/>
      <bottom/>
      <diagonal/>
    </border>
    <border>
      <left/>
      <right style="dashed">
        <color theme="0" tint="-0.34998626667073579"/>
      </right>
      <top/>
      <bottom style="thin">
        <color theme="0" tint="-0.34998626667073579"/>
      </bottom>
      <diagonal/>
    </border>
    <border>
      <left/>
      <right/>
      <top style="medium">
        <color theme="9" tint="-0.249977111117893"/>
      </top>
      <bottom/>
      <diagonal/>
    </border>
    <border>
      <left/>
      <right/>
      <top/>
      <bottom style="medium">
        <color theme="8" tint="-0.499984740745262"/>
      </bottom>
      <diagonal/>
    </border>
    <border>
      <left style="dashed">
        <color theme="0" tint="-0.34998626667073579"/>
      </left>
      <right/>
      <top/>
      <bottom/>
      <diagonal/>
    </border>
    <border>
      <left/>
      <right style="thin">
        <color theme="0" tint="-0.249977111117893"/>
      </right>
      <top/>
      <bottom/>
      <diagonal/>
    </border>
    <border>
      <left/>
      <right/>
      <top/>
      <bottom style="medium">
        <color theme="1"/>
      </bottom>
      <diagonal/>
    </border>
    <border>
      <left/>
      <right/>
      <top style="medium">
        <color theme="1"/>
      </top>
      <bottom style="medium">
        <color theme="1"/>
      </bottom>
      <diagonal/>
    </border>
    <border>
      <left/>
      <right/>
      <top/>
      <bottom style="medium">
        <color rgb="FF800080"/>
      </bottom>
      <diagonal/>
    </border>
    <border>
      <left/>
      <right/>
      <top style="medium">
        <color rgb="FF800080"/>
      </top>
      <bottom/>
      <diagonal/>
    </border>
    <border>
      <left/>
      <right/>
      <top style="medium">
        <color rgb="FF800080"/>
      </top>
      <bottom style="medium">
        <color rgb="FF800080"/>
      </bottom>
      <diagonal/>
    </border>
    <border>
      <left/>
      <right style="medium">
        <color rgb="FF800080"/>
      </right>
      <top style="medium">
        <color rgb="FF800080"/>
      </top>
      <bottom style="medium">
        <color rgb="FF800080"/>
      </bottom>
      <diagonal/>
    </border>
    <border>
      <left style="thin">
        <color theme="0" tint="-0.34998626667073579"/>
      </left>
      <right style="thin">
        <color theme="0" tint="-0.34998626667073579"/>
      </right>
      <top/>
      <bottom/>
      <diagonal/>
    </border>
    <border>
      <left/>
      <right style="medium">
        <color theme="1"/>
      </right>
      <top/>
      <bottom/>
      <diagonal/>
    </border>
    <border>
      <left style="medium">
        <color theme="1"/>
      </left>
      <right/>
      <top/>
      <bottom style="medium">
        <color theme="1"/>
      </bottom>
      <diagonal/>
    </border>
    <border>
      <left/>
      <right style="medium">
        <color theme="4" tint="-0.249977111117893"/>
      </right>
      <top/>
      <bottom/>
      <diagonal/>
    </border>
    <border>
      <left style="thin">
        <color theme="0" tint="-0.34998626667073579"/>
      </left>
      <right style="thin">
        <color theme="0" tint="-0.34998626667073579"/>
      </right>
      <top/>
      <bottom style="medium">
        <color theme="8" tint="-0.499984740745262"/>
      </bottom>
      <diagonal/>
    </border>
    <border>
      <left/>
      <right style="medium">
        <color theme="1"/>
      </right>
      <top/>
      <bottom style="medium">
        <color theme="1"/>
      </bottom>
      <diagonal/>
    </border>
    <border>
      <left/>
      <right/>
      <top style="medium">
        <color theme="1"/>
      </top>
      <bottom/>
      <diagonal/>
    </border>
    <border>
      <left/>
      <right style="medium">
        <color rgb="FF945200"/>
      </right>
      <top/>
      <bottom/>
      <diagonal/>
    </border>
    <border>
      <left/>
      <right/>
      <top/>
      <bottom style="medium">
        <color rgb="FF945200"/>
      </bottom>
      <diagonal/>
    </border>
    <border>
      <left/>
      <right style="medium">
        <color rgb="FF945200"/>
      </right>
      <top/>
      <bottom style="medium">
        <color rgb="FF945200"/>
      </bottom>
      <diagonal/>
    </border>
    <border>
      <left/>
      <right/>
      <top style="medium">
        <color theme="8"/>
      </top>
      <bottom style="medium">
        <color theme="8"/>
      </bottom>
      <diagonal/>
    </border>
    <border>
      <left/>
      <right style="medium">
        <color theme="8"/>
      </right>
      <top style="medium">
        <color theme="8"/>
      </top>
      <bottom style="medium">
        <color theme="8"/>
      </bottom>
      <diagonal/>
    </border>
    <border>
      <left/>
      <right style="medium">
        <color theme="5" tint="-0.499984740745262"/>
      </right>
      <top/>
      <bottom/>
      <diagonal/>
    </border>
    <border>
      <left/>
      <right/>
      <top style="thin">
        <color theme="1"/>
      </top>
      <bottom/>
      <diagonal/>
    </border>
    <border>
      <left/>
      <right style="medium">
        <color theme="8"/>
      </right>
      <top/>
      <bottom/>
      <diagonal/>
    </border>
    <border>
      <left/>
      <right/>
      <top/>
      <bottom style="medium">
        <color rgb="FFFFC000"/>
      </bottom>
      <diagonal/>
    </border>
    <border>
      <left style="thin">
        <color theme="0" tint="-0.34998626667073579"/>
      </left>
      <right style="thin">
        <color theme="0" tint="-0.34998626667073579"/>
      </right>
      <top style="medium">
        <color rgb="FF800080"/>
      </top>
      <bottom/>
      <diagonal/>
    </border>
    <border>
      <left style="dashed">
        <color theme="0" tint="-0.34998626667073579"/>
      </left>
      <right/>
      <top/>
      <bottom style="thin">
        <color theme="0" tint="-0.34998626667073579"/>
      </bottom>
      <diagonal/>
    </border>
    <border>
      <left/>
      <right style="medium">
        <color theme="8"/>
      </right>
      <top/>
      <bottom style="medium">
        <color theme="8"/>
      </bottom>
      <diagonal/>
    </border>
    <border>
      <left/>
      <right/>
      <top/>
      <bottom style="medium">
        <color theme="8"/>
      </bottom>
      <diagonal/>
    </border>
    <border>
      <left/>
      <right style="medium">
        <color rgb="FFFFC000"/>
      </right>
      <top/>
      <bottom/>
      <diagonal/>
    </border>
    <border>
      <left/>
      <right/>
      <top style="medium">
        <color rgb="FFFFC000"/>
      </top>
      <bottom/>
      <diagonal/>
    </border>
    <border>
      <left/>
      <right style="medium">
        <color rgb="FFFFC000"/>
      </right>
      <top style="medium">
        <color rgb="FFFFC000"/>
      </top>
      <bottom/>
      <diagonal/>
    </border>
    <border>
      <left/>
      <right style="medium">
        <color rgb="FFFFC000"/>
      </right>
      <top/>
      <bottom style="medium">
        <color rgb="FFFFC000"/>
      </bottom>
      <diagonal/>
    </border>
    <border>
      <left/>
      <right/>
      <top style="medium">
        <color rgb="FFFFC000"/>
      </top>
      <bottom style="medium">
        <color rgb="FFFFC000"/>
      </bottom>
      <diagonal/>
    </border>
    <border>
      <left/>
      <right/>
      <top style="medium">
        <color theme="5" tint="-0.499984740745262"/>
      </top>
      <bottom/>
      <diagonal/>
    </border>
    <border>
      <left/>
      <right/>
      <top/>
      <bottom style="medium">
        <color theme="5" tint="-0.499984740745262"/>
      </bottom>
      <diagonal/>
    </border>
    <border>
      <left/>
      <right style="medium">
        <color rgb="FFFFC000"/>
      </right>
      <top style="medium">
        <color rgb="FFFFC000"/>
      </top>
      <bottom style="medium">
        <color rgb="FFFFC000"/>
      </bottom>
      <diagonal/>
    </border>
    <border>
      <left/>
      <right style="medium">
        <color theme="4" tint="-0.249977111117893"/>
      </right>
      <top style="medium">
        <color theme="4" tint="-0.249977111117893"/>
      </top>
      <bottom style="medium">
        <color theme="4" tint="-0.249977111117893"/>
      </bottom>
      <diagonal/>
    </border>
    <border>
      <left/>
      <right style="medium">
        <color theme="4" tint="-0.249977111117893"/>
      </right>
      <top/>
      <bottom style="medium">
        <color theme="4" tint="-0.249977111117893"/>
      </bottom>
      <diagonal/>
    </border>
    <border>
      <left style="thin">
        <color theme="0" tint="-0.249977111117893"/>
      </left>
      <right/>
      <top style="thin">
        <color theme="0" tint="-0.34998626667073579"/>
      </top>
      <bottom/>
      <diagonal/>
    </border>
    <border>
      <left style="thin">
        <color theme="0" tint="-0.249977111117893"/>
      </left>
      <right/>
      <top/>
      <bottom/>
      <diagonal/>
    </border>
    <border>
      <left/>
      <right/>
      <top style="thick">
        <color rgb="FFFF0000"/>
      </top>
      <bottom/>
      <diagonal/>
    </border>
    <border>
      <left style="thick">
        <color rgb="FFFF0000"/>
      </left>
      <right/>
      <top/>
      <bottom/>
      <diagonal/>
    </border>
    <border>
      <left/>
      <right style="thick">
        <color rgb="FFFF0000"/>
      </right>
      <top/>
      <bottom/>
      <diagonal/>
    </border>
    <border>
      <left/>
      <right/>
      <top/>
      <bottom style="thick">
        <color rgb="FFFF0000"/>
      </bottom>
      <diagonal/>
    </border>
    <border>
      <left/>
      <right style="thick">
        <color rgb="FFFF0000"/>
      </right>
      <top/>
      <bottom style="thick">
        <color rgb="FFFF0000"/>
      </bottom>
      <diagonal/>
    </border>
    <border>
      <left style="thin">
        <color theme="0" tint="-0.249977111117893"/>
      </left>
      <right style="thick">
        <color rgb="FFFF0000"/>
      </right>
      <top/>
      <bottom/>
      <diagonal/>
    </border>
    <border>
      <left/>
      <right style="thick">
        <color rgb="FF7030A0"/>
      </right>
      <top style="medium">
        <color rgb="FF800080"/>
      </top>
      <bottom/>
      <diagonal/>
    </border>
    <border>
      <left/>
      <right style="thick">
        <color rgb="FF7030A0"/>
      </right>
      <top/>
      <bottom/>
      <diagonal/>
    </border>
    <border>
      <left style="thick">
        <color rgb="FF7030A0"/>
      </left>
      <right style="thick">
        <color rgb="FF7030A0"/>
      </right>
      <top style="thick">
        <color rgb="FF7030A0"/>
      </top>
      <bottom style="thick">
        <color rgb="FF7030A0"/>
      </bottom>
      <diagonal/>
    </border>
    <border>
      <left style="thick">
        <color rgb="FF7030A0"/>
      </left>
      <right/>
      <top style="thick">
        <color rgb="FF7030A0"/>
      </top>
      <bottom style="thick">
        <color rgb="FF7030A0"/>
      </bottom>
      <diagonal/>
    </border>
    <border>
      <left/>
      <right style="thick">
        <color rgb="FF7030A0"/>
      </right>
      <top style="thick">
        <color rgb="FF7030A0"/>
      </top>
      <bottom style="thick">
        <color rgb="FF7030A0"/>
      </bottom>
      <diagonal/>
    </border>
    <border>
      <left style="thick">
        <color rgb="FF7030A0"/>
      </left>
      <right/>
      <top style="thick">
        <color rgb="FF7030A0"/>
      </top>
      <bottom/>
      <diagonal/>
    </border>
    <border>
      <left/>
      <right/>
      <top style="thick">
        <color rgb="FF7030A0"/>
      </top>
      <bottom/>
      <diagonal/>
    </border>
    <border>
      <left/>
      <right style="thick">
        <color rgb="FF7030A0"/>
      </right>
      <top style="thick">
        <color rgb="FF7030A0"/>
      </top>
      <bottom/>
      <diagonal/>
    </border>
    <border>
      <left style="thick">
        <color rgb="FF7030A0"/>
      </left>
      <right/>
      <top/>
      <bottom style="thick">
        <color rgb="FF7030A0"/>
      </bottom>
      <diagonal/>
    </border>
    <border>
      <left/>
      <right/>
      <top/>
      <bottom style="thick">
        <color rgb="FF7030A0"/>
      </bottom>
      <diagonal/>
    </border>
    <border>
      <left/>
      <right style="thick">
        <color rgb="FF7030A0"/>
      </right>
      <top/>
      <bottom style="thick">
        <color rgb="FF7030A0"/>
      </bottom>
      <diagonal/>
    </border>
    <border>
      <left/>
      <right style="thin">
        <color theme="0" tint="-0.249977111117893"/>
      </right>
      <top style="thick">
        <color rgb="FF7030A0"/>
      </top>
      <bottom/>
      <diagonal/>
    </border>
    <border>
      <left style="thick">
        <color rgb="FF7030A0"/>
      </left>
      <right/>
      <top/>
      <bottom/>
      <diagonal/>
    </border>
    <border>
      <left/>
      <right/>
      <top style="thick">
        <color rgb="FF7030A0"/>
      </top>
      <bottom style="thick">
        <color rgb="FF7030A0"/>
      </bottom>
      <diagonal/>
    </border>
    <border>
      <left style="thick">
        <color rgb="FF7030A0"/>
      </left>
      <right/>
      <top style="medium">
        <color rgb="FF800080"/>
      </top>
      <bottom/>
      <diagonal/>
    </border>
    <border>
      <left style="thin">
        <color theme="0" tint="-0.249977111117893"/>
      </left>
      <right style="thick">
        <color rgb="FF7030A0"/>
      </right>
      <top/>
      <bottom/>
      <diagonal/>
    </border>
    <border>
      <left style="thick">
        <color theme="9" tint="-0.499984740745262"/>
      </left>
      <right/>
      <top style="thick">
        <color theme="9" tint="-0.499984740745262"/>
      </top>
      <bottom/>
      <diagonal/>
    </border>
    <border>
      <left/>
      <right/>
      <top style="thick">
        <color theme="9" tint="-0.499984740745262"/>
      </top>
      <bottom/>
      <diagonal/>
    </border>
    <border>
      <left/>
      <right style="thick">
        <color theme="9" tint="-0.499984740745262"/>
      </right>
      <top style="thick">
        <color theme="9" tint="-0.499984740745262"/>
      </top>
      <bottom/>
      <diagonal/>
    </border>
    <border>
      <left style="thick">
        <color theme="9" tint="-0.499984740745262"/>
      </left>
      <right/>
      <top/>
      <bottom/>
      <diagonal/>
    </border>
    <border>
      <left/>
      <right style="thick">
        <color theme="9" tint="-0.499984740745262"/>
      </right>
      <top/>
      <bottom/>
      <diagonal/>
    </border>
    <border>
      <left style="thick">
        <color theme="9" tint="-0.499984740745262"/>
      </left>
      <right/>
      <top/>
      <bottom style="thick">
        <color theme="9" tint="-0.499984740745262"/>
      </bottom>
      <diagonal/>
    </border>
    <border>
      <left/>
      <right/>
      <top/>
      <bottom style="thick">
        <color theme="9" tint="-0.499984740745262"/>
      </bottom>
      <diagonal/>
    </border>
    <border>
      <left/>
      <right style="thick">
        <color theme="9" tint="-0.499984740745262"/>
      </right>
      <top/>
      <bottom style="thick">
        <color theme="9" tint="-0.499984740745262"/>
      </bottom>
      <diagonal/>
    </border>
    <border>
      <left/>
      <right style="thin">
        <color theme="0" tint="-0.34998626667073579"/>
      </right>
      <top style="thick">
        <color theme="9" tint="-0.499984740745262"/>
      </top>
      <bottom/>
      <diagonal/>
    </border>
    <border>
      <left style="thin">
        <color theme="0" tint="-0.34998626667073579"/>
      </left>
      <right/>
      <top style="thick">
        <color theme="9" tint="-0.499984740745262"/>
      </top>
      <bottom/>
      <diagonal/>
    </border>
    <border>
      <left/>
      <right style="thin">
        <color theme="0" tint="-0.34998626667073579"/>
      </right>
      <top/>
      <bottom style="thick">
        <color theme="9" tint="-0.499984740745262"/>
      </bottom>
      <diagonal/>
    </border>
    <border>
      <left style="thin">
        <color theme="0" tint="-0.34998626667073579"/>
      </left>
      <right/>
      <top/>
      <bottom style="thick">
        <color theme="9" tint="-0.499984740745262"/>
      </bottom>
      <diagonal/>
    </border>
    <border>
      <left style="thick">
        <color theme="9" tint="-0.499984740745262"/>
      </left>
      <right style="thin">
        <color theme="0" tint="-0.34998626667073579"/>
      </right>
      <top style="thick">
        <color theme="9" tint="-0.499984740745262"/>
      </top>
      <bottom/>
      <diagonal/>
    </border>
    <border>
      <left style="thin">
        <color theme="0" tint="-0.34998626667073579"/>
      </left>
      <right style="thin">
        <color theme="0" tint="-0.34998626667073579"/>
      </right>
      <top style="thick">
        <color theme="9" tint="-0.499984740745262"/>
      </top>
      <bottom/>
      <diagonal/>
    </border>
    <border>
      <left style="thin">
        <color theme="0" tint="-0.34998626667073579"/>
      </left>
      <right style="thick">
        <color theme="9" tint="-0.499984740745262"/>
      </right>
      <top style="thick">
        <color theme="9" tint="-0.499984740745262"/>
      </top>
      <bottom/>
      <diagonal/>
    </border>
    <border>
      <left style="thick">
        <color theme="9" tint="-0.499984740745262"/>
      </left>
      <right style="thin">
        <color theme="0" tint="-0.34998626667073579"/>
      </right>
      <top/>
      <bottom/>
      <diagonal/>
    </border>
    <border>
      <left style="thin">
        <color theme="0" tint="-0.34998626667073579"/>
      </left>
      <right style="thick">
        <color theme="9" tint="-0.499984740745262"/>
      </right>
      <top/>
      <bottom/>
      <diagonal/>
    </border>
    <border>
      <left style="thick">
        <color theme="9" tint="-0.499984740745262"/>
      </left>
      <right style="thin">
        <color theme="0" tint="-0.34998626667073579"/>
      </right>
      <top/>
      <bottom style="thick">
        <color theme="9" tint="-0.499984740745262"/>
      </bottom>
      <diagonal/>
    </border>
    <border>
      <left style="thin">
        <color theme="0" tint="-0.34998626667073579"/>
      </left>
      <right style="thin">
        <color theme="0" tint="-0.34998626667073579"/>
      </right>
      <top/>
      <bottom style="thick">
        <color theme="9" tint="-0.499984740745262"/>
      </bottom>
      <diagonal/>
    </border>
    <border>
      <left style="thin">
        <color theme="0" tint="-0.34998626667073579"/>
      </left>
      <right style="thick">
        <color theme="9" tint="-0.499984740745262"/>
      </right>
      <top/>
      <bottom style="thick">
        <color theme="9" tint="-0.499984740745262"/>
      </bottom>
      <diagonal/>
    </border>
    <border>
      <left/>
      <right style="thick">
        <color theme="9" tint="-0.499984740745262"/>
      </right>
      <top style="thick">
        <color theme="9" tint="-0.499984740745262"/>
      </top>
      <bottom style="thick">
        <color theme="9" tint="-0.499984740745262"/>
      </bottom>
      <diagonal/>
    </border>
    <border>
      <left style="thick">
        <color theme="9" tint="-0.499984740745262"/>
      </left>
      <right/>
      <top style="thick">
        <color theme="9" tint="-0.499984740745262"/>
      </top>
      <bottom style="thick">
        <color theme="9" tint="-0.499984740745262"/>
      </bottom>
      <diagonal/>
    </border>
    <border>
      <left/>
      <right style="thick">
        <color rgb="FFFF0000"/>
      </right>
      <top style="thick">
        <color theme="9" tint="-0.499984740745262"/>
      </top>
      <bottom style="thick">
        <color theme="9" tint="-0.499984740745262"/>
      </bottom>
      <diagonal/>
    </border>
    <border>
      <left/>
      <right style="medium">
        <color theme="9" tint="-0.249977111117893"/>
      </right>
      <top style="thick">
        <color theme="9" tint="-0.499984740745262"/>
      </top>
      <bottom style="thick">
        <color theme="9" tint="-0.499984740745262"/>
      </bottom>
      <diagonal/>
    </border>
    <border>
      <left style="medium">
        <color theme="9" tint="-0.249977111117893"/>
      </left>
      <right/>
      <top style="thick">
        <color theme="9" tint="-0.499984740745262"/>
      </top>
      <bottom style="thick">
        <color theme="9" tint="-0.499984740745262"/>
      </bottom>
      <diagonal/>
    </border>
    <border>
      <left style="thick">
        <color rgb="FFFF0000"/>
      </left>
      <right/>
      <top/>
      <bottom style="thick">
        <color theme="9" tint="-0.499984740745262"/>
      </bottom>
      <diagonal/>
    </border>
    <border>
      <left/>
      <right style="thick">
        <color theme="8" tint="-0.499984740745262"/>
      </right>
      <top/>
      <bottom/>
      <diagonal/>
    </border>
    <border>
      <left style="thick">
        <color theme="8" tint="-0.499984740745262"/>
      </left>
      <right/>
      <top style="thick">
        <color theme="8" tint="-0.499984740745262"/>
      </top>
      <bottom/>
      <diagonal/>
    </border>
    <border>
      <left/>
      <right/>
      <top style="thick">
        <color theme="8" tint="-0.499984740745262"/>
      </top>
      <bottom/>
      <diagonal/>
    </border>
    <border>
      <left/>
      <right style="thick">
        <color theme="8" tint="-0.499984740745262"/>
      </right>
      <top style="thick">
        <color theme="8" tint="-0.499984740745262"/>
      </top>
      <bottom/>
      <diagonal/>
    </border>
    <border>
      <left style="thick">
        <color theme="8" tint="-0.499984740745262"/>
      </left>
      <right/>
      <top/>
      <bottom/>
      <diagonal/>
    </border>
    <border>
      <left/>
      <right/>
      <top/>
      <bottom style="thick">
        <color theme="8" tint="-0.499984740745262"/>
      </bottom>
      <diagonal/>
    </border>
    <border>
      <left/>
      <right style="thick">
        <color theme="8" tint="-0.499984740745262"/>
      </right>
      <top/>
      <bottom style="thick">
        <color theme="8" tint="-0.499984740745262"/>
      </bottom>
      <diagonal/>
    </border>
    <border>
      <left style="thick">
        <color theme="5" tint="-0.499984740745262"/>
      </left>
      <right/>
      <top style="thick">
        <color theme="5" tint="-0.499984740745262"/>
      </top>
      <bottom/>
      <diagonal/>
    </border>
    <border>
      <left/>
      <right/>
      <top style="thick">
        <color theme="5" tint="-0.499984740745262"/>
      </top>
      <bottom/>
      <diagonal/>
    </border>
    <border>
      <left/>
      <right style="thick">
        <color theme="5" tint="-0.499984740745262"/>
      </right>
      <top style="thick">
        <color theme="5" tint="-0.499984740745262"/>
      </top>
      <bottom/>
      <diagonal/>
    </border>
    <border>
      <left style="thick">
        <color theme="5" tint="-0.499984740745262"/>
      </left>
      <right/>
      <top/>
      <bottom/>
      <diagonal/>
    </border>
    <border>
      <left/>
      <right style="thick">
        <color theme="5" tint="-0.499984740745262"/>
      </right>
      <top/>
      <bottom/>
      <diagonal/>
    </border>
    <border>
      <left style="thick">
        <color theme="5" tint="-0.499984740745262"/>
      </left>
      <right/>
      <top/>
      <bottom style="thick">
        <color theme="5" tint="-0.499984740745262"/>
      </bottom>
      <diagonal/>
    </border>
    <border>
      <left/>
      <right/>
      <top/>
      <bottom style="thick">
        <color theme="5" tint="-0.499984740745262"/>
      </bottom>
      <diagonal/>
    </border>
    <border>
      <left/>
      <right style="thin">
        <color theme="0" tint="-0.34998626667073579"/>
      </right>
      <top/>
      <bottom style="thick">
        <color theme="5" tint="-0.499984740745262"/>
      </bottom>
      <diagonal/>
    </border>
    <border>
      <left/>
      <right style="thick">
        <color theme="5" tint="-0.499984740745262"/>
      </right>
      <top/>
      <bottom style="thick">
        <color theme="5" tint="-0.499984740745262"/>
      </bottom>
      <diagonal/>
    </border>
    <border>
      <left/>
      <right style="medium">
        <color theme="9" tint="-0.249977111117893"/>
      </right>
      <top/>
      <bottom style="thick">
        <color theme="9" tint="-0.499984740745262"/>
      </bottom>
      <diagonal/>
    </border>
    <border>
      <left style="medium">
        <color theme="9" tint="-0.249977111117893"/>
      </left>
      <right/>
      <top/>
      <bottom style="thick">
        <color theme="9" tint="-0.499984740745262"/>
      </bottom>
      <diagonal/>
    </border>
    <border>
      <left/>
      <right/>
      <top style="thick">
        <color theme="9" tint="-0.499984740745262"/>
      </top>
      <bottom style="thick">
        <color theme="9" tint="-0.499984740745262"/>
      </bottom>
      <diagonal/>
    </border>
    <border>
      <left style="medium">
        <color theme="9" tint="-0.249977111117893"/>
      </left>
      <right style="thick">
        <color theme="9" tint="-0.499984740745262"/>
      </right>
      <top style="thick">
        <color theme="9" tint="-0.499984740745262"/>
      </top>
      <bottom style="thick">
        <color theme="9" tint="-0.499984740745262"/>
      </bottom>
      <diagonal/>
    </border>
    <border>
      <left style="thick">
        <color theme="9" tint="-0.499984740745262"/>
      </left>
      <right/>
      <top/>
      <bottom style="thick">
        <color rgb="FF7030A0"/>
      </bottom>
      <diagonal/>
    </border>
    <border>
      <left/>
      <right/>
      <top style="thick">
        <color rgb="FF800080"/>
      </top>
      <bottom style="thick">
        <color rgb="FF7030A0"/>
      </bottom>
      <diagonal/>
    </border>
    <border>
      <left style="thick">
        <color theme="8" tint="-0.499984740745262"/>
      </left>
      <right/>
      <top style="thick">
        <color theme="8" tint="-0.499984740745262"/>
      </top>
      <bottom style="thick">
        <color theme="8" tint="-0.499984740745262"/>
      </bottom>
      <diagonal/>
    </border>
    <border>
      <left/>
      <right/>
      <top style="thick">
        <color theme="8" tint="-0.499984740745262"/>
      </top>
      <bottom style="thick">
        <color theme="8" tint="-0.499984740745262"/>
      </bottom>
      <diagonal/>
    </border>
    <border>
      <left/>
      <right style="thick">
        <color theme="8" tint="-0.499984740745262"/>
      </right>
      <top style="thick">
        <color theme="8" tint="-0.499984740745262"/>
      </top>
      <bottom style="thick">
        <color theme="8" tint="-0.499984740745262"/>
      </bottom>
      <diagonal/>
    </border>
    <border>
      <left style="thick">
        <color theme="8" tint="-0.499984740745262"/>
      </left>
      <right/>
      <top/>
      <bottom style="thick">
        <color theme="8" tint="-0.499984740745262"/>
      </bottom>
      <diagonal/>
    </border>
    <border>
      <left style="thick">
        <color theme="5" tint="-0.499984740745262"/>
      </left>
      <right/>
      <top style="thick">
        <color theme="5" tint="-0.499984740745262"/>
      </top>
      <bottom style="thick">
        <color theme="5" tint="-0.499984740745262"/>
      </bottom>
      <diagonal/>
    </border>
    <border>
      <left/>
      <right/>
      <top style="thick">
        <color theme="5" tint="-0.499984740745262"/>
      </top>
      <bottom style="thick">
        <color theme="5" tint="-0.499984740745262"/>
      </bottom>
      <diagonal/>
    </border>
    <border>
      <left/>
      <right style="thick">
        <color theme="5" tint="-0.499984740745262"/>
      </right>
      <top style="thick">
        <color theme="5" tint="-0.499984740745262"/>
      </top>
      <bottom style="thick">
        <color theme="5" tint="-0.499984740745262"/>
      </bottom>
      <diagonal/>
    </border>
    <border>
      <left/>
      <right style="thin">
        <color theme="0" tint="-0.249977111117893"/>
      </right>
      <top/>
      <bottom style="thick">
        <color rgb="FF7030A0"/>
      </bottom>
      <diagonal/>
    </border>
    <border>
      <left/>
      <right style="thin">
        <color theme="0" tint="-0.34998626667073579"/>
      </right>
      <top style="medium">
        <color rgb="FF800080"/>
      </top>
      <bottom/>
      <diagonal/>
    </border>
    <border>
      <left style="thick">
        <color theme="8" tint="-0.499984740745262"/>
      </left>
      <right style="thin">
        <color theme="0" tint="-0.34998626667073579"/>
      </right>
      <top/>
      <bottom/>
      <diagonal/>
    </border>
    <border>
      <left style="thick">
        <color theme="8" tint="-0.499984740745262"/>
      </left>
      <right style="thin">
        <color theme="0" tint="-0.34998626667073579"/>
      </right>
      <top/>
      <bottom style="thick">
        <color theme="8" tint="-0.499984740745262"/>
      </bottom>
      <diagonal/>
    </border>
    <border>
      <left style="thin">
        <color theme="0" tint="-0.34998626667073579"/>
      </left>
      <right style="thin">
        <color theme="0" tint="-0.34998626667073579"/>
      </right>
      <top/>
      <bottom style="thick">
        <color theme="8" tint="-0.499984740745262"/>
      </bottom>
      <diagonal/>
    </border>
    <border>
      <left/>
      <right style="thin">
        <color theme="0" tint="-0.34998626667073579"/>
      </right>
      <top/>
      <bottom style="thick">
        <color theme="8" tint="-0.499984740745262"/>
      </bottom>
      <diagonal/>
    </border>
    <border>
      <left style="thick">
        <color theme="8" tint="-0.499984740745262"/>
      </left>
      <right style="thin">
        <color theme="0" tint="-0.34998626667073579"/>
      </right>
      <top style="thick">
        <color theme="8" tint="-0.499984740745262"/>
      </top>
      <bottom/>
      <diagonal/>
    </border>
    <border>
      <left style="thin">
        <color theme="0" tint="-0.34998626667073579"/>
      </left>
      <right style="thin">
        <color theme="0" tint="-0.34998626667073579"/>
      </right>
      <top style="thick">
        <color theme="8" tint="-0.499984740745262"/>
      </top>
      <bottom/>
      <diagonal/>
    </border>
    <border>
      <left style="thick">
        <color theme="8" tint="-0.499984740745262"/>
      </left>
      <right style="thin">
        <color theme="0" tint="-0.34998626667073579"/>
      </right>
      <top/>
      <bottom style="medium">
        <color theme="8" tint="-0.499984740745262"/>
      </bottom>
      <diagonal/>
    </border>
    <border>
      <left/>
      <right style="thick">
        <color theme="8" tint="-0.499984740745262"/>
      </right>
      <top/>
      <bottom style="medium">
        <color theme="8" tint="-0.499984740745262"/>
      </bottom>
      <diagonal/>
    </border>
    <border>
      <left/>
      <right style="thin">
        <color theme="0" tint="-0.34998626667073579"/>
      </right>
      <top style="thick">
        <color theme="8" tint="-0.499984740745262"/>
      </top>
      <bottom/>
      <diagonal/>
    </border>
    <border>
      <left style="thin">
        <color theme="0" tint="-0.249977111117893"/>
      </left>
      <right/>
      <top/>
      <bottom style="thick">
        <color theme="8" tint="-0.499984740745262"/>
      </bottom>
      <diagonal/>
    </border>
    <border>
      <left style="thick">
        <color theme="9" tint="-0.499984740745262"/>
      </left>
      <right style="thick">
        <color theme="9" tint="-0.499984740745262"/>
      </right>
      <top style="thick">
        <color theme="9" tint="-0.499984740745262"/>
      </top>
      <bottom style="thick">
        <color theme="9" tint="-0.499984740745262"/>
      </bottom>
      <diagonal/>
    </border>
    <border>
      <left/>
      <right style="thick">
        <color rgb="FFFF0000"/>
      </right>
      <top/>
      <bottom style="thick">
        <color theme="9" tint="-0.499984740745262"/>
      </bottom>
      <diagonal/>
    </border>
    <border>
      <left/>
      <right/>
      <top style="thick">
        <color theme="9" tint="-0.499984740745262"/>
      </top>
      <bottom style="thick">
        <color rgb="FFFF0000"/>
      </bottom>
      <diagonal/>
    </border>
    <border>
      <left style="thick">
        <color theme="7" tint="0.79998168889431442"/>
      </left>
      <right style="thick">
        <color rgb="FFFF0000"/>
      </right>
      <top/>
      <bottom/>
      <diagonal/>
    </border>
    <border>
      <left/>
      <right style="thick">
        <color rgb="FFFF0000"/>
      </right>
      <top style="thick">
        <color theme="7" tint="0.79998168889431442"/>
      </top>
      <bottom style="thick">
        <color theme="9" tint="-0.499984740745262"/>
      </bottom>
      <diagonal/>
    </border>
    <border>
      <left style="mediumDashed">
        <color theme="1"/>
      </left>
      <right/>
      <top style="dashed">
        <color theme="0" tint="-0.499984740745262"/>
      </top>
      <bottom/>
      <diagonal/>
    </border>
    <border>
      <left style="mediumDashed">
        <color theme="1"/>
      </left>
      <right/>
      <top/>
      <bottom style="dashed">
        <color theme="1"/>
      </bottom>
      <diagonal/>
    </border>
    <border>
      <left/>
      <right style="mediumDashed">
        <color theme="1"/>
      </right>
      <top style="dashed">
        <color theme="1"/>
      </top>
      <bottom/>
      <diagonal/>
    </border>
    <border>
      <left style="mediumDashed">
        <color theme="1"/>
      </left>
      <right/>
      <top style="dashed">
        <color theme="1"/>
      </top>
      <bottom/>
      <diagonal/>
    </border>
    <border>
      <left/>
      <right style="thin">
        <color theme="0" tint="-0.34998626667073579"/>
      </right>
      <top style="thick">
        <color theme="5" tint="-0.499984740745262"/>
      </top>
      <bottom/>
      <diagonal/>
    </border>
    <border>
      <left/>
      <right style="thin">
        <color theme="0" tint="-0.249977111117893"/>
      </right>
      <top style="thick">
        <color theme="9" tint="-0.499984740745262"/>
      </top>
      <bottom/>
      <diagonal/>
    </border>
    <border>
      <left style="medium">
        <color theme="9" tint="-0.249977111117893"/>
      </left>
      <right style="thick">
        <color theme="9" tint="-0.499984740745262"/>
      </right>
      <top/>
      <bottom style="thick">
        <color theme="9" tint="-0.499984740745262"/>
      </bottom>
      <diagonal/>
    </border>
    <border>
      <left/>
      <right style="thick">
        <color theme="0" tint="-0.34998626667073579"/>
      </right>
      <top/>
      <bottom/>
      <diagonal/>
    </border>
    <border>
      <left style="thick">
        <color theme="9" tint="0.59999389629810485"/>
      </left>
      <right/>
      <top style="thick">
        <color theme="9" tint="-0.499984740745262"/>
      </top>
      <bottom/>
      <diagonal/>
    </border>
    <border>
      <left style="thick">
        <color theme="9" tint="0.59999389629810485"/>
      </left>
      <right/>
      <top/>
      <bottom style="thick">
        <color theme="9" tint="-0.499984740745262"/>
      </bottom>
      <diagonal/>
    </border>
    <border>
      <left/>
      <right style="thin">
        <color theme="0" tint="-0.249977111117893"/>
      </right>
      <top/>
      <bottom style="thick">
        <color theme="9" tint="-0.499984740745262"/>
      </bottom>
      <diagonal/>
    </border>
    <border>
      <left style="thick">
        <color theme="9" tint="-0.499984740745262"/>
      </left>
      <right style="thick">
        <color theme="9" tint="-0.499984740745262"/>
      </right>
      <top/>
      <bottom/>
      <diagonal/>
    </border>
    <border>
      <left style="medium">
        <color theme="1"/>
      </left>
      <right/>
      <top/>
      <bottom/>
      <diagonal/>
    </border>
    <border>
      <left/>
      <right style="thick">
        <color theme="9" tint="0.59999389629810485"/>
      </right>
      <top style="thick">
        <color theme="9" tint="-0.499984740745262"/>
      </top>
      <bottom/>
      <diagonal/>
    </border>
    <border>
      <left/>
      <right style="thick">
        <color theme="9" tint="0.59999389629810485"/>
      </right>
      <top/>
      <bottom style="thick">
        <color theme="9" tint="-0.499984740745262"/>
      </bottom>
      <diagonal/>
    </border>
    <border>
      <left style="thick">
        <color theme="8" tint="-0.499984740745262"/>
      </left>
      <right style="thick">
        <color theme="8" tint="-0.499984740745262"/>
      </right>
      <top style="thick">
        <color theme="8" tint="-0.499984740745262"/>
      </top>
      <bottom/>
      <diagonal/>
    </border>
    <border>
      <left style="thick">
        <color theme="8" tint="-0.499984740745262"/>
      </left>
      <right style="thick">
        <color theme="8" tint="-0.499984740745262"/>
      </right>
      <top/>
      <bottom/>
      <diagonal/>
    </border>
    <border>
      <left style="thick">
        <color theme="8" tint="-0.499984740745262"/>
      </left>
      <right style="thick">
        <color theme="8" tint="-0.499984740745262"/>
      </right>
      <top/>
      <bottom style="thick">
        <color theme="8" tint="-0.499984740745262"/>
      </bottom>
      <diagonal/>
    </border>
    <border>
      <left style="thick">
        <color rgb="FF7030A0"/>
      </left>
      <right style="thick">
        <color rgb="FF7030A0"/>
      </right>
      <top style="thick">
        <color rgb="FF7030A0"/>
      </top>
      <bottom/>
      <diagonal/>
    </border>
    <border>
      <left style="thick">
        <color rgb="FF7030A0"/>
      </left>
      <right style="thick">
        <color rgb="FF7030A0"/>
      </right>
      <top/>
      <bottom/>
      <diagonal/>
    </border>
    <border>
      <left style="thick">
        <color rgb="FF7030A0"/>
      </left>
      <right style="thick">
        <color rgb="FF7030A0"/>
      </right>
      <top/>
      <bottom style="thick">
        <color rgb="FF7030A0"/>
      </bottom>
      <diagonal/>
    </border>
    <border>
      <left style="thick">
        <color theme="9" tint="0.59999389629810485"/>
      </left>
      <right/>
      <top style="thick">
        <color theme="8" tint="-0.499984740745262"/>
      </top>
      <bottom/>
      <diagonal/>
    </border>
    <border>
      <left/>
      <right style="thin">
        <color theme="0" tint="-0.249977111117893"/>
      </right>
      <top style="thick">
        <color theme="8" tint="-0.499984740745262"/>
      </top>
      <bottom/>
      <diagonal/>
    </border>
    <border>
      <left style="thick">
        <color theme="9" tint="0.59999389629810485"/>
      </left>
      <right/>
      <top/>
      <bottom style="thick">
        <color theme="8" tint="-0.499984740745262"/>
      </bottom>
      <diagonal/>
    </border>
    <border>
      <left/>
      <right style="thin">
        <color theme="0" tint="-0.249977111117893"/>
      </right>
      <top/>
      <bottom style="thick">
        <color theme="8" tint="-0.499984740745262"/>
      </bottom>
      <diagonal/>
    </border>
    <border>
      <left style="thin">
        <color theme="0" tint="-0.249977111117893"/>
      </left>
      <right/>
      <top style="thick">
        <color theme="8" tint="-0.499984740745262"/>
      </top>
      <bottom/>
      <diagonal/>
    </border>
    <border>
      <left style="thick">
        <color theme="9" tint="0.59999389629810485"/>
      </left>
      <right/>
      <top style="thick">
        <color rgb="FF7030A0"/>
      </top>
      <bottom/>
      <diagonal/>
    </border>
    <border>
      <left/>
      <right style="thick">
        <color theme="8" tint="-0.499984740745262"/>
      </right>
      <top style="thick">
        <color rgb="FF7030A0"/>
      </top>
      <bottom/>
      <diagonal/>
    </border>
    <border>
      <left/>
      <right/>
      <top style="thick">
        <color theme="0" tint="-0.34998626667073579"/>
      </top>
      <bottom/>
      <diagonal/>
    </border>
    <border>
      <left style="thick">
        <color rgb="FF7030A0"/>
      </left>
      <right/>
      <top/>
      <bottom style="thick">
        <color theme="0" tint="-0.34998626667073579"/>
      </bottom>
      <diagonal/>
    </border>
    <border>
      <left/>
      <right/>
      <top/>
      <bottom style="thick">
        <color theme="0" tint="-0.34998626667073579"/>
      </bottom>
      <diagonal/>
    </border>
    <border>
      <left/>
      <right style="thick">
        <color theme="8" tint="-0.499984740745262"/>
      </right>
      <top/>
      <bottom style="thick">
        <color theme="0" tint="-0.34998626667073579"/>
      </bottom>
      <diagonal/>
    </border>
    <border>
      <left/>
      <right style="thick">
        <color theme="8" tint="-0.499984740745262"/>
      </right>
      <top style="thick">
        <color rgb="FF7030A0"/>
      </top>
      <bottom style="thick">
        <color rgb="FF7030A0"/>
      </bottom>
      <diagonal/>
    </border>
    <border>
      <left/>
      <right style="thick">
        <color theme="8" tint="-0.499984740745262"/>
      </right>
      <top style="thick">
        <color rgb="FF800080"/>
      </top>
      <bottom style="thick">
        <color rgb="FF7030A0"/>
      </bottom>
      <diagonal/>
    </border>
    <border>
      <left/>
      <right style="thick">
        <color theme="8" tint="-0.499984740745262"/>
      </right>
      <top/>
      <bottom style="thick">
        <color rgb="FF800080"/>
      </bottom>
      <diagonal/>
    </border>
    <border>
      <left style="thick">
        <color theme="5" tint="-0.499984740745262"/>
      </left>
      <right/>
      <top style="thick">
        <color rgb="FF7030A0"/>
      </top>
      <bottom style="thick">
        <color rgb="FF7030A0"/>
      </bottom>
      <diagonal/>
    </border>
    <border>
      <left/>
      <right style="thick">
        <color theme="5" tint="-0.499984740745262"/>
      </right>
      <top/>
      <bottom style="thick">
        <color rgb="FF7030A0"/>
      </bottom>
      <diagonal/>
    </border>
    <border>
      <left style="thick">
        <color rgb="FF7030A0"/>
      </left>
      <right/>
      <top style="thick">
        <color theme="0" tint="-0.34998626667073579"/>
      </top>
      <bottom/>
      <diagonal/>
    </border>
    <border>
      <left/>
      <right style="thick">
        <color theme="5" tint="-0.499984740745262"/>
      </right>
      <top style="thick">
        <color rgb="FF7030A0"/>
      </top>
      <bottom style="thick">
        <color rgb="FF7030A0"/>
      </bottom>
      <diagonal/>
    </border>
    <border>
      <left/>
      <right style="thin">
        <color theme="0" tint="-0.249977111117893"/>
      </right>
      <top/>
      <bottom style="thick">
        <color theme="5" tint="-0.499984740745262"/>
      </bottom>
      <diagonal/>
    </border>
    <border>
      <left style="thick">
        <color theme="0" tint="-0.14999847407452621"/>
      </left>
      <right/>
      <top style="thick">
        <color theme="9" tint="-0.499984740745262"/>
      </top>
      <bottom/>
      <diagonal/>
    </border>
    <border>
      <left style="thin">
        <color theme="0" tint="-0.249977111117893"/>
      </left>
      <right/>
      <top style="thick">
        <color theme="9" tint="-0.499984740745262"/>
      </top>
      <bottom/>
      <diagonal/>
    </border>
    <border>
      <left style="thick">
        <color theme="9" tint="-0.499984740745262"/>
      </left>
      <right style="medium">
        <color theme="9" tint="-0.249977111117893"/>
      </right>
      <top style="thick">
        <color theme="9" tint="-0.499984740745262"/>
      </top>
      <bottom style="thick">
        <color theme="9" tint="-0.499984740745262"/>
      </bottom>
      <diagonal/>
    </border>
    <border>
      <left style="thin">
        <color theme="0" tint="-0.34998626667073579"/>
      </left>
      <right style="thick">
        <color theme="7" tint="0.79998168889431442"/>
      </right>
      <top style="thick">
        <color theme="9" tint="-0.499984740745262"/>
      </top>
      <bottom/>
      <diagonal/>
    </border>
    <border>
      <left style="thin">
        <color theme="0" tint="-0.34998626667073579"/>
      </left>
      <right style="thick">
        <color theme="7" tint="0.79998168889431442"/>
      </right>
      <top/>
      <bottom/>
      <diagonal/>
    </border>
    <border>
      <left style="thin">
        <color theme="0" tint="-0.34998626667073579"/>
      </left>
      <right style="thick">
        <color theme="7" tint="0.79998168889431442"/>
      </right>
      <top/>
      <bottom style="thick">
        <color theme="9" tint="-0.499984740745262"/>
      </bottom>
      <diagonal/>
    </border>
    <border>
      <left style="thick">
        <color theme="9" tint="-0.499984740745262"/>
      </left>
      <right style="thick">
        <color theme="9" tint="-0.499984740745262"/>
      </right>
      <top style="thick">
        <color theme="9" tint="-0.499984740745262"/>
      </top>
      <bottom/>
      <diagonal/>
    </border>
    <border>
      <left style="thick">
        <color theme="9" tint="-0.499984740745262"/>
      </left>
      <right style="thick">
        <color theme="9" tint="-0.499984740745262"/>
      </right>
      <top/>
      <bottom style="thick">
        <color theme="9" tint="-0.499984740745262"/>
      </bottom>
      <diagonal/>
    </border>
    <border>
      <left style="thin">
        <color theme="0" tint="-0.249977111117893"/>
      </left>
      <right/>
      <top/>
      <bottom style="thick">
        <color theme="9" tint="-0.499984740745262"/>
      </bottom>
      <diagonal/>
    </border>
    <border>
      <left style="thick">
        <color theme="0" tint="-0.14999847407452621"/>
      </left>
      <right/>
      <top/>
      <bottom style="thick">
        <color theme="9" tint="-0.499984740745262"/>
      </bottom>
      <diagonal/>
    </border>
    <border>
      <left style="thick">
        <color rgb="FF7030A0"/>
      </left>
      <right style="thick">
        <color theme="9" tint="-0.499984740745262"/>
      </right>
      <top style="thick">
        <color theme="9" tint="-0.499984740745262"/>
      </top>
      <bottom style="thick">
        <color theme="9" tint="-0.499984740745262"/>
      </bottom>
      <diagonal/>
    </border>
    <border>
      <left/>
      <right style="thin">
        <color theme="7" tint="0.79998168889431442"/>
      </right>
      <top/>
      <bottom/>
      <diagonal/>
    </border>
    <border>
      <left/>
      <right style="thin">
        <color theme="7" tint="0.79998168889431442"/>
      </right>
      <top/>
      <bottom style="thick">
        <color theme="9" tint="-0.499984740745262"/>
      </bottom>
      <diagonal/>
    </border>
    <border>
      <left/>
      <right style="thin">
        <color theme="7" tint="0.79998168889431442"/>
      </right>
      <top style="thick">
        <color theme="9" tint="-0.499984740745262"/>
      </top>
      <bottom/>
      <diagonal/>
    </border>
    <border>
      <left style="thin">
        <color theme="0" tint="-0.34998626667073579"/>
      </left>
      <right style="thick">
        <color theme="7" tint="0.79998168889431442"/>
      </right>
      <top style="thick">
        <color theme="8" tint="-0.499984740745262"/>
      </top>
      <bottom/>
      <diagonal/>
    </border>
    <border>
      <left style="medium">
        <color rgb="FF800080"/>
      </left>
      <right style="thick">
        <color rgb="FF7030A0"/>
      </right>
      <top style="thick">
        <color rgb="FF7030A0"/>
      </top>
      <bottom/>
      <diagonal/>
    </border>
    <border>
      <left style="thick">
        <color theme="8" tint="-0.499984740745262"/>
      </left>
      <right style="thick">
        <color theme="8" tint="-0.499984740745262"/>
      </right>
      <top style="thick">
        <color theme="8" tint="-0.499984740745262"/>
      </top>
      <bottom style="thick">
        <color theme="8" tint="-0.499984740745262"/>
      </bottom>
      <diagonal/>
    </border>
    <border>
      <left style="thick">
        <color theme="0" tint="-0.14999847407452621"/>
      </left>
      <right/>
      <top style="thick">
        <color theme="8" tint="-0.499984740745262"/>
      </top>
      <bottom/>
      <diagonal/>
    </border>
    <border>
      <left style="thick">
        <color theme="0" tint="-0.14999847407452621"/>
      </left>
      <right/>
      <top/>
      <bottom style="thick">
        <color theme="8" tint="-0.499984740745262"/>
      </bottom>
      <diagonal/>
    </border>
    <border>
      <left style="thick">
        <color theme="9" tint="0.59999389629810485"/>
      </left>
      <right/>
      <top/>
      <bottom style="thick">
        <color rgb="FF7030A0"/>
      </bottom>
      <diagonal/>
    </border>
    <border>
      <left style="thin">
        <color theme="0" tint="-0.34998626667073579"/>
      </left>
      <right style="thin">
        <color rgb="FFD8BFD8"/>
      </right>
      <top style="medium">
        <color rgb="FF800080"/>
      </top>
      <bottom/>
      <diagonal/>
    </border>
    <border>
      <left style="thin">
        <color theme="0" tint="-0.34998626667073579"/>
      </left>
      <right style="thin">
        <color rgb="FFD8BFD8"/>
      </right>
      <top/>
      <bottom/>
      <diagonal/>
    </border>
    <border>
      <left style="thin">
        <color theme="7" tint="0.79998168889431442"/>
      </left>
      <right style="thin">
        <color theme="0" tint="-0.34998626667073579"/>
      </right>
      <top/>
      <bottom/>
      <diagonal/>
    </border>
    <border>
      <left style="thin">
        <color theme="0" tint="-0.34998626667073579"/>
      </left>
      <right style="thin">
        <color theme="7" tint="0.79998168889431442"/>
      </right>
      <top/>
      <bottom style="thick">
        <color theme="8" tint="-0.499984740745262"/>
      </bottom>
      <diagonal/>
    </border>
    <border>
      <left style="thin">
        <color theme="0" tint="-0.34998626667073579"/>
      </left>
      <right style="thin">
        <color theme="7" tint="0.79998168889431442"/>
      </right>
      <top/>
      <bottom/>
      <diagonal/>
    </border>
    <border>
      <left style="thin">
        <color theme="0" tint="-0.34998626667073579"/>
      </left>
      <right/>
      <top style="medium">
        <color rgb="FF800080"/>
      </top>
      <bottom/>
      <diagonal/>
    </border>
    <border>
      <left/>
      <right/>
      <top style="medium">
        <color theme="4" tint="-0.249977111117893"/>
      </top>
      <bottom style="medium">
        <color theme="4" tint="-0.249977111117893"/>
      </bottom>
      <diagonal/>
    </border>
    <border>
      <left/>
      <right/>
      <top/>
      <bottom style="medium">
        <color theme="4" tint="-0.249977111117893"/>
      </bottom>
      <diagonal/>
    </border>
    <border>
      <left style="thick">
        <color theme="5" tint="-0.499984740745262"/>
      </left>
      <right style="thick">
        <color theme="5" tint="-0.499984740745262"/>
      </right>
      <top style="thick">
        <color theme="5" tint="-0.499984740745262"/>
      </top>
      <bottom/>
      <diagonal/>
    </border>
    <border>
      <left style="thick">
        <color theme="5" tint="-0.499984740745262"/>
      </left>
      <right style="thick">
        <color theme="5" tint="-0.499984740745262"/>
      </right>
      <top/>
      <bottom/>
      <diagonal/>
    </border>
    <border>
      <left style="thick">
        <color theme="5" tint="-0.499984740745262"/>
      </left>
      <right style="thick">
        <color theme="5" tint="-0.499984740745262"/>
      </right>
      <top/>
      <bottom style="thick">
        <color theme="5"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right style="thick">
        <color theme="1"/>
      </right>
      <top/>
      <bottom/>
      <diagonal/>
    </border>
    <border>
      <left style="thick">
        <color theme="1"/>
      </left>
      <right style="thick">
        <color theme="1"/>
      </right>
      <top/>
      <bottom/>
      <diagonal/>
    </border>
    <border>
      <left style="thick">
        <color theme="1"/>
      </left>
      <right/>
      <top/>
      <bottom/>
      <diagonal/>
    </border>
    <border>
      <left style="thick">
        <color theme="0" tint="-0.34998626667073579"/>
      </left>
      <right/>
      <top/>
      <bottom/>
      <diagonal/>
    </border>
    <border>
      <left style="thin">
        <color theme="0" tint="-0.249977111117893"/>
      </left>
      <right style="thick">
        <color theme="0" tint="-0.34998626667073579"/>
      </right>
      <top/>
      <bottom/>
      <diagonal/>
    </border>
    <border>
      <left style="thin">
        <color theme="0" tint="-0.249977111117893"/>
      </left>
      <right style="thick">
        <color theme="0" tint="-0.34998626667073579"/>
      </right>
      <top/>
      <bottom style="thick">
        <color theme="0" tint="-0.34998626667073579"/>
      </bottom>
      <diagonal/>
    </border>
    <border>
      <left/>
      <right style="thick">
        <color theme="0" tint="-0.34998626667073579"/>
      </right>
      <top style="thick">
        <color theme="0" tint="-0.34998626667073579"/>
      </top>
      <bottom/>
      <diagonal/>
    </border>
    <border>
      <left style="thick">
        <color theme="0" tint="-0.34998626667073579"/>
      </left>
      <right style="thin">
        <color theme="0" tint="-0.249977111117893"/>
      </right>
      <top/>
      <bottom/>
      <diagonal/>
    </border>
    <border>
      <left/>
      <right/>
      <top style="thick">
        <color theme="0" tint="-0.34998626667073579"/>
      </top>
      <bottom style="thick">
        <color theme="0" tint="-0.34998626667073579"/>
      </bottom>
      <diagonal/>
    </border>
    <border>
      <left style="thick">
        <color theme="0" tint="-0.499984740745262"/>
      </left>
      <right/>
      <top style="thick">
        <color theme="0" tint="-0.499984740745262"/>
      </top>
      <bottom style="thick">
        <color theme="0" tint="-0.499984740745262"/>
      </bottom>
      <diagonal/>
    </border>
    <border>
      <left/>
      <right/>
      <top style="thick">
        <color theme="0" tint="-0.499984740745262"/>
      </top>
      <bottom style="thick">
        <color theme="0" tint="-0.499984740745262"/>
      </bottom>
      <diagonal/>
    </border>
    <border>
      <left/>
      <right style="thick">
        <color theme="0" tint="-0.499984740745262"/>
      </right>
      <top style="thick">
        <color theme="0" tint="-0.499984740745262"/>
      </top>
      <bottom style="thick">
        <color theme="0" tint="-0.499984740745262"/>
      </bottom>
      <diagonal/>
    </border>
    <border>
      <left style="thick">
        <color theme="1"/>
      </left>
      <right style="thick">
        <color theme="1"/>
      </right>
      <top style="thick">
        <color theme="1"/>
      </top>
      <bottom/>
      <diagonal/>
    </border>
    <border>
      <left/>
      <right/>
      <top/>
      <bottom style="thick">
        <color theme="1"/>
      </bottom>
      <diagonal/>
    </border>
    <border>
      <left/>
      <right style="thick">
        <color theme="7" tint="0.79998168889431442"/>
      </right>
      <top/>
      <bottom style="thick">
        <color theme="9" tint="-0.499984740745262"/>
      </bottom>
      <diagonal/>
    </border>
    <border>
      <left/>
      <right style="thick">
        <color theme="9" tint="-0.499984740745262"/>
      </right>
      <top/>
      <bottom style="thick">
        <color rgb="FF7030A0"/>
      </bottom>
      <diagonal/>
    </border>
    <border>
      <left/>
      <right style="thick">
        <color theme="9" tint="-0.499984740745262"/>
      </right>
      <top style="thick">
        <color rgb="FF7030A0"/>
      </top>
      <bottom style="thick">
        <color rgb="FF7030A0"/>
      </bottom>
      <diagonal/>
    </border>
    <border>
      <left style="thick">
        <color theme="7" tint="0.79998168889431442"/>
      </left>
      <right/>
      <top/>
      <bottom/>
      <diagonal/>
    </border>
    <border>
      <left style="thick">
        <color theme="7" tint="0.79998168889431442"/>
      </left>
      <right/>
      <top/>
      <bottom style="thick">
        <color theme="9" tint="-0.499984740745262"/>
      </bottom>
      <diagonal/>
    </border>
    <border>
      <left style="thin">
        <color theme="7" tint="0.79998168889431442"/>
      </left>
      <right style="thin">
        <color theme="0" tint="-0.34998626667073579"/>
      </right>
      <top style="thick">
        <color theme="9" tint="-0.499984740745262"/>
      </top>
      <bottom/>
      <diagonal/>
    </border>
    <border>
      <left style="thin">
        <color theme="7" tint="0.79998168889431442"/>
      </left>
      <right style="thin">
        <color theme="0" tint="-0.34998626667073579"/>
      </right>
      <top/>
      <bottom style="thick">
        <color theme="9" tint="-0.499984740745262"/>
      </bottom>
      <diagonal/>
    </border>
    <border>
      <left/>
      <right style="thick">
        <color rgb="FFFF0000"/>
      </right>
      <top style="thick">
        <color theme="0" tint="-0.34998626667073579"/>
      </top>
      <bottom style="thick">
        <color theme="0" tint="-0.34998626667073579"/>
      </bottom>
      <diagonal/>
    </border>
    <border>
      <left style="thick">
        <color theme="7" tint="0.79998168889431442"/>
      </left>
      <right style="thin">
        <color theme="0" tint="-0.34998626667073579"/>
      </right>
      <top style="thick">
        <color theme="9" tint="-0.499984740745262"/>
      </top>
      <bottom/>
      <diagonal/>
    </border>
    <border>
      <left style="thin">
        <color theme="0" tint="-0.249977111117893"/>
      </left>
      <right/>
      <top/>
      <bottom style="thick">
        <color rgb="FFFF0000"/>
      </bottom>
      <diagonal/>
    </border>
    <border>
      <left/>
      <right style="thin">
        <color theme="0" tint="-0.249977111117893"/>
      </right>
      <top/>
      <bottom style="thick">
        <color rgb="FFFF0000"/>
      </bottom>
      <diagonal/>
    </border>
    <border>
      <left style="thin">
        <color theme="0" tint="-0.249977111117893"/>
      </left>
      <right style="thick">
        <color theme="9" tint="-0.499984740745262"/>
      </right>
      <top style="thick">
        <color theme="9" tint="-0.499984740745262"/>
      </top>
      <bottom/>
      <diagonal/>
    </border>
    <border>
      <left style="thin">
        <color theme="7" tint="0.79998168889431442"/>
      </left>
      <right/>
      <top style="thick">
        <color theme="9" tint="-0.499984740745262"/>
      </top>
      <bottom/>
      <diagonal/>
    </border>
    <border>
      <left style="thin">
        <color theme="7" tint="0.79998168889431442"/>
      </left>
      <right/>
      <top style="thin">
        <color theme="7" tint="0.79998168889431442"/>
      </top>
      <bottom/>
      <diagonal/>
    </border>
    <border>
      <left/>
      <right/>
      <top style="thin">
        <color theme="7" tint="0.79998168889431442"/>
      </top>
      <bottom/>
      <diagonal/>
    </border>
    <border>
      <left/>
      <right style="thin">
        <color theme="7" tint="0.79998168889431442"/>
      </right>
      <top style="thin">
        <color theme="7" tint="0.79998168889431442"/>
      </top>
      <bottom/>
      <diagonal/>
    </border>
    <border>
      <left style="thin">
        <color theme="7" tint="0.79998168889431442"/>
      </left>
      <right/>
      <top/>
      <bottom/>
      <diagonal/>
    </border>
    <border>
      <left style="thin">
        <color theme="7" tint="0.79998168889431442"/>
      </left>
      <right/>
      <top/>
      <bottom style="thin">
        <color theme="7" tint="0.79998168889431442"/>
      </bottom>
      <diagonal/>
    </border>
    <border>
      <left/>
      <right/>
      <top/>
      <bottom style="thin">
        <color theme="7" tint="0.79998168889431442"/>
      </bottom>
      <diagonal/>
    </border>
    <border>
      <left/>
      <right style="thin">
        <color theme="7" tint="0.79998168889431442"/>
      </right>
      <top/>
      <bottom style="thin">
        <color theme="7" tint="0.79998168889431442"/>
      </bottom>
      <diagonal/>
    </border>
    <border>
      <left style="thin">
        <color theme="7" tint="0.79998168889431442"/>
      </left>
      <right/>
      <top/>
      <bottom style="thick">
        <color theme="9" tint="-0.499984740745262"/>
      </bottom>
      <diagonal/>
    </border>
    <border>
      <left/>
      <right style="thin">
        <color rgb="FFD8BFD8"/>
      </right>
      <top style="medium">
        <color rgb="FF800080"/>
      </top>
      <bottom/>
      <diagonal/>
    </border>
    <border>
      <left style="thin">
        <color rgb="FFD8BFD8"/>
      </left>
      <right style="thin">
        <color rgb="FFD8BFD8"/>
      </right>
      <top/>
      <bottom/>
      <diagonal/>
    </border>
    <border>
      <left/>
      <right style="thin">
        <color rgb="FFD8BFD8"/>
      </right>
      <top/>
      <bottom/>
      <diagonal/>
    </border>
    <border>
      <left style="thin">
        <color rgb="FFD8BFD8"/>
      </left>
      <right style="thick">
        <color rgb="FF7030A0"/>
      </right>
      <top style="medium">
        <color rgb="FF800080"/>
      </top>
      <bottom/>
      <diagonal/>
    </border>
    <border>
      <left style="medium">
        <color theme="1"/>
      </left>
      <right/>
      <top style="medium">
        <color theme="1"/>
      </top>
      <bottom/>
      <diagonal/>
    </border>
    <border>
      <left/>
      <right style="medium">
        <color theme="1"/>
      </right>
      <top style="medium">
        <color theme="1"/>
      </top>
      <bottom/>
      <diagonal/>
    </border>
    <border>
      <left/>
      <right style="thin">
        <color theme="1"/>
      </right>
      <top style="medium">
        <color theme="1"/>
      </top>
      <bottom/>
      <diagonal/>
    </border>
    <border>
      <left/>
      <right style="thin">
        <color theme="1"/>
      </right>
      <top/>
      <bottom/>
      <diagonal/>
    </border>
    <border>
      <left/>
      <right style="thin">
        <color theme="1"/>
      </right>
      <top/>
      <bottom style="medium">
        <color theme="1"/>
      </bottom>
      <diagonal/>
    </border>
    <border>
      <left style="thin">
        <color theme="1"/>
      </left>
      <right style="medium">
        <color theme="1"/>
      </right>
      <top/>
      <bottom style="thin">
        <color theme="1"/>
      </bottom>
      <diagonal/>
    </border>
    <border>
      <left/>
      <right/>
      <top/>
      <bottom style="thin">
        <color theme="1"/>
      </bottom>
      <diagonal/>
    </border>
    <border>
      <left style="thick">
        <color rgb="FFFF0000"/>
      </left>
      <right style="thick">
        <color rgb="FFFF0000"/>
      </right>
      <top style="thick">
        <color rgb="FFFF0000"/>
      </top>
      <bottom style="thick">
        <color rgb="FFFF0000"/>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style="medium">
        <color rgb="FFFF0000"/>
      </left>
      <right style="thick">
        <color rgb="FFFF0000"/>
      </right>
      <top style="medium">
        <color rgb="FFFF0000"/>
      </top>
      <bottom style="medium">
        <color rgb="FFFF0000"/>
      </bottom>
      <diagonal/>
    </border>
    <border>
      <left style="thick">
        <color rgb="FFFF0000"/>
      </left>
      <right/>
      <top style="medium">
        <color rgb="FFFF0000"/>
      </top>
      <bottom style="medium">
        <color rgb="FFFF0000"/>
      </bottom>
      <diagonal/>
    </border>
    <border>
      <left/>
      <right style="thick">
        <color rgb="FFFF0000"/>
      </right>
      <top style="medium">
        <color rgb="FFFF0000"/>
      </top>
      <bottom style="medium">
        <color rgb="FFFF0000"/>
      </bottom>
      <diagonal/>
    </border>
    <border>
      <left style="thick">
        <color rgb="FFFF0000"/>
      </left>
      <right style="thick">
        <color rgb="FFFF0000"/>
      </right>
      <top/>
      <bottom/>
      <diagonal/>
    </border>
    <border>
      <left style="thick">
        <color rgb="FFFF0000"/>
      </left>
      <right style="thick">
        <color rgb="FFFF0000"/>
      </right>
      <top style="thick">
        <color rgb="FFFF0000"/>
      </top>
      <bottom/>
      <diagonal/>
    </border>
    <border>
      <left style="thick">
        <color theme="9" tint="-0.499984740745262"/>
      </left>
      <right/>
      <top/>
      <bottom style="thick">
        <color rgb="FFFF0000"/>
      </bottom>
      <diagonal/>
    </border>
    <border>
      <left/>
      <right style="thin">
        <color theme="0" tint="-0.34998626667073579"/>
      </right>
      <top/>
      <bottom style="thick">
        <color rgb="FFFF0000"/>
      </bottom>
      <diagonal/>
    </border>
    <border>
      <left style="thick">
        <color theme="9" tint="-0.499984740745262"/>
      </left>
      <right style="thick">
        <color rgb="FFFF0000"/>
      </right>
      <top style="thick">
        <color theme="9" tint="-0.499984740745262"/>
      </top>
      <bottom style="thick">
        <color theme="9" tint="-0.499984740745262"/>
      </bottom>
      <diagonal/>
    </border>
    <border>
      <left style="thick">
        <color rgb="FFFF0000"/>
      </left>
      <right style="thick">
        <color rgb="FFFF0000"/>
      </right>
      <top/>
      <bottom style="thick">
        <color rgb="FFFF0000"/>
      </bottom>
      <diagonal/>
    </border>
    <border>
      <left style="thick">
        <color rgb="FFFF0000"/>
      </left>
      <right style="thick">
        <color rgb="FFFF0000"/>
      </right>
      <top style="medium">
        <color rgb="FFFF0000"/>
      </top>
      <bottom/>
      <diagonal/>
    </border>
    <border>
      <left style="thick">
        <color rgb="FFFF0000"/>
      </left>
      <right style="thick">
        <color rgb="FFFF0000"/>
      </right>
      <top style="thick">
        <color rgb="FFFF0000"/>
      </top>
      <bottom style="medium">
        <color rgb="FFFF0000"/>
      </bottom>
      <diagonal/>
    </border>
    <border>
      <left style="thick">
        <color rgb="FFFF0000"/>
      </left>
      <right/>
      <top style="medium">
        <color rgb="FFFF0000"/>
      </top>
      <bottom style="thick">
        <color rgb="FF7030A0"/>
      </bottom>
      <diagonal/>
    </border>
    <border>
      <left/>
      <right/>
      <top style="medium">
        <color rgb="FFFF0000"/>
      </top>
      <bottom style="thick">
        <color rgb="FF7030A0"/>
      </bottom>
      <diagonal/>
    </border>
    <border>
      <left style="thick">
        <color rgb="FFFF0000"/>
      </left>
      <right/>
      <top style="thick">
        <color rgb="FF7030A0"/>
      </top>
      <bottom style="thick">
        <color rgb="FF7030A0"/>
      </bottom>
      <diagonal/>
    </border>
    <border>
      <left/>
      <right/>
      <top style="thick">
        <color theme="1"/>
      </top>
      <bottom style="medium">
        <color theme="1"/>
      </bottom>
      <diagonal/>
    </border>
    <border>
      <left style="thick">
        <color theme="0" tint="-0.14999847407452621"/>
      </left>
      <right style="thick">
        <color theme="9" tint="0.59999389629810485"/>
      </right>
      <top style="thick">
        <color theme="8" tint="-0.499984740745262"/>
      </top>
      <bottom/>
      <diagonal/>
    </border>
    <border>
      <left style="thin">
        <color theme="0" tint="-0.249977111117893"/>
      </left>
      <right/>
      <top style="thick">
        <color rgb="FF7030A0"/>
      </top>
      <bottom/>
      <diagonal/>
    </border>
    <border>
      <left style="thick">
        <color rgb="FF7030A0"/>
      </left>
      <right/>
      <top style="thick">
        <color theme="0" tint="-0.34998626667073579"/>
      </top>
      <bottom style="thick">
        <color theme="0" tint="-0.34998626667073579"/>
      </bottom>
      <diagonal/>
    </border>
    <border>
      <left/>
      <right style="thick">
        <color theme="8" tint="-0.499984740745262"/>
      </right>
      <top style="thick">
        <color theme="0" tint="-0.34998626667073579"/>
      </top>
      <bottom style="thick">
        <color theme="0" tint="-0.34998626667073579"/>
      </bottom>
      <diagonal/>
    </border>
    <border>
      <left/>
      <right style="thick">
        <color rgb="FF7030A0"/>
      </right>
      <top style="thick">
        <color theme="0" tint="-0.34998626667073579"/>
      </top>
      <bottom/>
      <diagonal/>
    </border>
    <border>
      <left style="thin">
        <color theme="7" tint="0.79998168889431442"/>
      </left>
      <right style="thick">
        <color theme="7" tint="0.79998168889431442"/>
      </right>
      <top style="thick">
        <color theme="9" tint="-0.499984740745262"/>
      </top>
      <bottom/>
      <diagonal/>
    </border>
    <border>
      <left style="thin">
        <color theme="0" tint="-0.34998626667073579"/>
      </left>
      <right style="thin">
        <color theme="7" tint="0.79998168889431442"/>
      </right>
      <top/>
      <bottom style="thick">
        <color theme="9" tint="-0.499984740745262"/>
      </bottom>
      <diagonal/>
    </border>
    <border>
      <left/>
      <right style="thick">
        <color theme="7" tint="0.79998168889431442"/>
      </right>
      <top/>
      <bottom/>
      <diagonal/>
    </border>
    <border>
      <left style="thin">
        <color theme="7" tint="0.79998168889431442"/>
      </left>
      <right style="thin">
        <color theme="0" tint="-0.249977111117893"/>
      </right>
      <top style="thick">
        <color theme="9" tint="-0.499984740745262"/>
      </top>
      <bottom/>
      <diagonal/>
    </border>
    <border>
      <left style="thin">
        <color theme="0" tint="-0.34998626667073579"/>
      </left>
      <right style="thin">
        <color theme="7" tint="0.79998168889431442"/>
      </right>
      <top style="thick">
        <color theme="9" tint="-0.499984740745262"/>
      </top>
      <bottom/>
      <diagonal/>
    </border>
    <border>
      <left style="thin">
        <color theme="7" tint="0.79998168889431442"/>
      </left>
      <right style="thin">
        <color theme="7" tint="0.79998168889431442"/>
      </right>
      <top/>
      <bottom/>
      <diagonal/>
    </border>
    <border>
      <left style="thin">
        <color theme="7" tint="0.79998168889431442"/>
      </left>
      <right style="thin">
        <color theme="7" tint="0.79998168889431442"/>
      </right>
      <top/>
      <bottom style="thick">
        <color theme="9" tint="-0.499984740745262"/>
      </bottom>
      <diagonal/>
    </border>
    <border>
      <left/>
      <right style="dashed">
        <color theme="0" tint="-0.34998626667073579"/>
      </right>
      <top style="thick">
        <color theme="9" tint="-0.499984740745262"/>
      </top>
      <bottom/>
      <diagonal/>
    </border>
    <border>
      <left/>
      <right style="dashed">
        <color theme="0" tint="-0.34998626667073579"/>
      </right>
      <top/>
      <bottom style="thick">
        <color theme="9" tint="-0.499984740745262"/>
      </bottom>
      <diagonal/>
    </border>
    <border>
      <left/>
      <right/>
      <top style="thick">
        <color rgb="FF7030A0"/>
      </top>
      <bottom style="medium">
        <color rgb="FF800080"/>
      </bottom>
      <diagonal/>
    </border>
    <border>
      <left/>
      <right style="thick">
        <color rgb="FF7030A0"/>
      </right>
      <top style="thick">
        <color rgb="FF7030A0"/>
      </top>
      <bottom style="medium">
        <color rgb="FF800080"/>
      </bottom>
      <diagonal/>
    </border>
    <border>
      <left/>
      <right style="thick">
        <color theme="7" tint="0.79998168889431442"/>
      </right>
      <top/>
      <bottom style="thick">
        <color theme="8" tint="-0.499984740745262"/>
      </bottom>
      <diagonal/>
    </border>
    <border>
      <left style="thick">
        <color theme="7" tint="0.79998168889431442"/>
      </left>
      <right style="thin">
        <color theme="0" tint="-0.34998626667073579"/>
      </right>
      <top/>
      <bottom/>
      <diagonal/>
    </border>
    <border>
      <left style="thick">
        <color theme="7" tint="0.79998168889431442"/>
      </left>
      <right style="thin">
        <color theme="0" tint="-0.249977111117893"/>
      </right>
      <top style="thick">
        <color theme="8" tint="-0.499984740745262"/>
      </top>
      <bottom/>
      <diagonal/>
    </border>
    <border>
      <left style="thin">
        <color rgb="FFD8BFD8"/>
      </left>
      <right style="thin">
        <color rgb="FFD8BFD8"/>
      </right>
      <top style="medium">
        <color rgb="FF800080"/>
      </top>
      <bottom/>
      <diagonal/>
    </border>
    <border>
      <left/>
      <right style="thin">
        <color theme="0" tint="-0.34998626667073579"/>
      </right>
      <top/>
      <bottom style="thick">
        <color rgb="FF7030A0"/>
      </bottom>
      <diagonal/>
    </border>
    <border>
      <left style="thin">
        <color theme="0" tint="-0.34998626667073579"/>
      </left>
      <right style="thin">
        <color rgb="FFD8BFD8"/>
      </right>
      <top/>
      <bottom style="thick">
        <color rgb="FF7030A0"/>
      </bottom>
      <diagonal/>
    </border>
    <border>
      <left/>
      <right style="thin">
        <color rgb="FFD8BFD8"/>
      </right>
      <top/>
      <bottom style="thick">
        <color rgb="FF7030A0"/>
      </bottom>
      <diagonal/>
    </border>
    <border>
      <left style="thin">
        <color theme="0" tint="-0.34998626667073579"/>
      </left>
      <right style="thin">
        <color theme="0" tint="-0.34998626667073579"/>
      </right>
      <top/>
      <bottom style="thick">
        <color rgb="FF7030A0"/>
      </bottom>
      <diagonal/>
    </border>
    <border>
      <left style="thick">
        <color theme="8" tint="-0.499984740745262"/>
      </left>
      <right style="thick">
        <color rgb="FF7030A0"/>
      </right>
      <top style="thick">
        <color theme="8" tint="-0.499984740745262"/>
      </top>
      <bottom/>
      <diagonal/>
    </border>
    <border>
      <left style="thick">
        <color theme="8" tint="-0.499984740745262"/>
      </left>
      <right style="thick">
        <color rgb="FF7030A0"/>
      </right>
      <top/>
      <bottom/>
      <diagonal/>
    </border>
    <border>
      <left style="thick">
        <color rgb="FF7030A0"/>
      </left>
      <right/>
      <top style="medium">
        <color rgb="FF800080"/>
      </top>
      <bottom style="medium">
        <color rgb="FF800080"/>
      </bottom>
      <diagonal/>
    </border>
    <border>
      <left/>
      <right style="thick">
        <color rgb="FF7030A0"/>
      </right>
      <top/>
      <bottom style="thick">
        <color theme="8" tint="-0.499984740745262"/>
      </bottom>
      <diagonal/>
    </border>
    <border>
      <left style="thin">
        <color theme="0" tint="-0.249977111117893"/>
      </left>
      <right style="thick">
        <color theme="8" tint="-0.499984740745262"/>
      </right>
      <top/>
      <bottom/>
      <diagonal/>
    </border>
    <border>
      <left/>
      <right style="thick">
        <color rgb="FF7030A0"/>
      </right>
      <top style="thick">
        <color theme="8" tint="-0.499984740745262"/>
      </top>
      <bottom/>
      <diagonal/>
    </border>
    <border>
      <left style="thick">
        <color theme="8" tint="-0.499984740745262"/>
      </left>
      <right style="thick">
        <color rgb="FF7030A0"/>
      </right>
      <top/>
      <bottom style="thick">
        <color theme="8" tint="-0.499984740745262"/>
      </bottom>
      <diagonal/>
    </border>
    <border>
      <left style="thick">
        <color theme="8" tint="-0.499984740745262"/>
      </left>
      <right/>
      <top style="medium">
        <color theme="8" tint="-0.499984740745262"/>
      </top>
      <bottom style="thick">
        <color theme="8" tint="-0.499984740745262"/>
      </bottom>
      <diagonal/>
    </border>
    <border>
      <left style="thick">
        <color theme="7" tint="0.79998168889431442"/>
      </left>
      <right style="thin">
        <color theme="0" tint="-0.34998626667073579"/>
      </right>
      <top style="thick">
        <color theme="8" tint="-0.499984740745262"/>
      </top>
      <bottom/>
      <diagonal/>
    </border>
    <border>
      <left style="thin">
        <color theme="0" tint="-0.34998626667073579"/>
      </left>
      <right/>
      <top style="thick">
        <color theme="8" tint="-0.499984740745262"/>
      </top>
      <bottom/>
      <diagonal/>
    </border>
    <border>
      <left style="thin">
        <color theme="0" tint="-0.34998626667073579"/>
      </left>
      <right style="thick">
        <color theme="7" tint="0.79998168889431442"/>
      </right>
      <top/>
      <bottom style="thick">
        <color theme="8" tint="-0.499984740745262"/>
      </bottom>
      <diagonal/>
    </border>
    <border>
      <left style="thin">
        <color theme="7" tint="0.79998168889431442"/>
      </left>
      <right style="thin">
        <color theme="0" tint="-0.34998626667073579"/>
      </right>
      <top style="thick">
        <color rgb="FFFF0000"/>
      </top>
      <bottom/>
      <diagonal/>
    </border>
    <border>
      <left style="thin">
        <color theme="7" tint="0.79998168889431442"/>
      </left>
      <right style="thin">
        <color theme="7" tint="0.79998168889431442"/>
      </right>
      <top style="thick">
        <color theme="9" tint="-0.499984740745262"/>
      </top>
      <bottom/>
      <diagonal/>
    </border>
    <border>
      <left style="thin">
        <color theme="0" tint="-0.249977111117893"/>
      </left>
      <right/>
      <top style="thick">
        <color theme="0" tint="-0.34998626667073579"/>
      </top>
      <bottom/>
      <diagonal/>
    </border>
    <border>
      <left/>
      <right style="thick">
        <color theme="1"/>
      </right>
      <top style="thick">
        <color theme="0" tint="-0.499984740745262"/>
      </top>
      <bottom style="thick">
        <color theme="0" tint="-0.499984740745262"/>
      </bottom>
      <diagonal/>
    </border>
    <border>
      <left/>
      <right/>
      <top style="medium">
        <color theme="1"/>
      </top>
      <bottom style="thick">
        <color theme="1"/>
      </bottom>
      <diagonal/>
    </border>
    <border>
      <left style="thick">
        <color theme="0" tint="-0.499984740745262"/>
      </left>
      <right/>
      <top style="thick">
        <color theme="0" tint="-0.34998626667073579"/>
      </top>
      <bottom style="thick">
        <color theme="1"/>
      </bottom>
      <diagonal/>
    </border>
    <border>
      <left/>
      <right/>
      <top style="thick">
        <color theme="0" tint="-0.34998626667073579"/>
      </top>
      <bottom style="thick">
        <color theme="1"/>
      </bottom>
      <diagonal/>
    </border>
    <border>
      <left/>
      <right style="thick">
        <color theme="1"/>
      </right>
      <top/>
      <bottom style="thick">
        <color theme="1"/>
      </bottom>
      <diagonal/>
    </border>
    <border>
      <left/>
      <right style="thick">
        <color theme="1"/>
      </right>
      <top style="medium">
        <color theme="1"/>
      </top>
      <bottom style="thick">
        <color theme="1"/>
      </bottom>
      <diagonal/>
    </border>
    <border>
      <left/>
      <right style="thick">
        <color theme="8"/>
      </right>
      <top style="thick">
        <color theme="8" tint="-0.499984740745262"/>
      </top>
      <bottom/>
      <diagonal/>
    </border>
    <border>
      <left/>
      <right style="thick">
        <color theme="8"/>
      </right>
      <top/>
      <bottom/>
      <diagonal/>
    </border>
    <border>
      <left/>
      <right style="thick">
        <color theme="7"/>
      </right>
      <top/>
      <bottom/>
      <diagonal/>
    </border>
    <border>
      <left/>
      <right style="thick">
        <color theme="5" tint="-0.499984740745262"/>
      </right>
      <top style="medium">
        <color theme="5" tint="-0.499984740745262"/>
      </top>
      <bottom/>
      <diagonal/>
    </border>
    <border>
      <left style="thick">
        <color theme="7"/>
      </left>
      <right/>
      <top/>
      <bottom style="medium">
        <color rgb="FFFFC000"/>
      </bottom>
      <diagonal/>
    </border>
    <border>
      <left/>
      <right/>
      <top/>
      <bottom style="thick">
        <color theme="8"/>
      </bottom>
      <diagonal/>
    </border>
    <border>
      <left/>
      <right/>
      <top style="medium">
        <color theme="4" tint="-0.249977111117893"/>
      </top>
      <bottom style="thick">
        <color theme="8" tint="-0.499984740745262"/>
      </bottom>
      <diagonal/>
    </border>
    <border>
      <left style="thick">
        <color theme="5" tint="-0.499984740745262"/>
      </left>
      <right/>
      <top style="medium">
        <color theme="4" tint="-0.249977111117893"/>
      </top>
      <bottom style="thick">
        <color theme="8" tint="-0.499984740745262"/>
      </bottom>
      <diagonal/>
    </border>
    <border>
      <left/>
      <right style="thick">
        <color theme="8"/>
      </right>
      <top/>
      <bottom style="thick">
        <color theme="8" tint="-0.499984740745262"/>
      </bottom>
      <diagonal/>
    </border>
    <border>
      <left style="thick">
        <color theme="8"/>
      </left>
      <right/>
      <top style="medium">
        <color theme="8"/>
      </top>
      <bottom style="thick">
        <color theme="8"/>
      </bottom>
      <diagonal/>
    </border>
    <border>
      <left/>
      <right style="thin">
        <color theme="0" tint="-0.34998626667073579"/>
      </right>
      <top/>
      <bottom style="medium">
        <color theme="8" tint="-0.499984740745262"/>
      </bottom>
      <diagonal/>
    </border>
    <border>
      <left style="thick">
        <color theme="7" tint="0.79998168889431442"/>
      </left>
      <right/>
      <top style="thick">
        <color theme="7" tint="0.79998168889431442"/>
      </top>
      <bottom/>
      <diagonal/>
    </border>
    <border>
      <left/>
      <right/>
      <top style="thick">
        <color theme="7" tint="0.79998168889431442"/>
      </top>
      <bottom/>
      <diagonal/>
    </border>
    <border>
      <left/>
      <right style="thick">
        <color theme="7" tint="0.79998168889431442"/>
      </right>
      <top style="thick">
        <color theme="7" tint="0.79998168889431442"/>
      </top>
      <bottom/>
      <diagonal/>
    </border>
    <border>
      <left style="thick">
        <color theme="7" tint="0.79998168889431442"/>
      </left>
      <right/>
      <top/>
      <bottom style="thick">
        <color theme="7" tint="0.79998168889431442"/>
      </bottom>
      <diagonal/>
    </border>
    <border>
      <left/>
      <right/>
      <top/>
      <bottom style="thick">
        <color theme="7" tint="0.79998168889431442"/>
      </bottom>
      <diagonal/>
    </border>
    <border>
      <left/>
      <right style="thick">
        <color theme="7" tint="0.79998168889431442"/>
      </right>
      <top/>
      <bottom style="thick">
        <color theme="7" tint="0.79998168889431442"/>
      </bottom>
      <diagonal/>
    </border>
    <border>
      <left style="thick">
        <color theme="9" tint="0.59999389629810485"/>
      </left>
      <right/>
      <top/>
      <bottom/>
      <diagonal/>
    </border>
    <border>
      <left style="dashed">
        <color theme="0" tint="-0.34998626667073579"/>
      </left>
      <right style="thick">
        <color theme="7" tint="0.79998168889431442"/>
      </right>
      <top/>
      <bottom/>
      <diagonal/>
    </border>
    <border>
      <left style="dashed">
        <color theme="0" tint="-0.34998626667073579"/>
      </left>
      <right style="thick">
        <color theme="9" tint="0.59999389629810485"/>
      </right>
      <top/>
      <bottom/>
      <diagonal/>
    </border>
    <border>
      <left/>
      <right style="thick">
        <color theme="7" tint="0.79998168889431442"/>
      </right>
      <top style="thick">
        <color theme="9" tint="-0.499984740745262"/>
      </top>
      <bottom/>
      <diagonal/>
    </border>
    <border>
      <left style="thin">
        <color theme="0" tint="-0.249977111117893"/>
      </left>
      <right style="thick">
        <color theme="7" tint="0.79998168889431442"/>
      </right>
      <top/>
      <bottom/>
      <diagonal/>
    </border>
    <border>
      <left style="thick">
        <color theme="7" tint="0.79998168889431442"/>
      </left>
      <right style="thin">
        <color theme="0" tint="-0.249977111117893"/>
      </right>
      <top style="thick">
        <color theme="9" tint="-0.499984740745262"/>
      </top>
      <bottom/>
      <diagonal/>
    </border>
    <border>
      <left style="thick">
        <color theme="7" tint="0.79998168889431442"/>
      </left>
      <right style="thin">
        <color theme="0" tint="-0.249977111117893"/>
      </right>
      <top/>
      <bottom/>
      <diagonal/>
    </border>
    <border>
      <left style="thick">
        <color theme="7" tint="0.79998168889431442"/>
      </left>
      <right style="thin">
        <color theme="0" tint="-0.249977111117893"/>
      </right>
      <top/>
      <bottom style="thick">
        <color theme="9" tint="-0.499984740745262"/>
      </bottom>
      <diagonal/>
    </border>
    <border>
      <left style="thin">
        <color theme="0" tint="-0.34998626667073579"/>
      </left>
      <right style="thin">
        <color theme="7" tint="0.79998168889431442"/>
      </right>
      <top style="thick">
        <color theme="8" tint="-0.499984740745262"/>
      </top>
      <bottom/>
      <diagonal/>
    </border>
    <border>
      <left/>
      <right style="thin">
        <color theme="7" tint="0.79998168889431442"/>
      </right>
      <top style="thick">
        <color theme="8" tint="-0.499984740745262"/>
      </top>
      <bottom/>
      <diagonal/>
    </border>
    <border>
      <left/>
      <right style="thin">
        <color theme="7" tint="0.79998168889431442"/>
      </right>
      <top/>
      <bottom style="medium">
        <color theme="8" tint="-0.499984740745262"/>
      </bottom>
      <diagonal/>
    </border>
    <border>
      <left style="thin">
        <color theme="0" tint="-0.34998626667073579"/>
      </left>
      <right style="thin">
        <color theme="7" tint="0.79998168889431442"/>
      </right>
      <top/>
      <bottom style="medium">
        <color theme="8" tint="-0.499984740745262"/>
      </bottom>
      <diagonal/>
    </border>
    <border>
      <left style="thin">
        <color theme="7" tint="0.79998168889431442"/>
      </left>
      <right style="thin">
        <color theme="7" tint="0.79998168889431442"/>
      </right>
      <top style="thick">
        <color theme="8" tint="-0.499984740745262"/>
      </top>
      <bottom/>
      <diagonal/>
    </border>
    <border>
      <left style="thin">
        <color theme="7" tint="0.79998168889431442"/>
      </left>
      <right style="thin">
        <color theme="7" tint="0.79998168889431442"/>
      </right>
      <top/>
      <bottom style="medium">
        <color theme="8" tint="-0.499984740745262"/>
      </bottom>
      <diagonal/>
    </border>
    <border>
      <left style="thin">
        <color theme="0" tint="-0.249977111117893"/>
      </left>
      <right/>
      <top/>
      <bottom style="medium">
        <color theme="8" tint="-0.499984740745262"/>
      </bottom>
      <diagonal/>
    </border>
    <border>
      <left style="thick">
        <color theme="8" tint="-0.499984740745262"/>
      </left>
      <right style="thick">
        <color theme="7" tint="0.79998168889431442"/>
      </right>
      <top style="thick">
        <color theme="8" tint="-0.499984740745262"/>
      </top>
      <bottom/>
      <diagonal/>
    </border>
    <border>
      <left style="thick">
        <color theme="8" tint="-0.499984740745262"/>
      </left>
      <right style="thick">
        <color theme="7" tint="0.79998168889431442"/>
      </right>
      <top/>
      <bottom/>
      <diagonal/>
    </border>
    <border>
      <left style="thick">
        <color theme="8" tint="-0.499984740745262"/>
      </left>
      <right style="thick">
        <color theme="7" tint="0.79998168889431442"/>
      </right>
      <top/>
      <bottom style="thick">
        <color theme="8" tint="-0.499984740745262"/>
      </bottom>
      <diagonal/>
    </border>
    <border>
      <left/>
      <right style="thin">
        <color theme="7" tint="0.79998168889431442"/>
      </right>
      <top/>
      <bottom style="thick">
        <color theme="8" tint="-0.499984740745262"/>
      </bottom>
      <diagonal/>
    </border>
    <border>
      <left/>
      <right/>
      <top style="thin">
        <color theme="0" tint="-0.249977111117893"/>
      </top>
      <bottom/>
      <diagonal/>
    </border>
    <border>
      <left style="thin">
        <color theme="7" tint="0.79998168889431442"/>
      </left>
      <right/>
      <top/>
      <bottom style="thin">
        <color theme="0" tint="-0.34998626667073579"/>
      </bottom>
      <diagonal/>
    </border>
    <border>
      <left/>
      <right style="thin">
        <color theme="9" tint="0.59999389629810485"/>
      </right>
      <top style="thin">
        <color theme="0" tint="-0.34998626667073579"/>
      </top>
      <bottom/>
      <diagonal/>
    </border>
    <border>
      <left/>
      <right style="thin">
        <color theme="9" tint="0.59999389629810485"/>
      </right>
      <top/>
      <bottom/>
      <diagonal/>
    </border>
    <border>
      <left style="thin">
        <color theme="0" tint="-0.34998626667073579"/>
      </left>
      <right style="thin">
        <color theme="7" tint="0.79998168889431442"/>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249977111117893"/>
      </left>
      <right style="thin">
        <color theme="7" tint="0.79998168889431442"/>
      </right>
      <top/>
      <bottom style="thin">
        <color theme="0" tint="-0.34998626667073579"/>
      </bottom>
      <diagonal/>
    </border>
    <border>
      <left/>
      <right style="thick">
        <color rgb="FF7030A0"/>
      </right>
      <top style="thick">
        <color theme="9" tint="-0.499984740745262"/>
      </top>
      <bottom style="thick">
        <color theme="9" tint="-0.499984740745262"/>
      </bottom>
      <diagonal/>
    </border>
    <border>
      <left/>
      <right style="thick">
        <color rgb="FF7030A0"/>
      </right>
      <top style="thick">
        <color theme="9" tint="-0.499984740745262"/>
      </top>
      <bottom/>
      <diagonal/>
    </border>
    <border>
      <left/>
      <right style="thick">
        <color rgb="FF7030A0"/>
      </right>
      <top/>
      <bottom style="thick">
        <color theme="9" tint="-0.499984740745262"/>
      </bottom>
      <diagonal/>
    </border>
    <border>
      <left style="medium">
        <color theme="9" tint="-0.249977111117893"/>
      </left>
      <right/>
      <top/>
      <bottom style="thick">
        <color rgb="FF7030A0"/>
      </bottom>
      <diagonal/>
    </border>
    <border>
      <left style="thick">
        <color theme="5" tint="-0.499984740745262"/>
      </left>
      <right style="thick">
        <color rgb="FF7030A0"/>
      </right>
      <top/>
      <bottom/>
      <diagonal/>
    </border>
    <border>
      <left/>
      <right style="thick">
        <color rgb="FF7030A0"/>
      </right>
      <top/>
      <bottom style="thick">
        <color theme="5" tint="-0.499984740745262"/>
      </bottom>
      <diagonal/>
    </border>
    <border>
      <left/>
      <right style="thick">
        <color rgb="FF7030A0"/>
      </right>
      <top style="thick">
        <color theme="8" tint="-0.499984740745262"/>
      </top>
      <bottom style="thick">
        <color theme="8" tint="-0.499984740745262"/>
      </bottom>
      <diagonal/>
    </border>
    <border>
      <left style="thin">
        <color theme="0" tint="-0.34998626667073579"/>
      </left>
      <right style="thick">
        <color theme="7" tint="0.79998168889431442"/>
      </right>
      <top/>
      <bottom style="thick">
        <color rgb="FFFF0000"/>
      </bottom>
      <diagonal/>
    </border>
    <border>
      <left/>
      <right style="thin">
        <color theme="9" tint="0.59999389629810485"/>
      </right>
      <top/>
      <bottom style="thin">
        <color theme="0" tint="-0.34998626667073579"/>
      </bottom>
      <diagonal/>
    </border>
    <border>
      <left/>
      <right/>
      <top/>
      <bottom style="thick">
        <color theme="9"/>
      </bottom>
      <diagonal/>
    </border>
    <border>
      <left/>
      <right/>
      <top style="thick">
        <color theme="9"/>
      </top>
      <bottom/>
      <diagonal/>
    </border>
    <border>
      <left style="thick">
        <color theme="8" tint="-0.499984740745262"/>
      </left>
      <right/>
      <top/>
      <bottom style="thin">
        <color theme="0" tint="-0.34998626667073579"/>
      </bottom>
      <diagonal/>
    </border>
    <border>
      <left style="thick">
        <color theme="8" tint="-0.499984740745262"/>
      </left>
      <right/>
      <top style="thin">
        <color theme="0" tint="-0.34998626667073579"/>
      </top>
      <bottom/>
      <diagonal/>
    </border>
    <border>
      <left/>
      <right style="thick">
        <color theme="8" tint="-0.499984740745262"/>
      </right>
      <top/>
      <bottom style="thin">
        <color theme="0" tint="-0.34998626667073579"/>
      </bottom>
      <diagonal/>
    </border>
    <border>
      <left/>
      <right style="thick">
        <color theme="8" tint="-0.499984740745262"/>
      </right>
      <top style="thin">
        <color theme="0" tint="-0.34998626667073579"/>
      </top>
      <bottom/>
      <diagonal/>
    </border>
    <border>
      <left style="thin">
        <color theme="7" tint="0.79998168889431442"/>
      </left>
      <right style="thin">
        <color theme="0" tint="-0.34998626667073579"/>
      </right>
      <top style="thick">
        <color theme="8" tint="-0.499984740745262"/>
      </top>
      <bottom/>
      <diagonal/>
    </border>
    <border>
      <left/>
      <right style="thick">
        <color theme="7" tint="0.79998168889431442"/>
      </right>
      <top style="thick">
        <color theme="8" tint="-0.499984740745262"/>
      </top>
      <bottom/>
      <diagonal/>
    </border>
    <border>
      <left style="thick">
        <color theme="7" tint="0.79998168889431442"/>
      </left>
      <right style="thin">
        <color theme="7" tint="0.79998168889431442"/>
      </right>
      <top/>
      <bottom style="thick">
        <color theme="8" tint="-0.499984740745262"/>
      </bottom>
      <diagonal/>
    </border>
    <border>
      <left style="thick">
        <color theme="1"/>
      </left>
      <right/>
      <top/>
      <bottom style="thick">
        <color theme="1"/>
      </bottom>
      <diagonal/>
    </border>
    <border>
      <left style="medium">
        <color theme="1"/>
      </left>
      <right style="medium">
        <color theme="1"/>
      </right>
      <top/>
      <bottom style="thick">
        <color theme="1"/>
      </bottom>
      <diagonal/>
    </border>
    <border>
      <left style="medium">
        <color theme="1"/>
      </left>
      <right/>
      <top/>
      <bottom style="thick">
        <color theme="1"/>
      </bottom>
      <diagonal/>
    </border>
    <border>
      <left/>
      <right/>
      <top style="thick">
        <color theme="1"/>
      </top>
      <bottom style="thick">
        <color theme="1"/>
      </bottom>
      <diagonal/>
    </border>
    <border>
      <left/>
      <right style="medium">
        <color theme="1"/>
      </right>
      <top/>
      <bottom style="thick">
        <color theme="1"/>
      </bottom>
      <diagonal/>
    </border>
    <border>
      <left style="thin">
        <color theme="9" tint="0.59999389629810485"/>
      </left>
      <right/>
      <top/>
      <bottom/>
      <diagonal/>
    </border>
    <border>
      <left/>
      <right style="thick">
        <color theme="8" tint="-0.499984740745262"/>
      </right>
      <top style="medium">
        <color theme="1"/>
      </top>
      <bottom style="medium">
        <color theme="1"/>
      </bottom>
      <diagonal/>
    </border>
    <border>
      <left style="thick">
        <color rgb="FFD8BFD8"/>
      </left>
      <right style="thin">
        <color theme="0" tint="-0.34998626667073579"/>
      </right>
      <top style="medium">
        <color rgb="FF800080"/>
      </top>
      <bottom/>
      <diagonal/>
    </border>
    <border>
      <left style="thick">
        <color rgb="FFD8BFD8"/>
      </left>
      <right style="thin">
        <color theme="0" tint="-0.34998626667073579"/>
      </right>
      <top/>
      <bottom/>
      <diagonal/>
    </border>
    <border>
      <left style="thin">
        <color theme="0" tint="-0.34998626667073579"/>
      </left>
      <right style="thick">
        <color rgb="FFD8BFD8"/>
      </right>
      <top/>
      <bottom style="thick">
        <color rgb="FF7030A0"/>
      </bottom>
      <diagonal/>
    </border>
    <border>
      <left style="thin">
        <color theme="0" tint="-0.34998626667073579"/>
      </left>
      <right style="thick">
        <color rgb="FFD8BFD8"/>
      </right>
      <top/>
      <bottom/>
      <diagonal/>
    </border>
    <border>
      <left style="thick">
        <color rgb="FF7030A0"/>
      </left>
      <right/>
      <top style="thick">
        <color rgb="FF7030A0"/>
      </top>
      <bottom style="medium">
        <color rgb="FF800080"/>
      </bottom>
      <diagonal/>
    </border>
    <border>
      <left style="thin">
        <color theme="0" tint="-0.34998626667073579"/>
      </left>
      <right style="thick">
        <color theme="7" tint="0.79998168889431442"/>
      </right>
      <top/>
      <bottom style="thick">
        <color theme="5" tint="-0.499984740745262"/>
      </bottom>
      <diagonal/>
    </border>
    <border>
      <left style="thick">
        <color theme="5" tint="-0.499984740745262"/>
      </left>
      <right style="thick">
        <color theme="5" tint="-0.499984740745262"/>
      </right>
      <top style="thick">
        <color theme="5" tint="-0.499984740745262"/>
      </top>
      <bottom style="thick">
        <color theme="5" tint="-0.499984740745262"/>
      </bottom>
      <diagonal/>
    </border>
    <border>
      <left style="thick">
        <color theme="5" tint="-0.499984740745262"/>
      </left>
      <right style="thin">
        <color theme="0" tint="-0.34998626667073579"/>
      </right>
      <top/>
      <bottom style="thick">
        <color theme="5" tint="-0.499984740745262"/>
      </bottom>
      <diagonal/>
    </border>
    <border>
      <left style="thin">
        <color theme="0" tint="-0.34998626667073579"/>
      </left>
      <right style="thin">
        <color theme="7" tint="0.79998168889431442"/>
      </right>
      <top/>
      <bottom style="thick">
        <color theme="5" tint="-0.499984740745262"/>
      </bottom>
      <diagonal/>
    </border>
    <border>
      <left style="thin">
        <color theme="7" tint="0.79998168889431442"/>
      </left>
      <right style="thin">
        <color theme="7" tint="0.79998168889431442"/>
      </right>
      <top/>
      <bottom style="thick">
        <color theme="5" tint="-0.499984740745262"/>
      </bottom>
      <diagonal/>
    </border>
    <border>
      <left style="thin">
        <color theme="0" tint="-0.34998626667073579"/>
      </left>
      <right style="thin">
        <color theme="0" tint="-0.34998626667073579"/>
      </right>
      <top/>
      <bottom style="thick">
        <color theme="5" tint="-0.499984740745262"/>
      </bottom>
      <diagonal/>
    </border>
    <border>
      <left/>
      <right style="thin">
        <color theme="7" tint="0.79998168889431442"/>
      </right>
      <top/>
      <bottom style="thick">
        <color theme="5" tint="-0.499984740745262"/>
      </bottom>
      <diagonal/>
    </border>
    <border>
      <left style="thin">
        <color theme="0" tint="-0.249977111117893"/>
      </left>
      <right/>
      <top/>
      <bottom style="thick">
        <color theme="5" tint="-0.499984740745262"/>
      </bottom>
      <diagonal/>
    </border>
    <border>
      <left style="thick">
        <color theme="7" tint="0.79998168889431442"/>
      </left>
      <right style="thin">
        <color theme="0" tint="-0.34998626667073579"/>
      </right>
      <top/>
      <bottom style="thick">
        <color theme="8" tint="-0.499984740745262"/>
      </bottom>
      <diagonal/>
    </border>
    <border>
      <left style="thin">
        <color theme="0" tint="-0.34998626667073579"/>
      </left>
      <right style="thick">
        <color theme="7" tint="0.79998168889431442"/>
      </right>
      <top style="thick">
        <color theme="5" tint="-0.499984740745262"/>
      </top>
      <bottom/>
      <diagonal/>
    </border>
    <border>
      <left style="thick">
        <color theme="7" tint="0.79998168889431442"/>
      </left>
      <right style="thin">
        <color theme="0" tint="-0.34998626667073579"/>
      </right>
      <top style="thick">
        <color theme="5" tint="-0.499984740745262"/>
      </top>
      <bottom/>
      <diagonal/>
    </border>
    <border>
      <left style="thick">
        <color theme="7" tint="0.79998168889431442"/>
      </left>
      <right style="thin">
        <color theme="0" tint="-0.34998626667073579"/>
      </right>
      <top/>
      <bottom style="thick">
        <color theme="5" tint="-0.499984740745262"/>
      </bottom>
      <diagonal/>
    </border>
    <border>
      <left style="thin">
        <color theme="0" tint="-0.34998626667073579"/>
      </left>
      <right style="thick">
        <color theme="5" tint="-0.499984740745262"/>
      </right>
      <top style="thick">
        <color theme="5" tint="-0.499984740745262"/>
      </top>
      <bottom/>
      <diagonal/>
    </border>
    <border>
      <left style="thin">
        <color theme="0" tint="-0.34998626667073579"/>
      </left>
      <right style="thick">
        <color theme="5" tint="-0.499984740745262"/>
      </right>
      <top/>
      <bottom/>
      <diagonal/>
    </border>
    <border>
      <left/>
      <right style="thick">
        <color theme="7" tint="0.79998168889431442"/>
      </right>
      <top style="thick">
        <color theme="5" tint="-0.499984740745262"/>
      </top>
      <bottom/>
      <diagonal/>
    </border>
    <border>
      <left style="thick">
        <color theme="7" tint="0.79998168889431442"/>
      </left>
      <right/>
      <top/>
      <bottom style="thick">
        <color theme="5" tint="-0.499984740745262"/>
      </bottom>
      <diagonal/>
    </border>
    <border>
      <left style="thick">
        <color theme="7" tint="0.79998168889431442"/>
      </left>
      <right/>
      <top style="thick">
        <color theme="5" tint="-0.499984740745262"/>
      </top>
      <bottom/>
      <diagonal/>
    </border>
    <border>
      <left style="dashed">
        <color theme="0" tint="-0.34998626667073579"/>
      </left>
      <right style="thin">
        <color theme="7" tint="0.79998168889431442"/>
      </right>
      <top style="thin">
        <color theme="0" tint="-0.34998626667073579"/>
      </top>
      <bottom/>
      <diagonal/>
    </border>
    <border>
      <left style="dashed">
        <color theme="0" tint="-0.34998626667073579"/>
      </left>
      <right style="thin">
        <color theme="7" tint="0.79998168889431442"/>
      </right>
      <top/>
      <bottom/>
      <diagonal/>
    </border>
    <border>
      <left style="dashed">
        <color theme="0" tint="-0.34998626667073579"/>
      </left>
      <right style="thin">
        <color theme="7" tint="0.79998168889431442"/>
      </right>
      <top/>
      <bottom style="thin">
        <color theme="0" tint="-0.34998626667073579"/>
      </bottom>
      <diagonal/>
    </border>
    <border>
      <left style="dashed">
        <color theme="0" tint="-0.34998626667073579"/>
      </left>
      <right style="thin">
        <color theme="9" tint="0.59999389629810485"/>
      </right>
      <top/>
      <bottom/>
      <diagonal/>
    </border>
    <border>
      <left style="thin">
        <color theme="0" tint="-0.34998626667073579"/>
      </left>
      <right style="thin">
        <color theme="7" tint="0.79998168889431442"/>
      </right>
      <top/>
      <bottom style="thin">
        <color theme="0" tint="-0.34998626667073579"/>
      </bottom>
      <diagonal/>
    </border>
    <border>
      <left style="thin">
        <color theme="7" tint="0.79998168889431442"/>
      </left>
      <right/>
      <top style="thin">
        <color theme="0" tint="-0.34998626667073579"/>
      </top>
      <bottom/>
      <diagonal/>
    </border>
    <border>
      <left style="thin">
        <color theme="0" tint="-0.34998626667073579"/>
      </left>
      <right/>
      <top/>
      <bottom style="thick">
        <color theme="8" tint="-0.499984740745262"/>
      </bottom>
      <diagonal/>
    </border>
    <border>
      <left style="thin">
        <color theme="9" tint="0.59999389629810485"/>
      </left>
      <right style="thin">
        <color theme="0" tint="-0.249977111117893"/>
      </right>
      <top/>
      <bottom/>
      <diagonal/>
    </border>
    <border>
      <left style="thin">
        <color theme="9" tint="0.59999389629810485"/>
      </left>
      <right/>
      <top style="thin">
        <color theme="9" tint="0.59999389629810485"/>
      </top>
      <bottom/>
      <diagonal/>
    </border>
    <border>
      <left style="thin">
        <color theme="7" tint="0.79998168889431442"/>
      </left>
      <right style="thin">
        <color theme="0" tint="-0.34998626667073579"/>
      </right>
      <top/>
      <bottom style="thin">
        <color theme="0" tint="-0.34998626667073579"/>
      </bottom>
      <diagonal/>
    </border>
    <border>
      <left style="thin">
        <color theme="7" tint="0.79998168889431442"/>
      </left>
      <right style="thin">
        <color theme="7" tint="0.79998168889431442"/>
      </right>
      <top style="thin">
        <color theme="0" tint="-0.34998626667073579"/>
      </top>
      <bottom/>
      <diagonal/>
    </border>
    <border>
      <left style="thin">
        <color theme="7" tint="0.79998168889431442"/>
      </left>
      <right style="thin">
        <color theme="0" tint="-0.34998626667073579"/>
      </right>
      <top style="thin">
        <color theme="0" tint="-0.34998626667073579"/>
      </top>
      <bottom/>
      <diagonal/>
    </border>
    <border>
      <left style="thick">
        <color theme="8" tint="-0.499984740745262"/>
      </left>
      <right style="thin">
        <color theme="7" tint="0.79998168889431442"/>
      </right>
      <top/>
      <bottom style="thin">
        <color theme="0" tint="-0.34998626667073579"/>
      </bottom>
      <diagonal/>
    </border>
    <border>
      <left/>
      <right style="thin">
        <color theme="0" tint="-0.249977111117893"/>
      </right>
      <top/>
      <bottom style="thin">
        <color theme="0" tint="-0.34998626667073579"/>
      </bottom>
      <diagonal/>
    </border>
    <border>
      <left style="thin">
        <color theme="7" tint="0.79998168889431442"/>
      </left>
      <right style="thick">
        <color theme="7" tint="0.79998168889431442"/>
      </right>
      <top/>
      <bottom/>
      <diagonal/>
    </border>
    <border>
      <left style="thin">
        <color theme="9" tint="0.59999389629810485"/>
      </left>
      <right style="thin">
        <color theme="9" tint="0.59999389629810485"/>
      </right>
      <top/>
      <bottom/>
      <diagonal/>
    </border>
    <border>
      <left style="thin">
        <color theme="9" tint="0.59999389629810485"/>
      </left>
      <right/>
      <top style="thin">
        <color theme="0" tint="-0.34998626667073579"/>
      </top>
      <bottom/>
      <diagonal/>
    </border>
    <border>
      <left style="thin">
        <color theme="9" tint="0.59999389629810485"/>
      </left>
      <right style="thin">
        <color theme="9" tint="0.59999389629810485"/>
      </right>
      <top style="thin">
        <color theme="0" tint="-0.34998626667073579"/>
      </top>
      <bottom/>
      <diagonal/>
    </border>
    <border>
      <left/>
      <right style="thin">
        <color theme="0" tint="-0.249977111117893"/>
      </right>
      <top style="thin">
        <color theme="0" tint="-0.34998626667073579"/>
      </top>
      <bottom/>
      <diagonal/>
    </border>
    <border>
      <left style="thin">
        <color theme="0" tint="-0.34998626667073579"/>
      </left>
      <right style="thick">
        <color theme="9" tint="0.59999389629810485"/>
      </right>
      <top/>
      <bottom style="thick">
        <color theme="8" tint="-0.499984740745262"/>
      </bottom>
      <diagonal/>
    </border>
    <border>
      <left style="thin">
        <color theme="0" tint="-0.34998626667073579"/>
      </left>
      <right style="thick">
        <color theme="9" tint="0.59999389629810485"/>
      </right>
      <top style="thick">
        <color theme="8" tint="-0.499984740745262"/>
      </top>
      <bottom/>
      <diagonal/>
    </border>
    <border>
      <left/>
      <right style="thick">
        <color theme="8" tint="-0.499984740745262"/>
      </right>
      <top style="thin">
        <color theme="7" tint="0.79998168889431442"/>
      </top>
      <bottom/>
      <diagonal/>
    </border>
    <border>
      <left style="thin">
        <color theme="0" tint="-0.34998626667073579"/>
      </left>
      <right/>
      <top style="thin">
        <color theme="7" tint="0.79998168889431442"/>
      </top>
      <bottom/>
      <diagonal/>
    </border>
    <border>
      <left style="thin">
        <color theme="7" tint="0.79998168889431442"/>
      </left>
      <right style="dashed">
        <color theme="0" tint="-0.34998626667073579"/>
      </right>
      <top/>
      <bottom style="thin">
        <color theme="0" tint="-0.34998626667073579"/>
      </bottom>
      <diagonal/>
    </border>
    <border>
      <left style="thin">
        <color theme="0" tint="-0.34998626667073579"/>
      </left>
      <right style="dashed">
        <color theme="0" tint="-0.34998626667073579"/>
      </right>
      <top style="thin">
        <color theme="0" tint="-0.34998626667073579"/>
      </top>
      <bottom/>
      <diagonal/>
    </border>
    <border>
      <left style="thin">
        <color theme="7" tint="0.79998168889431442"/>
      </left>
      <right style="dashed">
        <color theme="0" tint="-0.34998626667073579"/>
      </right>
      <top style="thin">
        <color theme="0" tint="-0.34998626667073579"/>
      </top>
      <bottom/>
      <diagonal/>
    </border>
    <border>
      <left style="dashed">
        <color theme="0" tint="-0.34998626667073579"/>
      </left>
      <right/>
      <top style="thin">
        <color theme="0" tint="-0.34998626667073579"/>
      </top>
      <bottom/>
      <diagonal/>
    </border>
    <border>
      <left style="medium">
        <color theme="8"/>
      </left>
      <right style="thick">
        <color theme="8"/>
      </right>
      <top style="thick">
        <color theme="8"/>
      </top>
      <bottom/>
      <diagonal/>
    </border>
    <border>
      <left/>
      <right style="thick">
        <color theme="8"/>
      </right>
      <top/>
      <bottom style="thick">
        <color theme="8"/>
      </bottom>
      <diagonal/>
    </border>
    <border>
      <left style="thick">
        <color theme="8"/>
      </left>
      <right style="thick">
        <color theme="0" tint="-0.499984740745262"/>
      </right>
      <top style="thick">
        <color theme="9"/>
      </top>
      <bottom style="thick">
        <color theme="9"/>
      </bottom>
      <diagonal/>
    </border>
    <border>
      <left/>
      <right style="thin">
        <color theme="0" tint="-0.34998626667073579"/>
      </right>
      <top style="thin">
        <color theme="0" tint="-0.34998626667073579"/>
      </top>
      <bottom style="thin">
        <color theme="7" tint="0.79998168889431442"/>
      </bottom>
      <diagonal/>
    </border>
    <border>
      <left style="thick">
        <color theme="8" tint="-0.499984740745262"/>
      </left>
      <right/>
      <top style="thin">
        <color theme="0" tint="-0.34998626667073579"/>
      </top>
      <bottom style="thin">
        <color theme="7" tint="0.79998168889431442"/>
      </bottom>
      <diagonal/>
    </border>
    <border>
      <left/>
      <right/>
      <top style="thin">
        <color theme="0" tint="-0.34998626667073579"/>
      </top>
      <bottom style="thin">
        <color theme="7" tint="0.79998168889431442"/>
      </bottom>
      <diagonal/>
    </border>
    <border>
      <left style="thick">
        <color theme="0" tint="-0.34998626667073579"/>
      </left>
      <right/>
      <top/>
      <bottom style="thick">
        <color theme="0" tint="-0.34998626667073579"/>
      </bottom>
      <diagonal/>
    </border>
    <border>
      <left/>
      <right style="thick">
        <color theme="0" tint="-0.34998626667073579"/>
      </right>
      <top/>
      <bottom style="thick">
        <color theme="0" tint="-0.34998626667073579"/>
      </bottom>
      <diagonal/>
    </border>
    <border>
      <left/>
      <right/>
      <top style="thick">
        <color theme="7" tint="0.79998168889431442"/>
      </top>
      <bottom style="thin">
        <color theme="0" tint="-0.34998626667073579"/>
      </bottom>
      <diagonal/>
    </border>
    <border>
      <left/>
      <right/>
      <top style="thick">
        <color theme="7" tint="0.79998168889431442"/>
      </top>
      <bottom style="thick">
        <color theme="7" tint="0.79998168889431442"/>
      </bottom>
      <diagonal/>
    </border>
    <border>
      <left style="thin">
        <color theme="0" tint="-0.249977111117893"/>
      </left>
      <right style="thin">
        <color theme="7" tint="0.79998168889431442"/>
      </right>
      <top style="thin">
        <color theme="7" tint="0.79998168889431442"/>
      </top>
      <bottom/>
      <diagonal/>
    </border>
    <border>
      <left style="thin">
        <color theme="0" tint="-0.249977111117893"/>
      </left>
      <right/>
      <top style="thin">
        <color theme="0" tint="-0.249977111117893"/>
      </top>
      <bottom/>
      <diagonal/>
    </border>
    <border>
      <left/>
      <right style="thick">
        <color theme="8" tint="-0.499984740745262"/>
      </right>
      <top style="thin">
        <color theme="0" tint="-0.34998626667073579"/>
      </top>
      <bottom style="thick">
        <color theme="7" tint="0.79998168889431442"/>
      </bottom>
      <diagonal/>
    </border>
    <border>
      <left style="thin">
        <color theme="0" tint="-0.34998626667073579"/>
      </left>
      <right/>
      <top/>
      <bottom style="thin">
        <color theme="0" tint="-0.249977111117893"/>
      </bottom>
      <diagonal/>
    </border>
    <border>
      <left style="thin">
        <color theme="0" tint="-0.249977111117893"/>
      </left>
      <right/>
      <top style="thin">
        <color theme="7" tint="0.79998168889431442"/>
      </top>
      <bottom/>
      <diagonal/>
    </border>
    <border>
      <left style="thick">
        <color theme="8" tint="-0.499984740745262"/>
      </left>
      <right/>
      <top style="thick">
        <color theme="0" tint="-0.34998626667073579"/>
      </top>
      <bottom/>
      <diagonal/>
    </border>
    <border>
      <left/>
      <right style="thick">
        <color theme="8" tint="-0.499984740745262"/>
      </right>
      <top style="thick">
        <color theme="0" tint="-0.34998626667073579"/>
      </top>
      <bottom/>
      <diagonal/>
    </border>
    <border>
      <left style="thin">
        <color theme="0" tint="-0.249977111117893"/>
      </left>
      <right/>
      <top/>
      <bottom style="thick">
        <color rgb="FF7030A0"/>
      </bottom>
      <diagonal/>
    </border>
    <border>
      <left style="thick">
        <color theme="5" tint="-0.499984740745262"/>
      </left>
      <right/>
      <top style="thick">
        <color rgb="FF7030A0"/>
      </top>
      <bottom/>
      <diagonal/>
    </border>
    <border>
      <left style="thick">
        <color theme="5" tint="-0.499984740745262"/>
      </left>
      <right/>
      <top/>
      <bottom style="thick">
        <color rgb="FF7030A0"/>
      </bottom>
      <diagonal/>
    </border>
    <border>
      <left/>
      <right style="thick">
        <color theme="8" tint="-0.499984740745262"/>
      </right>
      <top/>
      <bottom style="thick">
        <color rgb="FF7030A0"/>
      </bottom>
      <diagonal/>
    </border>
    <border>
      <left style="thick">
        <color theme="7"/>
      </left>
      <right/>
      <top/>
      <bottom/>
      <diagonal/>
    </border>
    <border>
      <left style="thick">
        <color theme="1"/>
      </left>
      <right/>
      <top style="thick">
        <color theme="1"/>
      </top>
      <bottom/>
      <diagonal/>
    </border>
    <border>
      <left/>
      <right/>
      <top style="thick">
        <color theme="1"/>
      </top>
      <bottom/>
      <diagonal/>
    </border>
    <border>
      <left style="thick">
        <color theme="8"/>
      </left>
      <right/>
      <top/>
      <bottom/>
      <diagonal/>
    </border>
    <border>
      <left style="thick">
        <color theme="8" tint="-0.499984740745262"/>
      </left>
      <right/>
      <top style="thin">
        <color theme="7" tint="0.79998168889431442"/>
      </top>
      <bottom/>
      <diagonal/>
    </border>
    <border>
      <left/>
      <right style="thin">
        <color theme="0" tint="-0.34998626667073579"/>
      </right>
      <top style="thin">
        <color theme="7" tint="0.79998168889431442"/>
      </top>
      <bottom/>
      <diagonal/>
    </border>
    <border>
      <left/>
      <right style="thick">
        <color theme="8" tint="-0.499984740745262"/>
      </right>
      <top style="thin">
        <color theme="0" tint="-0.34998626667073579"/>
      </top>
      <bottom style="thin">
        <color theme="7" tint="0.79998168889431442"/>
      </bottom>
      <diagonal/>
    </border>
    <border>
      <left style="thin">
        <color theme="7" tint="0.79998168889431442"/>
      </left>
      <right/>
      <top style="thick">
        <color theme="8" tint="-0.499984740745262"/>
      </top>
      <bottom/>
      <diagonal/>
    </border>
    <border>
      <left style="thick">
        <color theme="8" tint="-0.499984740745262"/>
      </left>
      <right/>
      <top/>
      <bottom style="thin">
        <color theme="7" tint="0.79998168889431442"/>
      </bottom>
      <diagonal/>
    </border>
    <border>
      <left style="thin">
        <color theme="7" tint="0.79998168889431442"/>
      </left>
      <right style="thin">
        <color theme="7" tint="0.79998168889431442"/>
      </right>
      <top/>
      <bottom style="thick">
        <color theme="8" tint="-0.499984740745262"/>
      </bottom>
      <diagonal/>
    </border>
    <border>
      <left/>
      <right style="thin">
        <color theme="4" tint="-0.499984740745262"/>
      </right>
      <top style="thick">
        <color theme="8" tint="-0.499984740745262"/>
      </top>
      <bottom style="thick">
        <color theme="8" tint="-0.499984740745262"/>
      </bottom>
      <diagonal/>
    </border>
    <border>
      <left style="thin">
        <color theme="4" tint="-0.499984740745262"/>
      </left>
      <right/>
      <top/>
      <bottom/>
      <diagonal/>
    </border>
    <border>
      <left/>
      <right style="thin">
        <color theme="4" tint="-0.499984740745262"/>
      </right>
      <top style="thick">
        <color theme="8" tint="-0.499984740745262"/>
      </top>
      <bottom/>
      <diagonal/>
    </border>
    <border>
      <left style="thin">
        <color theme="4" tint="-0.499984740745262"/>
      </left>
      <right/>
      <top style="thick">
        <color theme="8" tint="-0.499984740745262"/>
      </top>
      <bottom/>
      <diagonal/>
    </border>
    <border>
      <left style="thin">
        <color theme="4" tint="-0.499984740745262"/>
      </left>
      <right/>
      <top style="thick">
        <color theme="8" tint="-0.499984740745262"/>
      </top>
      <bottom style="thick">
        <color theme="8" tint="-0.499984740745262"/>
      </bottom>
      <diagonal/>
    </border>
    <border>
      <left/>
      <right/>
      <top/>
      <bottom style="thick">
        <color theme="4" tint="-0.499984740745262"/>
      </bottom>
      <diagonal/>
    </border>
    <border>
      <left style="thick">
        <color theme="8" tint="-0.499984740745262"/>
      </left>
      <right style="thick">
        <color theme="8" tint="-0.499984740745262"/>
      </right>
      <top style="thick">
        <color theme="4" tint="-0.499984740745262"/>
      </top>
      <bottom style="thick">
        <color theme="8" tint="-0.499984740745262"/>
      </bottom>
      <diagonal/>
    </border>
    <border>
      <left style="thin">
        <color theme="0" tint="-0.34998626667073579"/>
      </left>
      <right style="thick">
        <color theme="8" tint="-0.499984740745262"/>
      </right>
      <top style="thick">
        <color theme="8" tint="-0.499984740745262"/>
      </top>
      <bottom/>
      <diagonal/>
    </border>
    <border>
      <left style="thin">
        <color theme="0" tint="-0.34998626667073579"/>
      </left>
      <right style="thick">
        <color theme="8" tint="-0.499984740745262"/>
      </right>
      <top/>
      <bottom/>
      <diagonal/>
    </border>
    <border>
      <left style="thin">
        <color theme="0" tint="-0.34998626667073579"/>
      </left>
      <right style="thick">
        <color theme="8" tint="-0.499984740745262"/>
      </right>
      <top/>
      <bottom style="thick">
        <color theme="8" tint="-0.499984740745262"/>
      </bottom>
      <diagonal/>
    </border>
    <border>
      <left/>
      <right style="thick">
        <color theme="8" tint="-0.499984740745262"/>
      </right>
      <top style="thick">
        <color theme="9" tint="-0.499984740745262"/>
      </top>
      <bottom style="thick">
        <color theme="8" tint="-0.499984740745262"/>
      </bottom>
      <diagonal/>
    </border>
    <border>
      <left style="thick">
        <color theme="8" tint="-0.499984740745262"/>
      </left>
      <right/>
      <top style="thin">
        <color theme="7" tint="0.79998168889431442"/>
      </top>
      <bottom style="thin">
        <color theme="0" tint="-0.34998626667073579"/>
      </bottom>
      <diagonal/>
    </border>
    <border>
      <left/>
      <right/>
      <top style="thin">
        <color theme="7" tint="0.79998168889431442"/>
      </top>
      <bottom style="thin">
        <color theme="0" tint="-0.34998626667073579"/>
      </bottom>
      <diagonal/>
    </border>
    <border>
      <left/>
      <right style="thick">
        <color theme="8" tint="-0.499984740745262"/>
      </right>
      <top/>
      <bottom style="thick">
        <color theme="9" tint="-0.499984740745262"/>
      </bottom>
      <diagonal/>
    </border>
    <border>
      <left style="thick">
        <color theme="9" tint="0.59999389629810485"/>
      </left>
      <right style="thick">
        <color theme="9" tint="0.59999389629810485"/>
      </right>
      <top style="thick">
        <color theme="9" tint="0.59999389629810485"/>
      </top>
      <bottom style="thick">
        <color theme="9" tint="0.59999389629810485"/>
      </bottom>
      <diagonal/>
    </border>
    <border>
      <left style="thick">
        <color theme="9" tint="0.59999389629810485"/>
      </left>
      <right/>
      <top style="thick">
        <color theme="9" tint="0.59999389629810485"/>
      </top>
      <bottom/>
      <diagonal/>
    </border>
    <border>
      <left/>
      <right style="thick">
        <color theme="9" tint="0.59999389629810485"/>
      </right>
      <top/>
      <bottom/>
      <diagonal/>
    </border>
    <border>
      <left style="thick">
        <color theme="9" tint="0.59999389629810485"/>
      </left>
      <right/>
      <top/>
      <bottom style="thick">
        <color theme="9" tint="0.59999389629810485"/>
      </bottom>
      <diagonal/>
    </border>
    <border>
      <left style="thick">
        <color theme="9" tint="0.59999389629810485"/>
      </left>
      <right/>
      <top/>
      <bottom style="thick">
        <color theme="7" tint="0.79998168889431442"/>
      </bottom>
      <diagonal/>
    </border>
    <border>
      <left style="thick">
        <color theme="7" tint="0.79998168889431442"/>
      </left>
      <right style="thick">
        <color theme="7" tint="0.79998168889431442"/>
      </right>
      <top style="thick">
        <color theme="7" tint="0.79998168889431442"/>
      </top>
      <bottom style="thick">
        <color theme="7" tint="0.79998168889431442"/>
      </bottom>
      <diagonal/>
    </border>
    <border>
      <left/>
      <right style="thick">
        <color theme="8" tint="-0.499984740745262"/>
      </right>
      <top/>
      <bottom style="thick">
        <color theme="7" tint="0.79998168889431442"/>
      </bottom>
      <diagonal/>
    </border>
    <border>
      <left/>
      <right style="thick">
        <color theme="8" tint="-0.499984740745262"/>
      </right>
      <top style="thick">
        <color theme="9" tint="0.59999389629810485"/>
      </top>
      <bottom/>
      <diagonal/>
    </border>
    <border>
      <left/>
      <right style="thick">
        <color theme="8" tint="-0.499984740745262"/>
      </right>
      <top/>
      <bottom style="thick">
        <color theme="9" tint="0.59999389629810485"/>
      </bottom>
      <diagonal/>
    </border>
    <border>
      <left/>
      <right style="thick">
        <color theme="9" tint="0.59999389629810485"/>
      </right>
      <top/>
      <bottom style="thick">
        <color theme="8" tint="-0.499984740745262"/>
      </bottom>
      <diagonal/>
    </border>
    <border>
      <left style="thick">
        <color theme="7" tint="0.79998168889431442"/>
      </left>
      <right style="thick">
        <color theme="7" tint="0.79998168889431442"/>
      </right>
      <top/>
      <bottom/>
      <diagonal/>
    </border>
    <border>
      <left/>
      <right/>
      <top/>
      <bottom style="thick">
        <color theme="9" tint="0.59999389629810485"/>
      </bottom>
      <diagonal/>
    </border>
    <border>
      <left/>
      <right style="thick">
        <color theme="7" tint="0.79998168889431442"/>
      </right>
      <top/>
      <bottom style="thick">
        <color theme="9" tint="0.59999389629810485"/>
      </bottom>
      <diagonal/>
    </border>
    <border>
      <left style="thin">
        <color theme="0" tint="-0.34998626667073579"/>
      </left>
      <right style="thick">
        <color theme="8" tint="-0.499984740745262"/>
      </right>
      <top/>
      <bottom style="thick">
        <color theme="9" tint="0.59999389629810485"/>
      </bottom>
      <diagonal/>
    </border>
    <border>
      <left/>
      <right/>
      <top style="thick">
        <color theme="9" tint="0.59999389629810485"/>
      </top>
      <bottom/>
      <diagonal/>
    </border>
    <border>
      <left/>
      <right style="thick">
        <color theme="9" tint="0.59999389629810485"/>
      </right>
      <top style="thick">
        <color theme="8" tint="-0.499984740745262"/>
      </top>
      <bottom/>
      <diagonal/>
    </border>
    <border>
      <left style="thick">
        <color theme="8" tint="-0.499984740745262"/>
      </left>
      <right/>
      <top/>
      <bottom style="thick">
        <color theme="7" tint="0.79998168889431442"/>
      </bottom>
      <diagonal/>
    </border>
    <border>
      <left style="thick">
        <color theme="8" tint="-0.499984740745262"/>
      </left>
      <right/>
      <top style="thick">
        <color theme="7" tint="0.79998168889431442"/>
      </top>
      <bottom style="thin">
        <color theme="0" tint="-0.34998626667073579"/>
      </bottom>
      <diagonal/>
    </border>
    <border>
      <left style="medium">
        <color theme="8" tint="-0.499984740745262"/>
      </left>
      <right/>
      <top/>
      <bottom/>
      <diagonal/>
    </border>
    <border>
      <left/>
      <right style="thick">
        <color theme="5" tint="-0.499984740745262"/>
      </right>
      <top style="thick">
        <color theme="8" tint="-0.499984740745262"/>
      </top>
      <bottom style="thick">
        <color theme="8" tint="-0.499984740745262"/>
      </bottom>
      <diagonal/>
    </border>
    <border>
      <left/>
      <right style="medium">
        <color theme="8" tint="-0.499984740745262"/>
      </right>
      <top/>
      <bottom style="thick">
        <color theme="8" tint="-0.499984740745262"/>
      </bottom>
      <diagonal/>
    </border>
    <border>
      <left style="thick">
        <color theme="8" tint="-0.499984740745262"/>
      </left>
      <right/>
      <top style="thick">
        <color theme="7" tint="0.79998168889431442"/>
      </top>
      <bottom style="thick">
        <color theme="8" tint="-0.499984740745262"/>
      </bottom>
      <diagonal/>
    </border>
    <border>
      <left/>
      <right/>
      <top style="thick">
        <color theme="7" tint="0.79998168889431442"/>
      </top>
      <bottom style="thick">
        <color theme="8" tint="-0.499984740745262"/>
      </bottom>
      <diagonal/>
    </border>
    <border>
      <left style="thick">
        <color theme="9" tint="0.59999389629810485"/>
      </left>
      <right/>
      <top style="thick">
        <color theme="9" tint="0.59999389629810485"/>
      </top>
      <bottom style="thick">
        <color theme="9" tint="0.59999389629810485"/>
      </bottom>
      <diagonal/>
    </border>
    <border>
      <left/>
      <right/>
      <top style="thick">
        <color theme="9" tint="0.59999389629810485"/>
      </top>
      <bottom style="thick">
        <color theme="9" tint="0.59999389629810485"/>
      </bottom>
      <diagonal/>
    </border>
    <border>
      <left style="thick">
        <color theme="8" tint="-0.499984740745262"/>
      </left>
      <right/>
      <top style="thick">
        <color theme="7" tint="0.79998168889431442"/>
      </top>
      <bottom/>
      <diagonal/>
    </border>
    <border>
      <left/>
      <right style="thick">
        <color theme="8" tint="-0.499984740745262"/>
      </right>
      <top style="thick">
        <color theme="9" tint="0.59999389629810485"/>
      </top>
      <bottom style="thick">
        <color theme="9" tint="0.59999389629810485"/>
      </bottom>
      <diagonal/>
    </border>
    <border>
      <left/>
      <right style="thick">
        <color theme="9" tint="0.59999389629810485"/>
      </right>
      <top/>
      <bottom style="thick">
        <color theme="9" tint="0.59999389629810485"/>
      </bottom>
      <diagonal/>
    </border>
    <border>
      <left style="thick">
        <color theme="0" tint="-0.34998626667073579"/>
      </left>
      <right style="thick">
        <color theme="0" tint="-0.34998626667073579"/>
      </right>
      <top/>
      <bottom style="thick">
        <color theme="0" tint="-0.34998626667073579"/>
      </bottom>
      <diagonal/>
    </border>
    <border>
      <left style="thick">
        <color theme="0" tint="-0.34998626667073579"/>
      </left>
      <right style="thick">
        <color theme="0" tint="-0.34998626667073579"/>
      </right>
      <top/>
      <bottom/>
      <diagonal/>
    </border>
    <border>
      <left style="thick">
        <color theme="9" tint="0.59999389629810485"/>
      </left>
      <right/>
      <top style="thick">
        <color theme="7" tint="0.79998168889431442"/>
      </top>
      <bottom/>
      <diagonal/>
    </border>
    <border>
      <left/>
      <right/>
      <top style="thin">
        <color theme="7" tint="0.79998168889431442"/>
      </top>
      <bottom style="thick">
        <color theme="7" tint="0.79998168889431442"/>
      </bottom>
      <diagonal/>
    </border>
    <border>
      <left style="thick">
        <color theme="8" tint="-0.499984740745262"/>
      </left>
      <right/>
      <top style="thick">
        <color theme="7" tint="0.79998168889431442"/>
      </top>
      <bottom style="thick">
        <color theme="7" tint="0.79998168889431442"/>
      </bottom>
      <diagonal/>
    </border>
    <border>
      <left style="thick">
        <color theme="0" tint="-0.34998626667073579"/>
      </left>
      <right style="thick">
        <color theme="0" tint="-0.34998626667073579"/>
      </right>
      <top style="thick">
        <color theme="8" tint="-0.499984740745262"/>
      </top>
      <bottom/>
      <diagonal/>
    </border>
    <border>
      <left/>
      <right style="thick">
        <color theme="8" tint="-0.499984740745262"/>
      </right>
      <top style="thick">
        <color theme="7" tint="0.79998168889431442"/>
      </top>
      <bottom/>
      <diagonal/>
    </border>
    <border>
      <left/>
      <right style="thick">
        <color theme="7" tint="0.79998168889431442"/>
      </right>
      <top style="thick">
        <color theme="9" tint="0.59999389629810485"/>
      </top>
      <bottom/>
      <diagonal/>
    </border>
    <border>
      <left style="thick">
        <color theme="9" tint="0.59999389629810485"/>
      </left>
      <right style="thick">
        <color theme="9" tint="0.59999389629810485"/>
      </right>
      <top style="thick">
        <color theme="9" tint="0.59999389629810485"/>
      </top>
      <bottom/>
      <diagonal/>
    </border>
    <border>
      <left/>
      <right style="thin">
        <color theme="9" tint="0.59999389629810485"/>
      </right>
      <top style="thick">
        <color theme="9" tint="0.59999389629810485"/>
      </top>
      <bottom style="thick">
        <color theme="9" tint="0.59999389629810485"/>
      </bottom>
      <diagonal/>
    </border>
    <border>
      <left style="thick">
        <color theme="7" tint="0.79998168889431442"/>
      </left>
      <right style="thick">
        <color theme="7" tint="0.79998168889431442"/>
      </right>
      <top/>
      <bottom style="thick">
        <color theme="9" tint="0.59999389629810485"/>
      </bottom>
      <diagonal/>
    </border>
    <border>
      <left style="thick">
        <color theme="7" tint="0.79998168889431442"/>
      </left>
      <right style="thick">
        <color theme="7" tint="0.79998168889431442"/>
      </right>
      <top style="thick">
        <color theme="8" tint="-0.499984740745262"/>
      </top>
      <bottom/>
      <diagonal/>
    </border>
    <border>
      <left style="thin">
        <color theme="7" tint="0.79998168889431442"/>
      </left>
      <right style="thick">
        <color theme="7" tint="0.79998168889431442"/>
      </right>
      <top style="thick">
        <color theme="8" tint="-0.499984740745262"/>
      </top>
      <bottom/>
      <diagonal/>
    </border>
    <border>
      <left style="thin">
        <color theme="7" tint="0.79998168889431442"/>
      </left>
      <right style="thick">
        <color theme="7" tint="0.79998168889431442"/>
      </right>
      <top/>
      <bottom style="thick">
        <color theme="8" tint="-0.499984740745262"/>
      </bottom>
      <diagonal/>
    </border>
    <border>
      <left/>
      <right style="thick">
        <color theme="8" tint="-0.499984740745262"/>
      </right>
      <top style="thin">
        <color theme="7" tint="0.79998168889431442"/>
      </top>
      <bottom style="thick">
        <color theme="9" tint="0.59999389629810485"/>
      </bottom>
      <diagonal/>
    </border>
    <border>
      <left style="thin">
        <color theme="7" tint="0.79998168889431442"/>
      </left>
      <right style="thin">
        <color theme="7" tint="0.79998168889431442"/>
      </right>
      <top/>
      <bottom style="thin">
        <color theme="7" tint="0.79998168889431442"/>
      </bottom>
      <diagonal/>
    </border>
    <border>
      <left/>
      <right style="thin">
        <color theme="7" tint="0.79998168889431442"/>
      </right>
      <top style="thin">
        <color theme="7" tint="0.79998168889431442"/>
      </top>
      <bottom style="thick">
        <color theme="9" tint="0.59999389629810485"/>
      </bottom>
      <diagonal/>
    </border>
    <border>
      <left style="thin">
        <color theme="0" tint="-0.34998626667073579"/>
      </left>
      <right style="thick">
        <color theme="8" tint="-0.499984740745262"/>
      </right>
      <top/>
      <bottom style="thin">
        <color theme="7" tint="0.79998168889431442"/>
      </bottom>
      <diagonal/>
    </border>
    <border>
      <left style="thin">
        <color theme="7" tint="0.79998168889431442"/>
      </left>
      <right style="thin">
        <color theme="0" tint="-0.34998626667073579"/>
      </right>
      <top style="thin">
        <color theme="7" tint="0.79998168889431442"/>
      </top>
      <bottom style="thick">
        <color theme="9" tint="0.59999389629810485"/>
      </bottom>
      <diagonal/>
    </border>
    <border>
      <left style="thick">
        <color theme="8" tint="-0.499984740745262"/>
      </left>
      <right/>
      <top style="thick">
        <color theme="9" tint="-0.499984740745262"/>
      </top>
      <bottom style="thick">
        <color theme="9" tint="-0.499984740745262"/>
      </bottom>
      <diagonal/>
    </border>
    <border>
      <left/>
      <right style="thick">
        <color theme="8" tint="-0.499984740745262"/>
      </right>
      <top style="thick">
        <color theme="9" tint="-0.499984740745262"/>
      </top>
      <bottom style="thick">
        <color theme="9" tint="-0.499984740745262"/>
      </bottom>
      <diagonal/>
    </border>
    <border>
      <left/>
      <right/>
      <top style="thick">
        <color theme="8" tint="-0.499984740745262"/>
      </top>
      <bottom style="thick">
        <color theme="9" tint="-0.499984740745262"/>
      </bottom>
      <diagonal/>
    </border>
    <border>
      <left style="thin">
        <color theme="7" tint="0.79998168889431442"/>
      </left>
      <right style="thick">
        <color theme="7" tint="0.79998168889431442"/>
      </right>
      <top/>
      <bottom style="thick">
        <color theme="9" tint="-0.499984740745262"/>
      </bottom>
      <diagonal/>
    </border>
    <border>
      <left style="thick">
        <color theme="8" tint="-0.499984740745262"/>
      </left>
      <right style="thick">
        <color theme="9" tint="-0.499984740745262"/>
      </right>
      <top style="thick">
        <color theme="9" tint="-0.499984740745262"/>
      </top>
      <bottom style="thick">
        <color theme="9" tint="-0.499984740745262"/>
      </bottom>
      <diagonal/>
    </border>
    <border>
      <left/>
      <right style="thin">
        <color theme="4" tint="-0.499984740745262"/>
      </right>
      <top style="thick">
        <color theme="9" tint="-0.499984740745262"/>
      </top>
      <bottom style="thick">
        <color theme="9" tint="-0.499984740745262"/>
      </bottom>
      <diagonal/>
    </border>
    <border>
      <left style="thin">
        <color theme="4" tint="-0.499984740745262"/>
      </left>
      <right/>
      <top style="thick">
        <color theme="9" tint="-0.499984740745262"/>
      </top>
      <bottom style="thick">
        <color theme="9" tint="-0.499984740745262"/>
      </bottom>
      <diagonal/>
    </border>
    <border>
      <left/>
      <right style="thin">
        <color theme="0" tint="-0.34998626667073579"/>
      </right>
      <top style="thick">
        <color theme="9" tint="-0.499984740745262"/>
      </top>
      <bottom style="thick">
        <color theme="9" tint="-0.499984740745262"/>
      </bottom>
      <diagonal/>
    </border>
    <border>
      <left style="thin">
        <color theme="0" tint="-0.34998626667073579"/>
      </left>
      <right style="thick">
        <color theme="8" tint="-0.499984740745262"/>
      </right>
      <top style="thick">
        <color theme="9" tint="-0.499984740745262"/>
      </top>
      <bottom style="thick">
        <color theme="9" tint="-0.499984740745262"/>
      </bottom>
      <diagonal/>
    </border>
    <border>
      <left style="thick">
        <color theme="7" tint="0.79998168889431442"/>
      </left>
      <right style="thin">
        <color theme="7" tint="0.79998168889431442"/>
      </right>
      <top/>
      <bottom style="thick">
        <color theme="9" tint="-0.499984740745262"/>
      </bottom>
      <diagonal/>
    </border>
    <border>
      <left style="thick">
        <color theme="9" tint="-0.499984740745262"/>
      </left>
      <right style="thick">
        <color theme="8" tint="-0.499984740745262"/>
      </right>
      <top style="thick">
        <color theme="9" tint="-0.499984740745262"/>
      </top>
      <bottom style="thick">
        <color theme="9" tint="-0.499984740745262"/>
      </bottom>
      <diagonal/>
    </border>
    <border>
      <left style="thick">
        <color theme="9" tint="-0.499984740745262"/>
      </left>
      <right/>
      <top style="thin">
        <color theme="0" tint="-0.34998626667073579"/>
      </top>
      <bottom/>
      <diagonal/>
    </border>
    <border>
      <left/>
      <right/>
      <top style="thin">
        <color theme="0" tint="-0.34998626667073579"/>
      </top>
      <bottom style="thick">
        <color theme="7" tint="0.79998168889431442"/>
      </bottom>
      <diagonal/>
    </border>
    <border>
      <left style="thin">
        <color theme="7" tint="0.79998168889431442"/>
      </left>
      <right/>
      <top style="thin">
        <color theme="7" tint="0.79998168889431442"/>
      </top>
      <bottom style="thin">
        <color theme="0" tint="-0.34998626667073579"/>
      </bottom>
      <diagonal/>
    </border>
    <border>
      <left/>
      <right/>
      <top style="thin">
        <color theme="7" tint="0.79998168889431442"/>
      </top>
      <bottom style="thin">
        <color theme="7" tint="0.79998168889431442"/>
      </bottom>
      <diagonal/>
    </border>
    <border>
      <left style="thin">
        <color theme="0" tint="-0.34998626667073579"/>
      </left>
      <right style="thick">
        <color theme="9" tint="-0.499984740745262"/>
      </right>
      <top/>
      <bottom style="thick">
        <color theme="9" tint="0.59999389629810485"/>
      </bottom>
      <diagonal/>
    </border>
    <border>
      <left style="thick">
        <color theme="7" tint="0.79998168889431442"/>
      </left>
      <right style="thin">
        <color theme="0" tint="-0.34998626667073579"/>
      </right>
      <top/>
      <bottom style="thick">
        <color theme="9" tint="-0.499984740745262"/>
      </bottom>
      <diagonal/>
    </border>
    <border>
      <left style="thick">
        <color theme="9" tint="-0.499984740745262"/>
      </left>
      <right style="thick">
        <color theme="8" tint="-0.499984740745262"/>
      </right>
      <top/>
      <bottom style="thick">
        <color theme="9" tint="-0.499984740745262"/>
      </bottom>
      <diagonal/>
    </border>
    <border>
      <left/>
      <right style="thick">
        <color theme="9" tint="-0.499984740745262"/>
      </right>
      <top style="thick">
        <color theme="7" tint="0.79998168889431442"/>
      </top>
      <bottom/>
      <diagonal/>
    </border>
    <border>
      <left/>
      <right style="thick">
        <color theme="9" tint="-0.499984740745262"/>
      </right>
      <top/>
      <bottom style="thick">
        <color theme="9" tint="0.59999389629810485"/>
      </bottom>
      <diagonal/>
    </border>
    <border>
      <left style="thick">
        <color theme="9" tint="-0.499984740745262"/>
      </left>
      <right/>
      <top style="thin">
        <color theme="7" tint="0.79998168889431442"/>
      </top>
      <bottom/>
      <diagonal/>
    </border>
    <border>
      <left/>
      <right style="thick">
        <color theme="9" tint="0.59999389629810485"/>
      </right>
      <top style="thin">
        <color theme="0" tint="-0.34998626667073579"/>
      </top>
      <bottom style="thin">
        <color theme="7" tint="0.79998168889431442"/>
      </bottom>
      <diagonal/>
    </border>
    <border>
      <left style="thick">
        <color theme="8" tint="-0.499984740745262"/>
      </left>
      <right/>
      <top style="thick">
        <color theme="7" tint="0.79998168889431442"/>
      </top>
      <bottom style="thin">
        <color theme="7" tint="0.79998168889431442"/>
      </bottom>
      <diagonal/>
    </border>
    <border>
      <left/>
      <right/>
      <top style="thick">
        <color theme="7" tint="0.79998168889431442"/>
      </top>
      <bottom style="thin">
        <color theme="7" tint="0.79998168889431442"/>
      </bottom>
      <diagonal/>
    </border>
    <border>
      <left/>
      <right style="thick">
        <color theme="9" tint="0.59999389629810485"/>
      </right>
      <top/>
      <bottom style="thin">
        <color theme="7" tint="0.79998168889431442"/>
      </bottom>
      <diagonal/>
    </border>
    <border>
      <left style="thick">
        <color theme="9" tint="0.59999389629810485"/>
      </left>
      <right style="thick">
        <color theme="7" tint="0.79998168889431442"/>
      </right>
      <top style="thick">
        <color theme="7" tint="0.79998168889431442"/>
      </top>
      <bottom/>
      <diagonal/>
    </border>
    <border>
      <left style="thick">
        <color theme="7" tint="0.79998168889431442"/>
      </left>
      <right style="thick">
        <color theme="7" tint="0.79998168889431442"/>
      </right>
      <top/>
      <bottom style="thick">
        <color theme="7" tint="0.79998168889431442"/>
      </bottom>
      <diagonal/>
    </border>
    <border>
      <left/>
      <right style="thick">
        <color theme="0" tint="-0.34998626667073579"/>
      </right>
      <top style="thick">
        <color theme="9" tint="-0.499984740745262"/>
      </top>
      <bottom/>
      <diagonal/>
    </border>
    <border>
      <left style="thick">
        <color theme="7" tint="0.79998168889431442"/>
      </left>
      <right style="thick">
        <color theme="0" tint="-0.34998626667073579"/>
      </right>
      <top/>
      <bottom style="thick">
        <color theme="7" tint="0.79998168889431442"/>
      </bottom>
      <diagonal/>
    </border>
    <border>
      <left/>
      <right style="thin">
        <color theme="7" tint="0.79998168889431442"/>
      </right>
      <top/>
      <bottom style="thick">
        <color theme="7" tint="0.79998168889431442"/>
      </bottom>
      <diagonal/>
    </border>
    <border>
      <left style="thick">
        <color theme="0" tint="-0.34998626667073579"/>
      </left>
      <right style="thick">
        <color theme="0" tint="-0.34998626667073579"/>
      </right>
      <top style="thick">
        <color theme="9" tint="-0.499984740745262"/>
      </top>
      <bottom/>
      <diagonal/>
    </border>
    <border>
      <left style="thick">
        <color theme="9" tint="0.59999389629810485"/>
      </left>
      <right style="thick">
        <color theme="7" tint="0.79998168889431442"/>
      </right>
      <top style="thick">
        <color theme="7" tint="0.79998168889431442"/>
      </top>
      <bottom style="thick">
        <color theme="9" tint="0.59999389629810485"/>
      </bottom>
      <diagonal/>
    </border>
    <border>
      <left/>
      <right/>
      <top style="thick">
        <color theme="7" tint="0.79998168889431442"/>
      </top>
      <bottom style="thick">
        <color theme="9" tint="0.59999389629810485"/>
      </bottom>
      <diagonal/>
    </border>
    <border>
      <left style="thick">
        <color theme="9" tint="-0.499984740745262"/>
      </left>
      <right/>
      <top/>
      <bottom style="thin">
        <color theme="7" tint="0.79998168889431442"/>
      </bottom>
      <diagonal/>
    </border>
    <border>
      <left style="thick">
        <color theme="7" tint="0.79998168889431442"/>
      </left>
      <right/>
      <top/>
      <bottom style="thick">
        <color theme="9" tint="0.59999389629810485"/>
      </bottom>
      <diagonal/>
    </border>
    <border>
      <left/>
      <right style="thick">
        <color theme="9" tint="-0.499984740745262"/>
      </right>
      <top style="thick">
        <color theme="9" tint="0.59999389629810485"/>
      </top>
      <bottom style="thick">
        <color theme="9" tint="0.59999389629810485"/>
      </bottom>
      <diagonal/>
    </border>
    <border>
      <left style="thin">
        <color theme="0" tint="-0.34998626667073579"/>
      </left>
      <right/>
      <top/>
      <bottom style="thin">
        <color theme="7" tint="0.79998168889431442"/>
      </bottom>
      <diagonal/>
    </border>
    <border>
      <left style="thin">
        <color theme="0" tint="-0.34998626667073579"/>
      </left>
      <right style="thick">
        <color theme="9" tint="-0.499984740745262"/>
      </right>
      <top style="thick">
        <color theme="9" tint="0.59999389629810485"/>
      </top>
      <bottom/>
      <diagonal/>
    </border>
    <border>
      <left style="thick">
        <color theme="9" tint="-0.499984740745262"/>
      </left>
      <right/>
      <top style="thick">
        <color theme="7" tint="0.79998168889431442"/>
      </top>
      <bottom style="thick">
        <color theme="9" tint="-0.499984740745262"/>
      </bottom>
      <diagonal/>
    </border>
    <border>
      <left/>
      <right/>
      <top style="thick">
        <color theme="7" tint="0.79998168889431442"/>
      </top>
      <bottom style="thick">
        <color theme="9" tint="-0.499984740745262"/>
      </bottom>
      <diagonal/>
    </border>
    <border>
      <left style="thick">
        <color theme="7" tint="0.79998168889431442"/>
      </left>
      <right/>
      <top style="thick">
        <color theme="7" tint="0.79998168889431442"/>
      </top>
      <bottom style="thick">
        <color theme="7" tint="0.79998168889431442"/>
      </bottom>
      <diagonal/>
    </border>
    <border>
      <left/>
      <right style="thin">
        <color theme="0" tint="-0.34998626667073579"/>
      </right>
      <top style="thick">
        <color theme="9" tint="0.59999389629810485"/>
      </top>
      <bottom/>
      <diagonal/>
    </border>
    <border>
      <left style="thick">
        <color theme="7" tint="0.79998168889431442"/>
      </left>
      <right style="thick">
        <color theme="9" tint="-0.499984740745262"/>
      </right>
      <top/>
      <bottom style="thick">
        <color theme="7" tint="0.79998168889431442"/>
      </bottom>
      <diagonal/>
    </border>
    <border>
      <left style="thick">
        <color theme="9" tint="0.59999389629810485"/>
      </left>
      <right style="thick">
        <color theme="7" tint="0.79998168889431442"/>
      </right>
      <top/>
      <bottom/>
      <diagonal/>
    </border>
    <border>
      <left/>
      <right style="medium">
        <color theme="9" tint="-0.499984740745262"/>
      </right>
      <top style="thick">
        <color theme="9" tint="0.59999389629810485"/>
      </top>
      <bottom style="thick">
        <color theme="9" tint="0.59999389629810485"/>
      </bottom>
      <diagonal/>
    </border>
    <border>
      <left/>
      <right style="thin">
        <color theme="0" tint="-0.34998626667073579"/>
      </right>
      <top style="thin">
        <color theme="7" tint="0.79998168889431442"/>
      </top>
      <bottom style="thick">
        <color theme="9" tint="0.59999389629810485"/>
      </bottom>
      <diagonal/>
    </border>
    <border>
      <left style="thin">
        <color theme="7" tint="0.79998168889431442"/>
      </left>
      <right style="thin">
        <color theme="0" tint="-0.34998626667073579"/>
      </right>
      <top style="thin">
        <color theme="7" tint="0.79998168889431442"/>
      </top>
      <bottom/>
      <diagonal/>
    </border>
    <border>
      <left style="thin">
        <color theme="1"/>
      </left>
      <right style="thin">
        <color indexed="64"/>
      </right>
      <top/>
      <bottom/>
      <diagonal/>
    </border>
  </borders>
  <cellStyleXfs count="3">
    <xf numFmtId="0" fontId="0" fillId="0" borderId="0"/>
    <xf numFmtId="43" fontId="1" fillId="0" borderId="0" applyFont="0" applyFill="0" applyBorder="0" applyAlignment="0" applyProtection="0"/>
    <xf numFmtId="0" fontId="15" fillId="0" borderId="0" applyNumberFormat="0" applyFill="0" applyBorder="0" applyAlignment="0" applyProtection="0"/>
  </cellStyleXfs>
  <cellXfs count="2326">
    <xf numFmtId="0" fontId="0" fillId="0" borderId="0" xfId="0"/>
    <xf numFmtId="164" fontId="0" fillId="0" borderId="0" xfId="1" applyNumberFormat="1" applyFont="1"/>
    <xf numFmtId="164" fontId="0" fillId="0" borderId="0" xfId="0" applyNumberFormat="1"/>
    <xf numFmtId="0" fontId="3" fillId="0" borderId="0" xfId="0" applyFont="1"/>
    <xf numFmtId="0" fontId="0" fillId="2" borderId="0" xfId="0" applyFill="1"/>
    <xf numFmtId="0" fontId="4" fillId="2" borderId="0" xfId="0" applyFont="1" applyFill="1"/>
    <xf numFmtId="0" fontId="2" fillId="2" borderId="0" xfId="0" applyFont="1" applyFill="1"/>
    <xf numFmtId="0" fontId="0" fillId="3" borderId="1" xfId="0" applyFill="1" applyBorder="1"/>
    <xf numFmtId="0" fontId="0" fillId="3" borderId="2" xfId="0" applyFill="1" applyBorder="1"/>
    <xf numFmtId="0" fontId="0" fillId="3" borderId="9" xfId="0" applyFill="1" applyBorder="1"/>
    <xf numFmtId="0" fontId="0" fillId="3" borderId="4" xfId="0" applyFill="1" applyBorder="1"/>
    <xf numFmtId="0" fontId="0" fillId="3" borderId="0" xfId="0" applyFill="1"/>
    <xf numFmtId="0" fontId="0" fillId="3" borderId="10" xfId="0" applyFill="1" applyBorder="1"/>
    <xf numFmtId="0" fontId="0" fillId="3" borderId="6" xfId="0" applyFill="1" applyBorder="1"/>
    <xf numFmtId="0" fontId="0" fillId="3" borderId="7" xfId="0" applyFill="1" applyBorder="1"/>
    <xf numFmtId="0" fontId="0" fillId="3" borderId="11" xfId="0" applyFill="1" applyBorder="1"/>
    <xf numFmtId="0" fontId="0" fillId="5" borderId="3" xfId="0" applyFill="1" applyBorder="1"/>
    <xf numFmtId="0" fontId="0" fillId="5" borderId="5" xfId="0" applyFill="1" applyBorder="1"/>
    <xf numFmtId="0" fontId="0" fillId="5" borderId="8" xfId="0" applyFill="1" applyBorder="1"/>
    <xf numFmtId="0" fontId="0" fillId="7" borderId="0" xfId="0" applyFill="1"/>
    <xf numFmtId="0" fontId="0" fillId="4" borderId="0" xfId="0" applyFill="1"/>
    <xf numFmtId="0" fontId="0" fillId="5" borderId="0" xfId="0" applyFill="1"/>
    <xf numFmtId="0" fontId="8" fillId="8" borderId="12" xfId="0" applyFont="1" applyFill="1" applyBorder="1"/>
    <xf numFmtId="0" fontId="7" fillId="8" borderId="10" xfId="0" applyFont="1" applyFill="1" applyBorder="1"/>
    <xf numFmtId="0" fontId="5" fillId="9" borderId="9" xfId="0" applyFont="1" applyFill="1" applyBorder="1"/>
    <xf numFmtId="0" fontId="5" fillId="9" borderId="10" xfId="0" applyFont="1" applyFill="1" applyBorder="1"/>
    <xf numFmtId="0" fontId="5" fillId="9" borderId="11" xfId="0" applyFont="1" applyFill="1" applyBorder="1"/>
    <xf numFmtId="0" fontId="0" fillId="9" borderId="0" xfId="0" applyFill="1"/>
    <xf numFmtId="0" fontId="0" fillId="3" borderId="4" xfId="0" applyFill="1" applyBorder="1" applyAlignment="1">
      <alignment horizontal="center"/>
    </xf>
    <xf numFmtId="0" fontId="8" fillId="8" borderId="16" xfId="0" applyFont="1" applyFill="1" applyBorder="1"/>
    <xf numFmtId="0" fontId="7" fillId="8" borderId="9" xfId="0" applyFont="1" applyFill="1" applyBorder="1"/>
    <xf numFmtId="0" fontId="7" fillId="8" borderId="11" xfId="0" applyFont="1" applyFill="1" applyBorder="1"/>
    <xf numFmtId="3" fontId="0" fillId="0" borderId="0" xfId="0" applyNumberFormat="1"/>
    <xf numFmtId="0" fontId="0" fillId="0" borderId="0" xfId="0" applyAlignment="1">
      <alignment horizontal="center"/>
    </xf>
    <xf numFmtId="0" fontId="0" fillId="6" borderId="0" xfId="0" applyFill="1"/>
    <xf numFmtId="0" fontId="6" fillId="9" borderId="10" xfId="0" applyFont="1" applyFill="1" applyBorder="1" applyAlignment="1">
      <alignment horizontal="center"/>
    </xf>
    <xf numFmtId="0" fontId="0" fillId="8" borderId="16" xfId="0" applyFill="1" applyBorder="1"/>
    <xf numFmtId="0" fontId="0" fillId="8" borderId="9" xfId="0" applyFill="1" applyBorder="1"/>
    <xf numFmtId="0" fontId="0" fillId="8" borderId="12" xfId="0" applyFill="1" applyBorder="1"/>
    <xf numFmtId="0" fontId="0" fillId="8" borderId="10" xfId="0" applyFill="1" applyBorder="1"/>
    <xf numFmtId="0" fontId="0" fillId="8" borderId="17" xfId="0" applyFill="1" applyBorder="1"/>
    <xf numFmtId="0" fontId="0" fillId="8" borderId="11" xfId="0" applyFill="1" applyBorder="1"/>
    <xf numFmtId="0" fontId="0" fillId="8" borderId="0" xfId="0" applyFill="1"/>
    <xf numFmtId="0" fontId="0" fillId="5" borderId="2" xfId="0" applyFill="1" applyBorder="1"/>
    <xf numFmtId="0" fontId="0" fillId="5" borderId="5" xfId="0" applyFill="1" applyBorder="1" applyAlignment="1">
      <alignment horizontal="center"/>
    </xf>
    <xf numFmtId="0" fontId="0" fillId="5" borderId="7" xfId="0" applyFill="1" applyBorder="1"/>
    <xf numFmtId="9" fontId="0" fillId="0" borderId="0" xfId="0" applyNumberFormat="1" applyAlignment="1">
      <alignment horizontal="center"/>
    </xf>
    <xf numFmtId="0" fontId="0" fillId="3" borderId="19" xfId="0" applyFill="1" applyBorder="1"/>
    <xf numFmtId="0" fontId="0" fillId="3" borderId="14" xfId="0" applyFill="1" applyBorder="1"/>
    <xf numFmtId="0" fontId="0" fillId="3" borderId="14" xfId="0" applyFill="1" applyBorder="1" applyAlignment="1">
      <alignment horizontal="center"/>
    </xf>
    <xf numFmtId="0" fontId="0" fillId="3" borderId="13" xfId="0" applyFill="1" applyBorder="1"/>
    <xf numFmtId="0" fontId="0" fillId="5" borderId="19" xfId="0" applyFill="1" applyBorder="1"/>
    <xf numFmtId="0" fontId="0" fillId="5" borderId="14" xfId="0" applyFill="1" applyBorder="1"/>
    <xf numFmtId="0" fontId="0" fillId="5" borderId="14" xfId="0" applyFill="1" applyBorder="1" applyAlignment="1">
      <alignment horizontal="center"/>
    </xf>
    <xf numFmtId="0" fontId="0" fillId="5" borderId="13" xfId="0" applyFill="1" applyBorder="1"/>
    <xf numFmtId="0" fontId="0" fillId="3" borderId="3" xfId="0" applyFill="1" applyBorder="1"/>
    <xf numFmtId="0" fontId="0" fillId="3" borderId="5" xfId="0" applyFill="1" applyBorder="1"/>
    <xf numFmtId="0" fontId="0" fillId="3" borderId="5" xfId="0" applyFill="1" applyBorder="1" applyAlignment="1">
      <alignment horizontal="center"/>
    </xf>
    <xf numFmtId="0" fontId="0" fillId="3" borderId="8" xfId="0" applyFill="1" applyBorder="1"/>
    <xf numFmtId="0" fontId="0" fillId="0" borderId="20" xfId="0" applyBorder="1" applyAlignment="1">
      <alignment horizontal="left"/>
    </xf>
    <xf numFmtId="0" fontId="0" fillId="0" borderId="0" xfId="0" applyAlignment="1">
      <alignment horizontal="left"/>
    </xf>
    <xf numFmtId="0" fontId="0" fillId="5" borderId="21" xfId="0" applyFill="1" applyBorder="1"/>
    <xf numFmtId="0" fontId="0" fillId="4" borderId="19" xfId="0" applyFill="1" applyBorder="1"/>
    <xf numFmtId="0" fontId="0" fillId="4" borderId="14" xfId="0" applyFill="1" applyBorder="1"/>
    <xf numFmtId="0" fontId="0" fillId="4" borderId="14" xfId="0" applyFill="1" applyBorder="1" applyAlignment="1">
      <alignment horizontal="center"/>
    </xf>
    <xf numFmtId="0" fontId="0" fillId="4" borderId="13" xfId="0" applyFill="1" applyBorder="1"/>
    <xf numFmtId="0" fontId="0" fillId="3" borderId="21" xfId="0" applyFill="1" applyBorder="1"/>
    <xf numFmtId="0" fontId="3" fillId="7" borderId="0" xfId="0" applyFont="1" applyFill="1"/>
    <xf numFmtId="0" fontId="3" fillId="0" borderId="0" xfId="0" applyFont="1" applyAlignment="1">
      <alignment horizontal="center"/>
    </xf>
    <xf numFmtId="0" fontId="0" fillId="9" borderId="23" xfId="0" applyFill="1" applyBorder="1"/>
    <xf numFmtId="0" fontId="0" fillId="9" borderId="9" xfId="0" applyFill="1" applyBorder="1"/>
    <xf numFmtId="0" fontId="0" fillId="9" borderId="24" xfId="0" applyFill="1" applyBorder="1"/>
    <xf numFmtId="0" fontId="0" fillId="9" borderId="10" xfId="0" applyFill="1" applyBorder="1"/>
    <xf numFmtId="0" fontId="0" fillId="9" borderId="24" xfId="0" applyFill="1" applyBorder="1" applyAlignment="1">
      <alignment horizontal="center"/>
    </xf>
    <xf numFmtId="0" fontId="0" fillId="9" borderId="0" xfId="0" applyFill="1" applyAlignment="1">
      <alignment horizontal="center"/>
    </xf>
    <xf numFmtId="0" fontId="0" fillId="9" borderId="25" xfId="0" applyFill="1" applyBorder="1"/>
    <xf numFmtId="0" fontId="0" fillId="9" borderId="11" xfId="0" applyFill="1" applyBorder="1"/>
    <xf numFmtId="0" fontId="0" fillId="6" borderId="0" xfId="0" applyFill="1" applyAlignment="1">
      <alignment horizontal="center"/>
    </xf>
    <xf numFmtId="0" fontId="0" fillId="6" borderId="2" xfId="0" applyFill="1" applyBorder="1"/>
    <xf numFmtId="0" fontId="0" fillId="6" borderId="7" xfId="0" applyFill="1" applyBorder="1"/>
    <xf numFmtId="0" fontId="0" fillId="6" borderId="10" xfId="0" applyFill="1" applyBorder="1" applyAlignment="1">
      <alignment horizontal="center"/>
    </xf>
    <xf numFmtId="0" fontId="0" fillId="6" borderId="10" xfId="0" applyFill="1" applyBorder="1"/>
    <xf numFmtId="0" fontId="0" fillId="6" borderId="11" xfId="0" applyFill="1" applyBorder="1"/>
    <xf numFmtId="0" fontId="0" fillId="10" borderId="1" xfId="0" applyFill="1" applyBorder="1"/>
    <xf numFmtId="0" fontId="0" fillId="10" borderId="2" xfId="0" applyFill="1" applyBorder="1"/>
    <xf numFmtId="0" fontId="0" fillId="10" borderId="9" xfId="0" applyFill="1" applyBorder="1" applyAlignment="1">
      <alignment horizontal="center"/>
    </xf>
    <xf numFmtId="0" fontId="0" fillId="10" borderId="4" xfId="0" applyFill="1" applyBorder="1"/>
    <xf numFmtId="0" fontId="0" fillId="10" borderId="0" xfId="0" applyFill="1"/>
    <xf numFmtId="0" fontId="0" fillId="10" borderId="10" xfId="0" applyFill="1" applyBorder="1"/>
    <xf numFmtId="0" fontId="0" fillId="10" borderId="6" xfId="0" applyFill="1" applyBorder="1"/>
    <xf numFmtId="0" fontId="0" fillId="10" borderId="7" xfId="0" applyFill="1" applyBorder="1"/>
    <xf numFmtId="0" fontId="0" fillId="10" borderId="11" xfId="0" applyFill="1" applyBorder="1"/>
    <xf numFmtId="0" fontId="0" fillId="11" borderId="1" xfId="0" applyFill="1" applyBorder="1"/>
    <xf numFmtId="0" fontId="0" fillId="11" borderId="2" xfId="0" applyFill="1" applyBorder="1"/>
    <xf numFmtId="0" fontId="0" fillId="11" borderId="2" xfId="0" applyFill="1" applyBorder="1" applyAlignment="1">
      <alignment horizontal="center"/>
    </xf>
    <xf numFmtId="0" fontId="0" fillId="11" borderId="3" xfId="0" applyFill="1" applyBorder="1"/>
    <xf numFmtId="0" fontId="0" fillId="11" borderId="4" xfId="0" applyFill="1" applyBorder="1"/>
    <xf numFmtId="0" fontId="0" fillId="11" borderId="0" xfId="0" applyFill="1"/>
    <xf numFmtId="0" fontId="0" fillId="11" borderId="5" xfId="0" applyFill="1" applyBorder="1"/>
    <xf numFmtId="0" fontId="0" fillId="11" borderId="6" xfId="0" applyFill="1" applyBorder="1"/>
    <xf numFmtId="0" fontId="0" fillId="11" borderId="7" xfId="0" applyFill="1" applyBorder="1"/>
    <xf numFmtId="0" fontId="0" fillId="11" borderId="8" xfId="0" applyFill="1" applyBorder="1"/>
    <xf numFmtId="0" fontId="0" fillId="13" borderId="19" xfId="0" applyFill="1" applyBorder="1"/>
    <xf numFmtId="0" fontId="0" fillId="13" borderId="3" xfId="0" applyFill="1" applyBorder="1"/>
    <xf numFmtId="0" fontId="0" fillId="13" borderId="14" xfId="0" applyFill="1" applyBorder="1"/>
    <xf numFmtId="0" fontId="0" fillId="13" borderId="5" xfId="0" applyFill="1" applyBorder="1"/>
    <xf numFmtId="0" fontId="0" fillId="13" borderId="14" xfId="0" applyFill="1" applyBorder="1" applyAlignment="1">
      <alignment horizontal="center"/>
    </xf>
    <xf numFmtId="0" fontId="0" fillId="13" borderId="22" xfId="0" applyFill="1" applyBorder="1" applyAlignment="1">
      <alignment horizontal="center"/>
    </xf>
    <xf numFmtId="0" fontId="0" fillId="13" borderId="13" xfId="0" applyFill="1" applyBorder="1"/>
    <xf numFmtId="0" fontId="0" fillId="13" borderId="8" xfId="0" applyFill="1" applyBorder="1"/>
    <xf numFmtId="0" fontId="0" fillId="13" borderId="0" xfId="0" applyFill="1"/>
    <xf numFmtId="0" fontId="0" fillId="13" borderId="21" xfId="0" applyFill="1" applyBorder="1"/>
    <xf numFmtId="0" fontId="0" fillId="12" borderId="28" xfId="0" applyFill="1" applyBorder="1"/>
    <xf numFmtId="0" fontId="0" fillId="12" borderId="29" xfId="0" applyFill="1" applyBorder="1"/>
    <xf numFmtId="0" fontId="0" fillId="12" borderId="6" xfId="0" applyFill="1" applyBorder="1"/>
    <xf numFmtId="0" fontId="0" fillId="12" borderId="11" xfId="0" applyFill="1" applyBorder="1"/>
    <xf numFmtId="0" fontId="0" fillId="12" borderId="30" xfId="0" applyFill="1" applyBorder="1"/>
    <xf numFmtId="0" fontId="0" fillId="12" borderId="17" xfId="0" applyFill="1" applyBorder="1"/>
    <xf numFmtId="0" fontId="0" fillId="12" borderId="16" xfId="0" applyFill="1" applyBorder="1"/>
    <xf numFmtId="0" fontId="0" fillId="12" borderId="18" xfId="0" applyFill="1" applyBorder="1"/>
    <xf numFmtId="0" fontId="0" fillId="12" borderId="27" xfId="0" applyFill="1" applyBorder="1"/>
    <xf numFmtId="0" fontId="0" fillId="12" borderId="2" xfId="0" applyFill="1" applyBorder="1"/>
    <xf numFmtId="0" fontId="0" fillId="12" borderId="21" xfId="0" applyFill="1" applyBorder="1"/>
    <xf numFmtId="0" fontId="0" fillId="12" borderId="20" xfId="0" applyFill="1" applyBorder="1"/>
    <xf numFmtId="0" fontId="0" fillId="12" borderId="7" xfId="0" applyFill="1" applyBorder="1"/>
    <xf numFmtId="0" fontId="0" fillId="11" borderId="21" xfId="0" applyFill="1" applyBorder="1"/>
    <xf numFmtId="3" fontId="0" fillId="9" borderId="24" xfId="0" applyNumberFormat="1" applyFill="1" applyBorder="1" applyAlignment="1">
      <alignment horizontal="center"/>
    </xf>
    <xf numFmtId="3" fontId="0" fillId="9" borderId="10" xfId="0" applyNumberFormat="1" applyFill="1" applyBorder="1" applyAlignment="1">
      <alignment horizontal="center"/>
    </xf>
    <xf numFmtId="3" fontId="0" fillId="5" borderId="14" xfId="0" applyNumberFormat="1" applyFill="1" applyBorder="1" applyAlignment="1">
      <alignment horizontal="center"/>
    </xf>
    <xf numFmtId="3" fontId="0" fillId="13" borderId="14" xfId="0" applyNumberFormat="1" applyFill="1" applyBorder="1" applyAlignment="1">
      <alignment horizontal="center"/>
    </xf>
    <xf numFmtId="3" fontId="0" fillId="13" borderId="5" xfId="0" applyNumberFormat="1" applyFill="1" applyBorder="1" applyAlignment="1">
      <alignment horizontal="center"/>
    </xf>
    <xf numFmtId="3" fontId="0" fillId="9" borderId="0" xfId="0" applyNumberFormat="1" applyFill="1"/>
    <xf numFmtId="3" fontId="0" fillId="5" borderId="0" xfId="0" applyNumberFormat="1" applyFill="1"/>
    <xf numFmtId="3" fontId="0" fillId="13" borderId="0" xfId="0" applyNumberFormat="1" applyFill="1"/>
    <xf numFmtId="3" fontId="0" fillId="13" borderId="21" xfId="0" applyNumberFormat="1" applyFill="1" applyBorder="1"/>
    <xf numFmtId="3" fontId="0" fillId="7" borderId="0" xfId="1" applyNumberFormat="1" applyFont="1" applyFill="1"/>
    <xf numFmtId="3" fontId="0" fillId="10" borderId="0" xfId="1" applyNumberFormat="1" applyFont="1" applyFill="1"/>
    <xf numFmtId="3" fontId="0" fillId="11" borderId="21" xfId="1" applyNumberFormat="1" applyFont="1" applyFill="1" applyBorder="1"/>
    <xf numFmtId="3" fontId="0" fillId="11" borderId="4" xfId="0" applyNumberFormat="1" applyFill="1" applyBorder="1"/>
    <xf numFmtId="3" fontId="0" fillId="11" borderId="0" xfId="0" applyNumberFormat="1" applyFill="1"/>
    <xf numFmtId="3" fontId="0" fillId="11" borderId="5" xfId="0" applyNumberFormat="1" applyFill="1" applyBorder="1"/>
    <xf numFmtId="3" fontId="0" fillId="3" borderId="0" xfId="0" applyNumberFormat="1" applyFill="1"/>
    <xf numFmtId="3" fontId="0" fillId="4" borderId="0" xfId="0" applyNumberFormat="1" applyFill="1"/>
    <xf numFmtId="3" fontId="0" fillId="6" borderId="0" xfId="0" applyNumberFormat="1" applyFill="1"/>
    <xf numFmtId="3" fontId="0" fillId="0" borderId="20" xfId="0" applyNumberFormat="1" applyBorder="1" applyAlignment="1">
      <alignment horizontal="right"/>
    </xf>
    <xf numFmtId="3" fontId="0" fillId="0" borderId="0" xfId="1" applyNumberFormat="1" applyFont="1"/>
    <xf numFmtId="3" fontId="0" fillId="5" borderId="5" xfId="0" applyNumberFormat="1" applyFill="1" applyBorder="1" applyAlignment="1">
      <alignment horizontal="center" vertical="center"/>
    </xf>
    <xf numFmtId="3" fontId="0" fillId="5" borderId="5" xfId="0" applyNumberFormat="1" applyFill="1" applyBorder="1" applyAlignment="1">
      <alignment horizontal="center"/>
    </xf>
    <xf numFmtId="3" fontId="0" fillId="8" borderId="0" xfId="0" applyNumberFormat="1" applyFill="1"/>
    <xf numFmtId="3" fontId="0" fillId="0" borderId="20" xfId="0" applyNumberFormat="1" applyBorder="1"/>
    <xf numFmtId="3" fontId="0" fillId="5" borderId="21" xfId="0" applyNumberFormat="1" applyFill="1" applyBorder="1"/>
    <xf numFmtId="0" fontId="0" fillId="6" borderId="16" xfId="0" applyFill="1" applyBorder="1"/>
    <xf numFmtId="0" fontId="0" fillId="6" borderId="9" xfId="0" applyFill="1" applyBorder="1"/>
    <xf numFmtId="0" fontId="0" fillId="6" borderId="12" xfId="0" applyFill="1" applyBorder="1"/>
    <xf numFmtId="3" fontId="0" fillId="6" borderId="0" xfId="0" applyNumberFormat="1" applyFill="1" applyAlignment="1">
      <alignment horizontal="center"/>
    </xf>
    <xf numFmtId="0" fontId="0" fillId="6" borderId="0" xfId="0" applyFill="1" applyAlignment="1">
      <alignment horizontal="center" wrapText="1"/>
    </xf>
    <xf numFmtId="0" fontId="0" fillId="6" borderId="18" xfId="0" applyFill="1" applyBorder="1"/>
    <xf numFmtId="3" fontId="0" fillId="6" borderId="0" xfId="0" applyNumberFormat="1" applyFill="1" applyAlignment="1">
      <alignment horizontal="center" wrapText="1"/>
    </xf>
    <xf numFmtId="0" fontId="5" fillId="6" borderId="9" xfId="0" applyFont="1" applyFill="1" applyBorder="1"/>
    <xf numFmtId="0" fontId="5" fillId="6" borderId="10" xfId="0" applyFont="1" applyFill="1" applyBorder="1"/>
    <xf numFmtId="0" fontId="6" fillId="6" borderId="10" xfId="0" applyFont="1" applyFill="1" applyBorder="1" applyAlignment="1">
      <alignment horizontal="center"/>
    </xf>
    <xf numFmtId="3" fontId="0" fillId="6" borderId="14" xfId="0" applyNumberFormat="1" applyFill="1" applyBorder="1" applyAlignment="1">
      <alignment horizontal="center" vertical="center"/>
    </xf>
    <xf numFmtId="0" fontId="5" fillId="6" borderId="11" xfId="0" applyFont="1" applyFill="1" applyBorder="1"/>
    <xf numFmtId="3" fontId="0" fillId="6" borderId="10" xfId="0" applyNumberFormat="1" applyFill="1" applyBorder="1" applyAlignment="1">
      <alignment horizontal="center"/>
    </xf>
    <xf numFmtId="0" fontId="0" fillId="11" borderId="0" xfId="0" applyFill="1" applyAlignment="1">
      <alignment horizontal="center"/>
    </xf>
    <xf numFmtId="3" fontId="0" fillId="3" borderId="21" xfId="0" applyNumberFormat="1" applyFill="1" applyBorder="1"/>
    <xf numFmtId="0" fontId="0" fillId="3" borderId="3" xfId="0" applyFill="1" applyBorder="1" applyAlignment="1">
      <alignment horizontal="center"/>
    </xf>
    <xf numFmtId="3" fontId="0" fillId="3" borderId="21" xfId="1" applyNumberFormat="1" applyFont="1" applyFill="1" applyBorder="1"/>
    <xf numFmtId="0" fontId="0" fillId="9" borderId="6" xfId="0" applyFill="1" applyBorder="1"/>
    <xf numFmtId="0" fontId="0" fillId="5" borderId="1" xfId="0" applyFill="1" applyBorder="1"/>
    <xf numFmtId="0" fontId="0" fillId="5" borderId="4" xfId="0" applyFill="1" applyBorder="1"/>
    <xf numFmtId="0" fontId="0" fillId="9" borderId="21" xfId="0" applyFill="1" applyBorder="1"/>
    <xf numFmtId="3" fontId="0" fillId="9" borderId="21" xfId="1" applyNumberFormat="1" applyFont="1" applyFill="1" applyBorder="1"/>
    <xf numFmtId="0" fontId="0" fillId="10" borderId="10" xfId="0" applyFill="1" applyBorder="1" applyAlignment="1">
      <alignment horizontal="center"/>
    </xf>
    <xf numFmtId="0" fontId="0" fillId="7" borderId="1" xfId="0" applyFill="1" applyBorder="1"/>
    <xf numFmtId="0" fontId="0" fillId="7" borderId="9" xfId="0" applyFill="1" applyBorder="1"/>
    <xf numFmtId="0" fontId="0" fillId="12" borderId="0" xfId="0" applyFill="1"/>
    <xf numFmtId="0" fontId="0" fillId="14" borderId="1" xfId="0" applyFill="1" applyBorder="1"/>
    <xf numFmtId="0" fontId="0" fillId="14" borderId="2" xfId="0" applyFill="1" applyBorder="1"/>
    <xf numFmtId="0" fontId="0" fillId="14" borderId="9" xfId="0" applyFill="1" applyBorder="1" applyAlignment="1">
      <alignment horizontal="center"/>
    </xf>
    <xf numFmtId="0" fontId="0" fillId="14" borderId="26" xfId="0" applyFill="1" applyBorder="1"/>
    <xf numFmtId="0" fontId="0" fillId="14" borderId="21" xfId="0" applyFill="1" applyBorder="1"/>
    <xf numFmtId="0" fontId="0" fillId="14" borderId="27" xfId="0" applyFill="1" applyBorder="1"/>
    <xf numFmtId="0" fontId="0" fillId="14" borderId="0" xfId="0" applyFill="1"/>
    <xf numFmtId="3" fontId="0" fillId="14" borderId="0" xfId="1" applyNumberFormat="1" applyFont="1" applyFill="1"/>
    <xf numFmtId="3" fontId="0" fillId="5" borderId="0" xfId="1" applyNumberFormat="1" applyFont="1" applyFill="1" applyBorder="1"/>
    <xf numFmtId="0" fontId="0" fillId="12" borderId="3" xfId="0" applyFill="1" applyBorder="1"/>
    <xf numFmtId="0" fontId="0" fillId="12" borderId="5" xfId="0" applyFill="1" applyBorder="1"/>
    <xf numFmtId="0" fontId="0" fillId="12" borderId="8" xfId="0" applyFill="1" applyBorder="1"/>
    <xf numFmtId="3" fontId="0" fillId="0" borderId="0" xfId="0" applyNumberFormat="1" applyAlignment="1">
      <alignment horizontal="right"/>
    </xf>
    <xf numFmtId="0" fontId="0" fillId="12" borderId="31" xfId="0" applyFill="1" applyBorder="1"/>
    <xf numFmtId="0" fontId="0" fillId="12" borderId="32" xfId="0" applyFill="1" applyBorder="1"/>
    <xf numFmtId="0" fontId="0" fillId="12" borderId="1" xfId="0" applyFill="1" applyBorder="1"/>
    <xf numFmtId="0" fontId="0" fillId="12" borderId="9" xfId="0" applyFill="1" applyBorder="1"/>
    <xf numFmtId="0" fontId="0" fillId="12" borderId="26" xfId="0" applyFill="1" applyBorder="1"/>
    <xf numFmtId="0" fontId="0" fillId="7" borderId="4" xfId="0" applyFill="1" applyBorder="1"/>
    <xf numFmtId="0" fontId="0" fillId="7" borderId="10" xfId="0" applyFill="1" applyBorder="1"/>
    <xf numFmtId="0" fontId="0" fillId="12" borderId="12" xfId="0" applyFill="1" applyBorder="1"/>
    <xf numFmtId="0" fontId="0" fillId="12" borderId="10" xfId="0" applyFill="1" applyBorder="1"/>
    <xf numFmtId="0" fontId="0" fillId="12" borderId="4" xfId="0" applyFill="1" applyBorder="1"/>
    <xf numFmtId="0" fontId="0" fillId="5" borderId="9" xfId="0" applyFill="1" applyBorder="1"/>
    <xf numFmtId="0" fontId="0" fillId="5" borderId="10" xfId="0" applyFill="1" applyBorder="1"/>
    <xf numFmtId="0" fontId="0" fillId="5" borderId="26" xfId="0" applyFill="1" applyBorder="1"/>
    <xf numFmtId="0" fontId="0" fillId="5" borderId="27" xfId="0" applyFill="1" applyBorder="1"/>
    <xf numFmtId="0" fontId="0" fillId="9" borderId="4" xfId="0" applyFill="1" applyBorder="1"/>
    <xf numFmtId="3" fontId="0" fillId="0" borderId="0" xfId="1" applyNumberFormat="1" applyFont="1" applyFill="1"/>
    <xf numFmtId="0" fontId="0" fillId="0" borderId="21" xfId="0" applyBorder="1"/>
    <xf numFmtId="3" fontId="0" fillId="0" borderId="21" xfId="1" applyNumberFormat="1" applyFont="1" applyFill="1" applyBorder="1"/>
    <xf numFmtId="164" fontId="0" fillId="0" borderId="0" xfId="1" applyNumberFormat="1" applyFont="1" applyFill="1"/>
    <xf numFmtId="3" fontId="0" fillId="0" borderId="0" xfId="1" applyNumberFormat="1" applyFont="1" applyFill="1" applyBorder="1"/>
    <xf numFmtId="0" fontId="0" fillId="4" borderId="21" xfId="0" applyFill="1" applyBorder="1"/>
    <xf numFmtId="0" fontId="0" fillId="4" borderId="5" xfId="0" applyFill="1" applyBorder="1"/>
    <xf numFmtId="0" fontId="0" fillId="4" borderId="8" xfId="0" applyFill="1" applyBorder="1"/>
    <xf numFmtId="0" fontId="0" fillId="15" borderId="6" xfId="0" applyFill="1" applyBorder="1"/>
    <xf numFmtId="0" fontId="0" fillId="4" borderId="7" xfId="0" applyFill="1" applyBorder="1"/>
    <xf numFmtId="0" fontId="0" fillId="15" borderId="4" xfId="0" applyFill="1" applyBorder="1"/>
    <xf numFmtId="0" fontId="0" fillId="15" borderId="10" xfId="0" applyFill="1" applyBorder="1"/>
    <xf numFmtId="0" fontId="0" fillId="15" borderId="0" xfId="0" applyFill="1"/>
    <xf numFmtId="0" fontId="0" fillId="15" borderId="11" xfId="0" applyFill="1" applyBorder="1"/>
    <xf numFmtId="0" fontId="0" fillId="7" borderId="2" xfId="0" applyFill="1" applyBorder="1"/>
    <xf numFmtId="0" fontId="0" fillId="7" borderId="3" xfId="0" applyFill="1" applyBorder="1"/>
    <xf numFmtId="0" fontId="0" fillId="7" borderId="26" xfId="0" applyFill="1" applyBorder="1"/>
    <xf numFmtId="0" fontId="0" fillId="7" borderId="21" xfId="0" applyFill="1" applyBorder="1"/>
    <xf numFmtId="0" fontId="0" fillId="7" borderId="31" xfId="0" applyFill="1" applyBorder="1"/>
    <xf numFmtId="0" fontId="0" fillId="4" borderId="23" xfId="0" applyFill="1" applyBorder="1"/>
    <xf numFmtId="0" fontId="0" fillId="4" borderId="24" xfId="0" applyFill="1" applyBorder="1"/>
    <xf numFmtId="0" fontId="0" fillId="4" borderId="24" xfId="0" applyFill="1" applyBorder="1" applyAlignment="1">
      <alignment horizontal="center"/>
    </xf>
    <xf numFmtId="3" fontId="0" fillId="4" borderId="24" xfId="0" applyNumberFormat="1" applyFill="1" applyBorder="1" applyAlignment="1">
      <alignment horizontal="center"/>
    </xf>
    <xf numFmtId="0" fontId="0" fillId="4" borderId="25" xfId="0" applyFill="1" applyBorder="1"/>
    <xf numFmtId="0" fontId="0" fillId="4" borderId="9" xfId="0" applyFill="1" applyBorder="1"/>
    <xf numFmtId="0" fontId="0" fillId="4" borderId="10" xfId="0" applyFill="1" applyBorder="1"/>
    <xf numFmtId="0" fontId="0" fillId="4" borderId="0" xfId="0" applyFill="1" applyAlignment="1">
      <alignment horizontal="center"/>
    </xf>
    <xf numFmtId="3" fontId="0" fillId="4" borderId="10" xfId="0" applyNumberFormat="1" applyFill="1" applyBorder="1" applyAlignment="1">
      <alignment horizontal="center"/>
    </xf>
    <xf numFmtId="0" fontId="0" fillId="4" borderId="11" xfId="0" applyFill="1" applyBorder="1"/>
    <xf numFmtId="3" fontId="0" fillId="3" borderId="14" xfId="0" applyNumberFormat="1" applyFill="1" applyBorder="1" applyAlignment="1">
      <alignment horizontal="center"/>
    </xf>
    <xf numFmtId="0" fontId="0" fillId="5" borderId="22" xfId="0" applyFill="1" applyBorder="1" applyAlignment="1">
      <alignment horizontal="center"/>
    </xf>
    <xf numFmtId="0" fontId="0" fillId="0" borderId="0" xfId="0" applyAlignment="1">
      <alignment horizontal="left" wrapText="1"/>
    </xf>
    <xf numFmtId="0" fontId="0" fillId="4" borderId="24" xfId="0" applyFill="1" applyBorder="1" applyAlignment="1">
      <alignment horizontal="center" vertical="center"/>
    </xf>
    <xf numFmtId="0" fontId="0" fillId="4" borderId="25" xfId="0" applyFill="1" applyBorder="1" applyAlignment="1">
      <alignment horizontal="center" vertical="center"/>
    </xf>
    <xf numFmtId="3" fontId="0" fillId="9" borderId="16" xfId="0" applyNumberFormat="1" applyFill="1" applyBorder="1"/>
    <xf numFmtId="3" fontId="0" fillId="9" borderId="9" xfId="0" applyNumberFormat="1" applyFill="1" applyBorder="1"/>
    <xf numFmtId="0" fontId="0" fillId="9" borderId="17" xfId="0" applyFill="1" applyBorder="1"/>
    <xf numFmtId="0" fontId="0" fillId="9" borderId="3" xfId="0" applyFill="1" applyBorder="1"/>
    <xf numFmtId="0" fontId="0" fillId="9" borderId="5" xfId="0" applyFill="1" applyBorder="1"/>
    <xf numFmtId="3" fontId="0" fillId="9" borderId="5" xfId="0" applyNumberFormat="1" applyFill="1" applyBorder="1" applyAlignment="1">
      <alignment horizontal="center"/>
    </xf>
    <xf numFmtId="0" fontId="0" fillId="9" borderId="8" xfId="0" applyFill="1" applyBorder="1"/>
    <xf numFmtId="3" fontId="0" fillId="9" borderId="21" xfId="0" applyNumberFormat="1" applyFill="1" applyBorder="1"/>
    <xf numFmtId="0" fontId="0" fillId="13" borderId="23" xfId="0" applyFill="1" applyBorder="1"/>
    <xf numFmtId="0" fontId="0" fillId="13" borderId="24" xfId="0" applyFill="1" applyBorder="1"/>
    <xf numFmtId="0" fontId="0" fillId="13" borderId="25" xfId="0" applyFill="1" applyBorder="1"/>
    <xf numFmtId="0" fontId="0" fillId="13" borderId="24" xfId="0" applyFill="1" applyBorder="1" applyAlignment="1">
      <alignment horizontal="center"/>
    </xf>
    <xf numFmtId="3" fontId="0" fillId="13" borderId="24" xfId="0" applyNumberFormat="1" applyFill="1" applyBorder="1" applyAlignment="1">
      <alignment horizontal="center"/>
    </xf>
    <xf numFmtId="0" fontId="0" fillId="9" borderId="19" xfId="0" applyFill="1" applyBorder="1"/>
    <xf numFmtId="0" fontId="0" fillId="9" borderId="14" xfId="0" applyFill="1" applyBorder="1"/>
    <xf numFmtId="0" fontId="0" fillId="9" borderId="14" xfId="0" applyFill="1" applyBorder="1" applyAlignment="1">
      <alignment horizontal="center"/>
    </xf>
    <xf numFmtId="3" fontId="0" fillId="9" borderId="14" xfId="0" applyNumberFormat="1" applyFill="1" applyBorder="1" applyAlignment="1">
      <alignment horizontal="center"/>
    </xf>
    <xf numFmtId="0" fontId="0" fillId="9" borderId="13" xfId="0" applyFill="1" applyBorder="1"/>
    <xf numFmtId="0" fontId="0" fillId="9" borderId="5" xfId="0" applyFill="1" applyBorder="1" applyAlignment="1">
      <alignment horizontal="center"/>
    </xf>
    <xf numFmtId="3" fontId="0" fillId="7" borderId="10" xfId="0" applyNumberFormat="1" applyFill="1" applyBorder="1" applyAlignment="1">
      <alignment horizontal="center"/>
    </xf>
    <xf numFmtId="0" fontId="0" fillId="7" borderId="0" xfId="0" applyFill="1" applyAlignment="1">
      <alignment horizontal="center"/>
    </xf>
    <xf numFmtId="3" fontId="0" fillId="4" borderId="14" xfId="0" applyNumberFormat="1" applyFill="1" applyBorder="1" applyAlignment="1">
      <alignment horizontal="center"/>
    </xf>
    <xf numFmtId="0" fontId="0" fillId="7" borderId="11" xfId="0" applyFill="1" applyBorder="1"/>
    <xf numFmtId="3" fontId="0" fillId="7" borderId="0" xfId="0" applyNumberFormat="1" applyFill="1"/>
    <xf numFmtId="0" fontId="2" fillId="0" borderId="0" xfId="0" applyFont="1"/>
    <xf numFmtId="0" fontId="9" fillId="0" borderId="0" xfId="0" applyFont="1" applyAlignment="1">
      <alignment vertical="center"/>
    </xf>
    <xf numFmtId="0" fontId="3" fillId="0" borderId="34" xfId="0" applyFont="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0" borderId="34" xfId="0" applyBorder="1" applyAlignment="1">
      <alignment horizontal="center" vertical="center"/>
    </xf>
    <xf numFmtId="0" fontId="0" fillId="0" borderId="0" xfId="0" applyAlignment="1">
      <alignment horizontal="center" vertical="top"/>
    </xf>
    <xf numFmtId="0" fontId="0" fillId="2" borderId="0" xfId="0" applyFill="1" applyAlignment="1">
      <alignment horizontal="center" vertical="top"/>
    </xf>
    <xf numFmtId="0" fontId="0" fillId="0" borderId="34" xfId="0" applyBorder="1" applyAlignment="1">
      <alignment horizontal="center" vertical="top"/>
    </xf>
    <xf numFmtId="1" fontId="3" fillId="0" borderId="33" xfId="0" applyNumberFormat="1" applyFont="1" applyBorder="1" applyAlignment="1">
      <alignment horizontal="center" vertical="center"/>
    </xf>
    <xf numFmtId="1" fontId="3" fillId="0" borderId="0" xfId="0" applyNumberFormat="1" applyFont="1" applyAlignment="1">
      <alignment horizontal="center" vertical="center"/>
    </xf>
    <xf numFmtId="49" fontId="0" fillId="0" borderId="0" xfId="0" applyNumberFormat="1" applyFont="1"/>
    <xf numFmtId="0" fontId="0" fillId="0" borderId="0" xfId="0" applyFont="1"/>
    <xf numFmtId="0" fontId="6" fillId="0" borderId="0" xfId="0" applyFont="1"/>
    <xf numFmtId="0" fontId="6" fillId="2" borderId="0" xfId="0" applyFont="1" applyFill="1"/>
    <xf numFmtId="0" fontId="6" fillId="2" borderId="0" xfId="0" applyFont="1" applyFill="1" applyAlignment="1">
      <alignment horizontal="center" vertical="center"/>
    </xf>
    <xf numFmtId="0" fontId="0" fillId="2" borderId="0" xfId="0" applyFont="1" applyFill="1"/>
    <xf numFmtId="0" fontId="6" fillId="0" borderId="36" xfId="0" applyFont="1" applyBorder="1"/>
    <xf numFmtId="0" fontId="6" fillId="7" borderId="36" xfId="0" applyFont="1" applyFill="1" applyBorder="1" applyAlignment="1">
      <alignment vertical="center" wrapText="1"/>
    </xf>
    <xf numFmtId="0" fontId="6" fillId="7" borderId="0" xfId="0" applyFont="1" applyFill="1" applyAlignment="1">
      <alignment vertical="center" wrapText="1"/>
    </xf>
    <xf numFmtId="0" fontId="6" fillId="7" borderId="41" xfId="0" applyFont="1" applyFill="1" applyBorder="1" applyAlignment="1">
      <alignment vertical="center" wrapText="1"/>
    </xf>
    <xf numFmtId="0" fontId="6" fillId="7" borderId="40" xfId="0" applyFont="1" applyFill="1" applyBorder="1" applyAlignment="1">
      <alignment vertical="center" wrapText="1"/>
    </xf>
    <xf numFmtId="0" fontId="6" fillId="17" borderId="0" xfId="0" applyFont="1" applyFill="1"/>
    <xf numFmtId="0" fontId="6" fillId="17" borderId="0" xfId="0" applyFont="1" applyFill="1" applyAlignment="1">
      <alignment horizontal="center" vertical="center"/>
    </xf>
    <xf numFmtId="0" fontId="6" fillId="17" borderId="40" xfId="0" applyFont="1" applyFill="1" applyBorder="1" applyAlignment="1">
      <alignment horizontal="center" vertical="center"/>
    </xf>
    <xf numFmtId="0" fontId="6" fillId="17" borderId="54" xfId="0" applyFont="1" applyFill="1" applyBorder="1" applyAlignment="1">
      <alignment horizontal="center" vertical="center"/>
    </xf>
    <xf numFmtId="0" fontId="6" fillId="5" borderId="36" xfId="0" applyFont="1" applyFill="1" applyBorder="1"/>
    <xf numFmtId="0" fontId="6" fillId="5" borderId="0" xfId="0" applyFont="1" applyFill="1"/>
    <xf numFmtId="0" fontId="6" fillId="0" borderId="39" xfId="0" applyFont="1" applyBorder="1"/>
    <xf numFmtId="0" fontId="6" fillId="7" borderId="0" xfId="0" applyFont="1" applyFill="1"/>
    <xf numFmtId="0" fontId="10" fillId="2" borderId="0" xfId="0" applyFont="1" applyFill="1"/>
    <xf numFmtId="0" fontId="10" fillId="2" borderId="0" xfId="0" applyFont="1" applyFill="1" applyAlignment="1">
      <alignment horizontal="center" vertical="top"/>
    </xf>
    <xf numFmtId="0" fontId="11" fillId="0" borderId="0" xfId="0" applyFont="1"/>
    <xf numFmtId="0" fontId="10" fillId="0" borderId="0" xfId="0" applyFont="1"/>
    <xf numFmtId="0" fontId="12" fillId="0" borderId="0" xfId="0" applyFont="1" applyAlignment="1">
      <alignment vertical="center"/>
    </xf>
    <xf numFmtId="49" fontId="10" fillId="0" borderId="0" xfId="0" applyNumberFormat="1" applyFont="1"/>
    <xf numFmtId="0" fontId="3" fillId="5" borderId="36" xfId="0" applyFont="1" applyFill="1" applyBorder="1" applyAlignment="1">
      <alignment horizontal="center" vertical="center"/>
    </xf>
    <xf numFmtId="0" fontId="0" fillId="5" borderId="36" xfId="0" applyFont="1" applyFill="1" applyBorder="1" applyAlignment="1">
      <alignment horizontal="center" vertical="center"/>
    </xf>
    <xf numFmtId="0" fontId="13" fillId="2" borderId="0" xfId="0" applyFont="1" applyFill="1" applyAlignment="1">
      <alignment vertical="center"/>
    </xf>
    <xf numFmtId="0" fontId="0" fillId="7" borderId="34" xfId="0" applyFont="1" applyFill="1" applyBorder="1" applyAlignment="1">
      <alignment horizontal="center" vertical="center"/>
    </xf>
    <xf numFmtId="0" fontId="0" fillId="0" borderId="0" xfId="0" applyFill="1"/>
    <xf numFmtId="0" fontId="0" fillId="5" borderId="0" xfId="0" applyFill="1" applyBorder="1"/>
    <xf numFmtId="0" fontId="0" fillId="6" borderId="0" xfId="0" applyFill="1" applyBorder="1"/>
    <xf numFmtId="0" fontId="0" fillId="5" borderId="309" xfId="0" applyFill="1" applyBorder="1"/>
    <xf numFmtId="0" fontId="0" fillId="5" borderId="76" xfId="0" applyFill="1" applyBorder="1"/>
    <xf numFmtId="0" fontId="0" fillId="32" borderId="310" xfId="0" applyFill="1" applyBorder="1"/>
    <xf numFmtId="0" fontId="0" fillId="5" borderId="208" xfId="0" applyFill="1" applyBorder="1"/>
    <xf numFmtId="0" fontId="0" fillId="15" borderId="71" xfId="0" applyFill="1" applyBorder="1"/>
    <xf numFmtId="0" fontId="0" fillId="5" borderId="72" xfId="0" applyFill="1" applyBorder="1"/>
    <xf numFmtId="0" fontId="0" fillId="5" borderId="64" xfId="0" applyFill="1" applyBorder="1"/>
    <xf numFmtId="0" fontId="0" fillId="15" borderId="75" xfId="0" applyFill="1" applyBorder="1"/>
    <xf numFmtId="0" fontId="0" fillId="6" borderId="311" xfId="0" applyFill="1" applyBorder="1"/>
    <xf numFmtId="0" fontId="0" fillId="6" borderId="312" xfId="0" applyFill="1" applyBorder="1"/>
    <xf numFmtId="0" fontId="0" fillId="6" borderId="312" xfId="0" applyFill="1" applyBorder="1" applyAlignment="1">
      <alignment horizontal="center"/>
    </xf>
    <xf numFmtId="0" fontId="0" fillId="6" borderId="313" xfId="0" applyFill="1" applyBorder="1"/>
    <xf numFmtId="0" fontId="0" fillId="4" borderId="311" xfId="0" applyFill="1" applyBorder="1"/>
    <xf numFmtId="0" fontId="0" fillId="4" borderId="312" xfId="0" applyFill="1" applyBorder="1"/>
    <xf numFmtId="0" fontId="0" fillId="4" borderId="312" xfId="0" applyFill="1" applyBorder="1" applyAlignment="1">
      <alignment horizontal="center"/>
    </xf>
    <xf numFmtId="0" fontId="0" fillId="4" borderId="313" xfId="0" applyFill="1" applyBorder="1"/>
    <xf numFmtId="0" fontId="0" fillId="5" borderId="312" xfId="0" applyFill="1" applyBorder="1"/>
    <xf numFmtId="0" fontId="0" fillId="5" borderId="313" xfId="0" applyFill="1" applyBorder="1"/>
    <xf numFmtId="0" fontId="0" fillId="5" borderId="311" xfId="0" applyFill="1" applyBorder="1"/>
    <xf numFmtId="0" fontId="0" fillId="32" borderId="71" xfId="0" applyFill="1" applyBorder="1" applyAlignment="1">
      <alignment horizontal="center"/>
    </xf>
    <xf numFmtId="0" fontId="0" fillId="15" borderId="71" xfId="0" applyFill="1" applyBorder="1" applyAlignment="1">
      <alignment horizontal="center"/>
    </xf>
    <xf numFmtId="0" fontId="0" fillId="7" borderId="0" xfId="0" applyFill="1" applyBorder="1"/>
    <xf numFmtId="0" fontId="0" fillId="15" borderId="315" xfId="0" applyFill="1" applyBorder="1"/>
    <xf numFmtId="0" fontId="0" fillId="32" borderId="314" xfId="0" applyFill="1" applyBorder="1" applyAlignment="1">
      <alignment horizontal="center"/>
    </xf>
    <xf numFmtId="0" fontId="0" fillId="0" borderId="0" xfId="0" applyAlignment="1">
      <alignment horizontal="left"/>
    </xf>
    <xf numFmtId="0" fontId="0" fillId="0" borderId="0" xfId="0" applyAlignment="1">
      <alignment horizontal="center" vertical="center"/>
    </xf>
    <xf numFmtId="0" fontId="6" fillId="18" borderId="0" xfId="0" applyFont="1" applyFill="1"/>
    <xf numFmtId="0" fontId="6" fillId="18" borderId="36" xfId="0" applyFont="1" applyFill="1" applyBorder="1"/>
    <xf numFmtId="0" fontId="6" fillId="18" borderId="0" xfId="0" applyFont="1" applyFill="1" applyAlignment="1">
      <alignment vertical="center"/>
    </xf>
    <xf numFmtId="0" fontId="6" fillId="18" borderId="53" xfId="0" applyFont="1" applyFill="1" applyBorder="1"/>
    <xf numFmtId="0" fontId="6" fillId="18" borderId="0" xfId="0" applyFont="1" applyFill="1" applyBorder="1"/>
    <xf numFmtId="0" fontId="6" fillId="18" borderId="54" xfId="0" applyFont="1" applyFill="1" applyBorder="1"/>
    <xf numFmtId="0" fontId="6" fillId="0" borderId="0" xfId="0" applyFont="1" applyFill="1"/>
    <xf numFmtId="0" fontId="11" fillId="0" borderId="0" xfId="0" applyFont="1" applyFill="1"/>
    <xf numFmtId="0" fontId="3" fillId="0" borderId="0" xfId="0" applyFont="1" applyFill="1"/>
    <xf numFmtId="0" fontId="0" fillId="0" borderId="0" xfId="0" applyFill="1" applyAlignment="1">
      <alignment horizontal="center" vertical="top"/>
    </xf>
    <xf numFmtId="0" fontId="0" fillId="0" borderId="0" xfId="0" applyFill="1" applyAlignment="1">
      <alignment horizontal="center" vertical="center"/>
    </xf>
    <xf numFmtId="0" fontId="14" fillId="0" borderId="0" xfId="0" applyFont="1" applyFill="1"/>
    <xf numFmtId="0" fontId="16" fillId="0" borderId="0" xfId="0" applyFont="1"/>
    <xf numFmtId="0" fontId="17" fillId="0" borderId="0" xfId="0" applyFont="1"/>
    <xf numFmtId="0" fontId="16" fillId="0" borderId="0" xfId="0" applyFont="1" applyFill="1"/>
    <xf numFmtId="0" fontId="17" fillId="0" borderId="0" xfId="0" applyFont="1" applyFill="1"/>
    <xf numFmtId="0" fontId="18" fillId="0" borderId="0" xfId="0" applyFont="1"/>
    <xf numFmtId="0" fontId="19" fillId="0" borderId="0" xfId="2" applyFont="1" applyFill="1"/>
    <xf numFmtId="0" fontId="17" fillId="0" borderId="0" xfId="0" applyFont="1" applyAlignment="1">
      <alignment horizontal="right"/>
    </xf>
    <xf numFmtId="0" fontId="17" fillId="0" borderId="37" xfId="0" applyFont="1" applyBorder="1"/>
    <xf numFmtId="0" fontId="17" fillId="0" borderId="37" xfId="0" applyFont="1" applyBorder="1" applyAlignment="1">
      <alignment horizontal="right"/>
    </xf>
    <xf numFmtId="0" fontId="0" fillId="0" borderId="33" xfId="0" applyBorder="1"/>
    <xf numFmtId="0" fontId="20" fillId="0" borderId="0" xfId="0" applyFont="1"/>
    <xf numFmtId="0" fontId="21" fillId="0" borderId="0" xfId="0" applyFont="1"/>
    <xf numFmtId="0" fontId="20" fillId="0" borderId="0" xfId="0" applyFont="1" applyFill="1" applyBorder="1"/>
    <xf numFmtId="0" fontId="20" fillId="0" borderId="0" xfId="0" applyFont="1" applyAlignment="1">
      <alignment vertical="center"/>
    </xf>
    <xf numFmtId="0" fontId="20" fillId="0" borderId="0" xfId="0" applyFont="1" applyFill="1"/>
    <xf numFmtId="0" fontId="21" fillId="0" borderId="0" xfId="0" applyFont="1" applyAlignment="1">
      <alignment vertical="center"/>
    </xf>
    <xf numFmtId="0" fontId="21" fillId="0" borderId="0" xfId="0" applyFont="1" applyFill="1" applyBorder="1" applyAlignment="1"/>
    <xf numFmtId="0" fontId="21" fillId="0" borderId="0" xfId="0" applyFont="1" applyFill="1" applyBorder="1"/>
    <xf numFmtId="0" fontId="22" fillId="0" borderId="0" xfId="0" applyFont="1" applyFill="1" applyBorder="1"/>
    <xf numFmtId="0" fontId="23" fillId="2" borderId="0" xfId="0" applyFont="1" applyFill="1" applyAlignment="1">
      <alignment vertical="center"/>
    </xf>
    <xf numFmtId="0" fontId="20" fillId="2" borderId="0" xfId="0" applyFont="1" applyFill="1"/>
    <xf numFmtId="0" fontId="20" fillId="2" borderId="0" xfId="0" applyFont="1" applyFill="1" applyAlignment="1">
      <alignment horizontal="center" vertical="top"/>
    </xf>
    <xf numFmtId="0" fontId="20" fillId="2" borderId="0" xfId="0" applyFont="1" applyFill="1" applyAlignment="1">
      <alignment horizontal="center" vertical="center"/>
    </xf>
    <xf numFmtId="0" fontId="23" fillId="0" borderId="0" xfId="0" applyFont="1"/>
    <xf numFmtId="0" fontId="20" fillId="0" borderId="0" xfId="0" applyFont="1" applyAlignment="1">
      <alignment horizontal="center" vertical="top"/>
    </xf>
    <xf numFmtId="0" fontId="20" fillId="0" borderId="0" xfId="0" applyFont="1" applyAlignment="1">
      <alignment horizontal="center" vertical="center"/>
    </xf>
    <xf numFmtId="0" fontId="20" fillId="0" borderId="130" xfId="0" applyFont="1" applyBorder="1" applyAlignment="1">
      <alignment horizontal="left"/>
    </xf>
    <xf numFmtId="164" fontId="20" fillId="0" borderId="130" xfId="1" applyNumberFormat="1" applyFont="1" applyBorder="1" applyAlignment="1">
      <alignment horizontal="left"/>
    </xf>
    <xf numFmtId="0" fontId="20" fillId="0" borderId="130" xfId="0" applyFont="1" applyBorder="1"/>
    <xf numFmtId="0" fontId="20" fillId="18" borderId="55" xfId="0" applyFont="1" applyFill="1" applyBorder="1" applyAlignment="1">
      <alignment horizontal="center"/>
    </xf>
    <xf numFmtId="0" fontId="20" fillId="18" borderId="399" xfId="0" applyFont="1" applyFill="1" applyBorder="1" applyAlignment="1">
      <alignment horizontal="center"/>
    </xf>
    <xf numFmtId="0" fontId="20" fillId="18" borderId="58" xfId="0" applyFont="1" applyFill="1" applyBorder="1" applyAlignment="1">
      <alignment horizontal="center"/>
    </xf>
    <xf numFmtId="0" fontId="20" fillId="18" borderId="0" xfId="0" applyFont="1" applyFill="1" applyBorder="1" applyAlignment="1">
      <alignment horizontal="center"/>
    </xf>
    <xf numFmtId="0" fontId="20" fillId="18" borderId="0" xfId="0" applyFont="1" applyFill="1" applyAlignment="1">
      <alignment horizontal="center"/>
    </xf>
    <xf numFmtId="0" fontId="20" fillId="10" borderId="0" xfId="0" applyFont="1" applyFill="1" applyAlignment="1">
      <alignment horizontal="center"/>
    </xf>
    <xf numFmtId="0" fontId="20" fillId="10" borderId="101" xfId="0" applyFont="1" applyFill="1" applyBorder="1" applyAlignment="1">
      <alignment horizontal="center"/>
    </xf>
    <xf numFmtId="0" fontId="20" fillId="10" borderId="0" xfId="0" applyFont="1" applyFill="1" applyBorder="1" applyAlignment="1">
      <alignment horizontal="center"/>
    </xf>
    <xf numFmtId="0" fontId="20" fillId="18" borderId="473" xfId="0" applyFont="1" applyFill="1" applyBorder="1" applyAlignment="1">
      <alignment horizontal="center"/>
    </xf>
    <xf numFmtId="0" fontId="20" fillId="18" borderId="48" xfId="0" applyFont="1" applyFill="1" applyBorder="1" applyAlignment="1">
      <alignment horizontal="center"/>
    </xf>
    <xf numFmtId="0" fontId="20" fillId="18" borderId="55" xfId="0" applyFont="1" applyFill="1" applyBorder="1"/>
    <xf numFmtId="0" fontId="20" fillId="18" borderId="399" xfId="0" applyFont="1" applyFill="1" applyBorder="1"/>
    <xf numFmtId="0" fontId="20" fillId="18" borderId="58" xfId="0" applyFont="1" applyFill="1" applyBorder="1"/>
    <xf numFmtId="0" fontId="20" fillId="18" borderId="0" xfId="0" applyFont="1" applyFill="1" applyBorder="1"/>
    <xf numFmtId="0" fontId="20" fillId="18" borderId="0" xfId="0" applyFont="1" applyFill="1"/>
    <xf numFmtId="0" fontId="20" fillId="10" borderId="0" xfId="0" applyFont="1" applyFill="1"/>
    <xf numFmtId="0" fontId="20" fillId="18" borderId="473" xfId="0" applyFont="1" applyFill="1" applyBorder="1"/>
    <xf numFmtId="0" fontId="20" fillId="18" borderId="48" xfId="0" applyFont="1" applyFill="1" applyBorder="1"/>
    <xf numFmtId="0" fontId="20" fillId="10" borderId="101" xfId="0" applyFont="1" applyFill="1" applyBorder="1"/>
    <xf numFmtId="0" fontId="20" fillId="10" borderId="0" xfId="0" applyFont="1" applyFill="1" applyBorder="1"/>
    <xf numFmtId="0" fontId="20" fillId="5" borderId="55" xfId="0" applyFont="1" applyFill="1" applyBorder="1"/>
    <xf numFmtId="0" fontId="20" fillId="5" borderId="400" xfId="0" applyFont="1" applyFill="1" applyBorder="1"/>
    <xf numFmtId="0" fontId="20" fillId="5" borderId="58" xfId="0" applyFont="1" applyFill="1" applyBorder="1"/>
    <xf numFmtId="0" fontId="20" fillId="5" borderId="62" xfId="0" applyFont="1" applyFill="1" applyBorder="1"/>
    <xf numFmtId="0" fontId="20" fillId="5" borderId="475" xfId="0" applyFont="1" applyFill="1" applyBorder="1" applyAlignment="1">
      <alignment horizontal="center" vertical="center"/>
    </xf>
    <xf numFmtId="0" fontId="20" fillId="5" borderId="48" xfId="0" applyFont="1" applyFill="1" applyBorder="1"/>
    <xf numFmtId="0" fontId="20" fillId="18" borderId="0" xfId="0" applyFont="1" applyFill="1" applyAlignment="1">
      <alignment vertical="center"/>
    </xf>
    <xf numFmtId="0" fontId="20" fillId="18" borderId="0" xfId="0" applyFont="1" applyFill="1" applyAlignment="1">
      <alignment vertical="center" wrapText="1"/>
    </xf>
    <xf numFmtId="0" fontId="20" fillId="18" borderId="0" xfId="0" applyFont="1" applyFill="1" applyAlignment="1">
      <alignment horizontal="center" vertical="center"/>
    </xf>
    <xf numFmtId="0" fontId="20" fillId="18" borderId="0" xfId="0" applyFont="1" applyFill="1" applyAlignment="1">
      <alignment horizontal="right"/>
    </xf>
    <xf numFmtId="3" fontId="20" fillId="18" borderId="0" xfId="0" applyNumberFormat="1" applyFont="1" applyFill="1" applyAlignment="1">
      <alignment horizontal="center" vertical="center"/>
    </xf>
    <xf numFmtId="3" fontId="20" fillId="18" borderId="0" xfId="0" applyNumberFormat="1" applyFont="1" applyFill="1" applyAlignment="1">
      <alignment vertical="center" wrapText="1"/>
    </xf>
    <xf numFmtId="3" fontId="20" fillId="18" borderId="0" xfId="0" applyNumberFormat="1" applyFont="1" applyFill="1" applyAlignment="1">
      <alignment horizontal="center"/>
    </xf>
    <xf numFmtId="3" fontId="20" fillId="18" borderId="0" xfId="0" applyNumberFormat="1" applyFont="1" applyFill="1" applyAlignment="1">
      <alignment horizontal="right"/>
    </xf>
    <xf numFmtId="3" fontId="20" fillId="18" borderId="0" xfId="0" applyNumberFormat="1" applyFont="1" applyFill="1"/>
    <xf numFmtId="0" fontId="20" fillId="0" borderId="0" xfId="0" applyFont="1" applyBorder="1"/>
    <xf numFmtId="0" fontId="22" fillId="0" borderId="0" xfId="0" applyFont="1"/>
    <xf numFmtId="0" fontId="24" fillId="0" borderId="0" xfId="0" applyFont="1" applyAlignment="1">
      <alignment vertical="center"/>
    </xf>
    <xf numFmtId="0" fontId="22" fillId="2" borderId="0" xfId="0" applyFont="1" applyFill="1"/>
    <xf numFmtId="0" fontId="21" fillId="7" borderId="0" xfId="0" applyFont="1" applyFill="1" applyAlignment="1">
      <alignment vertical="center"/>
    </xf>
    <xf numFmtId="0" fontId="20" fillId="7" borderId="0" xfId="0" applyFont="1" applyFill="1"/>
    <xf numFmtId="0" fontId="22" fillId="7" borderId="0" xfId="0" applyFont="1" applyFill="1"/>
    <xf numFmtId="0" fontId="22" fillId="0" borderId="46" xfId="0" applyFont="1" applyBorder="1"/>
    <xf numFmtId="0" fontId="22" fillId="18" borderId="49" xfId="0" applyFont="1" applyFill="1" applyBorder="1"/>
    <xf numFmtId="0" fontId="22" fillId="18" borderId="51" xfId="0" applyFont="1" applyFill="1" applyBorder="1"/>
    <xf numFmtId="0" fontId="22" fillId="18" borderId="50" xfId="0" applyFont="1" applyFill="1" applyBorder="1"/>
    <xf numFmtId="0" fontId="22" fillId="0" borderId="0" xfId="0" applyFont="1" applyAlignment="1">
      <alignment horizontal="center"/>
    </xf>
    <xf numFmtId="0" fontId="22" fillId="18" borderId="47" xfId="0" applyFont="1" applyFill="1" applyBorder="1"/>
    <xf numFmtId="0" fontId="22" fillId="18" borderId="0" xfId="0" applyFont="1" applyFill="1" applyBorder="1"/>
    <xf numFmtId="0" fontId="22" fillId="18" borderId="0" xfId="0" applyFont="1" applyFill="1"/>
    <xf numFmtId="0" fontId="22" fillId="18" borderId="48" xfId="0" applyFont="1" applyFill="1" applyBorder="1"/>
    <xf numFmtId="3" fontId="22" fillId="0" borderId="0" xfId="0" applyNumberFormat="1" applyFont="1" applyAlignment="1">
      <alignment horizontal="center"/>
    </xf>
    <xf numFmtId="0" fontId="22" fillId="18" borderId="47" xfId="0" applyFont="1" applyFill="1" applyBorder="1" applyAlignment="1">
      <alignment horizontal="center"/>
    </xf>
    <xf numFmtId="0" fontId="22" fillId="18" borderId="0" xfId="0" applyFont="1" applyFill="1" applyBorder="1" applyAlignment="1">
      <alignment horizontal="center"/>
    </xf>
    <xf numFmtId="0" fontId="22" fillId="18" borderId="0" xfId="0" applyFont="1" applyFill="1" applyAlignment="1">
      <alignment horizontal="center"/>
    </xf>
    <xf numFmtId="0" fontId="22" fillId="18" borderId="48" xfId="0" applyFont="1" applyFill="1" applyBorder="1" applyAlignment="1">
      <alignment horizontal="center"/>
    </xf>
    <xf numFmtId="0" fontId="22" fillId="18" borderId="0" xfId="0" applyFont="1" applyFill="1" applyAlignment="1">
      <alignment vertical="center"/>
    </xf>
    <xf numFmtId="0" fontId="22" fillId="18" borderId="0" xfId="0" applyFont="1" applyFill="1" applyAlignment="1">
      <alignment vertical="center" wrapText="1"/>
    </xf>
    <xf numFmtId="0" fontId="22" fillId="18" borderId="47" xfId="0" applyFont="1" applyFill="1" applyBorder="1" applyAlignment="1">
      <alignment horizontal="center" vertical="center"/>
    </xf>
    <xf numFmtId="0" fontId="22" fillId="18" borderId="0" xfId="0" applyFont="1" applyFill="1" applyBorder="1" applyAlignment="1">
      <alignment horizontal="center" vertical="center"/>
    </xf>
    <xf numFmtId="0" fontId="22" fillId="18" borderId="0" xfId="0" applyFont="1" applyFill="1" applyAlignment="1">
      <alignment horizontal="center" vertical="center"/>
    </xf>
    <xf numFmtId="0" fontId="22" fillId="18" borderId="0" xfId="0" applyFont="1" applyFill="1" applyAlignment="1">
      <alignment horizontal="right"/>
    </xf>
    <xf numFmtId="3" fontId="22" fillId="18" borderId="47" xfId="0" applyNumberFormat="1" applyFont="1" applyFill="1" applyBorder="1" applyAlignment="1">
      <alignment horizontal="center" vertical="center"/>
    </xf>
    <xf numFmtId="3" fontId="22" fillId="18" borderId="0" xfId="0" applyNumberFormat="1" applyFont="1" applyFill="1" applyBorder="1" applyAlignment="1">
      <alignment horizontal="center" vertical="center"/>
    </xf>
    <xf numFmtId="3" fontId="22" fillId="18" borderId="0" xfId="0" applyNumberFormat="1" applyFont="1" applyFill="1" applyAlignment="1">
      <alignment horizontal="center" vertical="center"/>
    </xf>
    <xf numFmtId="3" fontId="22" fillId="18" borderId="0" xfId="0" applyNumberFormat="1" applyFont="1" applyFill="1" applyAlignment="1">
      <alignment vertical="center" wrapText="1"/>
    </xf>
    <xf numFmtId="3" fontId="22" fillId="18" borderId="0" xfId="0" applyNumberFormat="1" applyFont="1" applyFill="1" applyAlignment="1">
      <alignment horizontal="center"/>
    </xf>
    <xf numFmtId="3" fontId="22" fillId="18" borderId="0" xfId="0" applyNumberFormat="1" applyFont="1" applyFill="1" applyAlignment="1">
      <alignment horizontal="right"/>
    </xf>
    <xf numFmtId="3" fontId="22" fillId="18" borderId="0" xfId="0" applyNumberFormat="1" applyFont="1" applyFill="1"/>
    <xf numFmtId="3" fontId="22" fillId="18" borderId="0" xfId="0" applyNumberFormat="1" applyFont="1" applyFill="1" applyBorder="1" applyAlignment="1">
      <alignment horizontal="center"/>
    </xf>
    <xf numFmtId="3" fontId="22" fillId="18" borderId="48" xfId="0" applyNumberFormat="1" applyFont="1" applyFill="1" applyBorder="1" applyAlignment="1">
      <alignment horizontal="center"/>
    </xf>
    <xf numFmtId="0" fontId="22" fillId="18" borderId="44" xfId="0" applyFont="1" applyFill="1" applyBorder="1"/>
    <xf numFmtId="0" fontId="22" fillId="18" borderId="46" xfId="0" applyFont="1" applyFill="1" applyBorder="1"/>
    <xf numFmtId="0" fontId="22" fillId="18" borderId="45" xfId="0" applyFont="1" applyFill="1" applyBorder="1"/>
    <xf numFmtId="0" fontId="22" fillId="0" borderId="0" xfId="0" applyFont="1" applyBorder="1"/>
    <xf numFmtId="0" fontId="20" fillId="18" borderId="496" xfId="0" applyFont="1" applyFill="1" applyBorder="1"/>
    <xf numFmtId="0" fontId="20" fillId="18" borderId="472" xfId="0" applyFont="1" applyFill="1" applyBorder="1"/>
    <xf numFmtId="0" fontId="20" fillId="18" borderId="497" xfId="0" applyFont="1" applyFill="1" applyBorder="1"/>
    <xf numFmtId="0" fontId="20" fillId="18" borderId="498" xfId="0" applyFont="1" applyFill="1" applyBorder="1"/>
    <xf numFmtId="0" fontId="20" fillId="18" borderId="51" xfId="0" applyFont="1" applyFill="1" applyBorder="1"/>
    <xf numFmtId="0" fontId="20" fillId="10" borderId="51" xfId="0" applyFont="1" applyFill="1" applyBorder="1"/>
    <xf numFmtId="0" fontId="20" fillId="10" borderId="100" xfId="0" applyFont="1" applyFill="1" applyBorder="1"/>
    <xf numFmtId="0" fontId="20" fillId="18" borderId="57" xfId="0" applyFont="1" applyFill="1" applyBorder="1"/>
    <xf numFmtId="0" fontId="20" fillId="18" borderId="50" xfId="0" applyFont="1" applyFill="1" applyBorder="1"/>
    <xf numFmtId="0" fontId="20" fillId="18" borderId="56" xfId="0" applyFont="1" applyFill="1" applyBorder="1"/>
    <xf numFmtId="0" fontId="20" fillId="18" borderId="87" xfId="0" applyFont="1" applyFill="1" applyBorder="1"/>
    <xf numFmtId="0" fontId="20" fillId="18" borderId="495" xfId="0" applyFont="1" applyFill="1" applyBorder="1"/>
    <xf numFmtId="0" fontId="20" fillId="18" borderId="418" xfId="0" applyFont="1" applyFill="1" applyBorder="1"/>
    <xf numFmtId="0" fontId="20" fillId="18" borderId="46" xfId="0" applyFont="1" applyFill="1" applyBorder="1"/>
    <xf numFmtId="0" fontId="20" fillId="18" borderId="59" xfId="0" applyFont="1" applyFill="1" applyBorder="1"/>
    <xf numFmtId="0" fontId="20" fillId="18" borderId="474" xfId="0" applyFont="1" applyFill="1" applyBorder="1"/>
    <xf numFmtId="0" fontId="20" fillId="18" borderId="45" xfId="0" applyFont="1" applyFill="1" applyBorder="1"/>
    <xf numFmtId="0" fontId="20" fillId="30" borderId="0" xfId="0" applyFont="1" applyFill="1" applyBorder="1"/>
    <xf numFmtId="0" fontId="20" fillId="30" borderId="127" xfId="0" applyFont="1" applyFill="1" applyBorder="1"/>
    <xf numFmtId="0" fontId="20" fillId="30" borderId="130" xfId="0" applyFont="1" applyFill="1" applyBorder="1"/>
    <xf numFmtId="0" fontId="20" fillId="30" borderId="128" xfId="0" applyFont="1" applyFill="1" applyBorder="1" applyAlignment="1">
      <alignment horizontal="center"/>
    </xf>
    <xf numFmtId="0" fontId="20" fillId="30" borderId="128" xfId="0" applyFont="1" applyFill="1" applyBorder="1"/>
    <xf numFmtId="0" fontId="20" fillId="0" borderId="0" xfId="0" applyFont="1" applyFill="1" applyBorder="1" applyAlignment="1">
      <alignment horizontal="center"/>
    </xf>
    <xf numFmtId="0" fontId="20" fillId="30" borderId="0" xfId="0" applyFont="1" applyFill="1"/>
    <xf numFmtId="0" fontId="20" fillId="0" borderId="0" xfId="0" applyFont="1" applyBorder="1" applyAlignment="1">
      <alignment horizontal="left"/>
    </xf>
    <xf numFmtId="164" fontId="20" fillId="0" borderId="0" xfId="1" applyNumberFormat="1" applyFont="1" applyFill="1" applyBorder="1" applyAlignment="1">
      <alignment horizontal="left"/>
    </xf>
    <xf numFmtId="164" fontId="20" fillId="0" borderId="0" xfId="1" applyNumberFormat="1" applyFont="1" applyBorder="1" applyAlignment="1">
      <alignment horizontal="left"/>
    </xf>
    <xf numFmtId="0" fontId="20" fillId="0" borderId="128" xfId="0" applyFont="1" applyBorder="1"/>
    <xf numFmtId="0" fontId="20" fillId="30" borderId="168" xfId="0" applyFont="1" applyFill="1" applyBorder="1"/>
    <xf numFmtId="0" fontId="20" fillId="30" borderId="145" xfId="0" applyFont="1" applyFill="1" applyBorder="1"/>
    <xf numFmtId="0" fontId="20" fillId="30" borderId="144" xfId="0" applyFont="1" applyFill="1" applyBorder="1"/>
    <xf numFmtId="0" fontId="20" fillId="30" borderId="126" xfId="0" applyFont="1" applyFill="1" applyBorder="1" applyAlignment="1">
      <alignment horizontal="center"/>
    </xf>
    <xf numFmtId="0" fontId="20" fillId="18" borderId="139" xfId="0" applyFont="1" applyFill="1" applyBorder="1"/>
    <xf numFmtId="0" fontId="20" fillId="18" borderId="240" xfId="0" applyFont="1" applyFill="1" applyBorder="1"/>
    <xf numFmtId="0" fontId="20" fillId="18" borderId="344" xfId="0" applyFont="1" applyFill="1" applyBorder="1"/>
    <xf numFmtId="0" fontId="20" fillId="18" borderId="70" xfId="0" applyFont="1" applyFill="1" applyBorder="1"/>
    <xf numFmtId="0" fontId="20" fillId="18" borderId="47" xfId="0" applyFont="1" applyFill="1" applyBorder="1"/>
    <xf numFmtId="0" fontId="20" fillId="18" borderId="486" xfId="0" applyFont="1" applyFill="1" applyBorder="1"/>
    <xf numFmtId="0" fontId="20" fillId="18" borderId="354" xfId="0" applyFont="1" applyFill="1" applyBorder="1"/>
    <xf numFmtId="0" fontId="20" fillId="18" borderId="140" xfId="0" applyFont="1" applyFill="1" applyBorder="1"/>
    <xf numFmtId="0" fontId="20" fillId="18" borderId="139" xfId="0" applyFont="1" applyFill="1" applyBorder="1" applyAlignment="1">
      <alignment horizontal="center"/>
    </xf>
    <xf numFmtId="0" fontId="20" fillId="18" borderId="240" xfId="0" applyFont="1" applyFill="1" applyBorder="1" applyAlignment="1">
      <alignment horizontal="center"/>
    </xf>
    <xf numFmtId="0" fontId="20" fillId="18" borderId="344" xfId="0" applyFont="1" applyFill="1" applyBorder="1" applyAlignment="1">
      <alignment horizontal="center"/>
    </xf>
    <xf numFmtId="0" fontId="20" fillId="18" borderId="70" xfId="0" applyFont="1" applyFill="1" applyBorder="1" applyAlignment="1">
      <alignment horizontal="center"/>
    </xf>
    <xf numFmtId="0" fontId="20" fillId="18" borderId="260" xfId="0" applyFont="1" applyFill="1" applyBorder="1" applyAlignment="1">
      <alignment horizontal="center"/>
    </xf>
    <xf numFmtId="0" fontId="20" fillId="18" borderId="140" xfId="0" applyFont="1" applyFill="1" applyBorder="1" applyAlignment="1">
      <alignment horizontal="center"/>
    </xf>
    <xf numFmtId="0" fontId="20" fillId="18" borderId="141" xfId="0" applyFont="1" applyFill="1" applyBorder="1"/>
    <xf numFmtId="0" fontId="20" fillId="18" borderId="241" xfId="0" applyFont="1" applyFill="1" applyBorder="1"/>
    <xf numFmtId="0" fontId="20" fillId="18" borderId="284" xfId="0" applyFont="1" applyFill="1" applyBorder="1"/>
    <xf numFmtId="0" fontId="20" fillId="18" borderId="134" xfId="0" applyFont="1" applyFill="1" applyBorder="1"/>
    <xf numFmtId="0" fontId="20" fillId="18" borderId="142" xfId="0" applyFont="1" applyFill="1" applyBorder="1"/>
    <xf numFmtId="0" fontId="20" fillId="18" borderId="343" xfId="0" applyFont="1" applyFill="1" applyBorder="1"/>
    <xf numFmtId="0" fontId="20" fillId="18" borderId="130" xfId="0" applyFont="1" applyFill="1" applyBorder="1"/>
    <xf numFmtId="0" fontId="20" fillId="18" borderId="143" xfId="0" applyFont="1" applyFill="1" applyBorder="1"/>
    <xf numFmtId="0" fontId="20" fillId="30" borderId="130" xfId="0" applyFont="1" applyFill="1" applyBorder="1" applyAlignment="1">
      <alignment horizontal="center"/>
    </xf>
    <xf numFmtId="0" fontId="20" fillId="30" borderId="131" xfId="0" applyFont="1" applyFill="1" applyBorder="1" applyAlignment="1">
      <alignment horizontal="center"/>
    </xf>
    <xf numFmtId="0" fontId="20" fillId="18" borderId="124" xfId="0" applyFont="1" applyFill="1" applyBorder="1"/>
    <xf numFmtId="0" fontId="20" fillId="18" borderId="128" xfId="0" applyFont="1" applyFill="1" applyBorder="1"/>
    <xf numFmtId="0" fontId="20" fillId="18" borderId="0" xfId="0" applyFont="1" applyFill="1" applyBorder="1" applyAlignment="1">
      <alignment horizontal="center"/>
    </xf>
    <xf numFmtId="0" fontId="20" fillId="18" borderId="48" xfId="0" applyFont="1" applyFill="1" applyBorder="1" applyAlignment="1">
      <alignment horizontal="center"/>
    </xf>
    <xf numFmtId="0" fontId="20" fillId="18" borderId="127" xfId="0" applyFont="1" applyFill="1" applyBorder="1"/>
    <xf numFmtId="0" fontId="20" fillId="18" borderId="131" xfId="0" applyFont="1" applyFill="1" applyBorder="1"/>
    <xf numFmtId="164" fontId="20" fillId="0" borderId="0" xfId="1" applyNumberFormat="1" applyFont="1"/>
    <xf numFmtId="0" fontId="20" fillId="31" borderId="153" xfId="0" applyFont="1" applyFill="1" applyBorder="1"/>
    <xf numFmtId="0" fontId="20" fillId="31" borderId="151" xfId="0" applyFont="1" applyFill="1" applyBorder="1"/>
    <xf numFmtId="0" fontId="20" fillId="31" borderId="152" xfId="0" applyFont="1" applyFill="1" applyBorder="1"/>
    <xf numFmtId="0" fontId="20" fillId="31" borderId="0" xfId="0" applyFont="1" applyFill="1"/>
    <xf numFmtId="0" fontId="20" fillId="31" borderId="153" xfId="0" applyFont="1" applyFill="1" applyBorder="1" applyAlignment="1">
      <alignment vertical="center"/>
    </xf>
    <xf numFmtId="0" fontId="20" fillId="31" borderId="150" xfId="0" applyFont="1" applyFill="1" applyBorder="1" applyAlignment="1">
      <alignment vertical="center"/>
    </xf>
    <xf numFmtId="0" fontId="20" fillId="31" borderId="156" xfId="0" applyFont="1" applyFill="1" applyBorder="1" applyAlignment="1">
      <alignment vertical="center"/>
    </xf>
    <xf numFmtId="0" fontId="20" fillId="31" borderId="175" xfId="0" applyFont="1" applyFill="1" applyBorder="1"/>
    <xf numFmtId="0" fontId="20" fillId="31" borderId="155" xfId="0" applyFont="1" applyFill="1" applyBorder="1"/>
    <xf numFmtId="0" fontId="20" fillId="31" borderId="156" xfId="0" applyFont="1" applyFill="1" applyBorder="1"/>
    <xf numFmtId="0" fontId="20" fillId="0" borderId="152" xfId="0" applyFont="1" applyBorder="1"/>
    <xf numFmtId="0" fontId="20" fillId="0" borderId="0" xfId="0" applyFont="1" applyAlignment="1">
      <alignment horizontal="right"/>
    </xf>
    <xf numFmtId="0" fontId="20" fillId="0" borderId="0" xfId="0" applyFont="1" applyFill="1" applyAlignment="1">
      <alignment horizontal="right"/>
    </xf>
    <xf numFmtId="0" fontId="20" fillId="18" borderId="185" xfId="0" applyFont="1" applyFill="1" applyBorder="1"/>
    <xf numFmtId="0" fontId="20" fillId="18" borderId="406" xfId="0" applyFont="1" applyFill="1" applyBorder="1"/>
    <xf numFmtId="0" fontId="20" fillId="18" borderId="410" xfId="0" applyFont="1" applyFill="1" applyBorder="1"/>
    <xf numFmtId="0" fontId="20" fillId="18" borderId="189" xfId="0" applyFont="1" applyFill="1" applyBorder="1"/>
    <xf numFmtId="0" fontId="20" fillId="18" borderId="186" xfId="0" applyFont="1" applyFill="1" applyBorder="1"/>
    <xf numFmtId="0" fontId="20" fillId="18" borderId="407" xfId="0" applyFont="1" applyFill="1" applyBorder="1"/>
    <xf numFmtId="0" fontId="20" fillId="18" borderId="250" xfId="0" applyFont="1" applyFill="1" applyBorder="1"/>
    <xf numFmtId="0" fontId="20" fillId="18" borderId="153" xfId="0" applyFont="1" applyFill="1" applyBorder="1"/>
    <xf numFmtId="0" fontId="20" fillId="18" borderId="181" xfId="0" applyFont="1" applyFill="1" applyBorder="1" applyAlignment="1">
      <alignment horizontal="center"/>
    </xf>
    <xf numFmtId="0" fontId="20" fillId="18" borderId="347" xfId="0" applyFont="1" applyFill="1" applyBorder="1" applyAlignment="1">
      <alignment horizontal="center"/>
    </xf>
    <xf numFmtId="0" fontId="20" fillId="18" borderId="247" xfId="0" applyFont="1" applyFill="1" applyBorder="1" applyAlignment="1">
      <alignment horizontal="center"/>
    </xf>
    <xf numFmtId="0" fontId="20" fillId="18" borderId="150" xfId="0" applyFont="1" applyFill="1" applyBorder="1" applyAlignment="1">
      <alignment horizontal="center"/>
    </xf>
    <xf numFmtId="0" fontId="20" fillId="31" borderId="0" xfId="0" applyFont="1" applyFill="1" applyBorder="1" applyAlignment="1"/>
    <xf numFmtId="3" fontId="20" fillId="31" borderId="0" xfId="0" applyNumberFormat="1" applyFont="1" applyFill="1" applyBorder="1" applyAlignment="1"/>
    <xf numFmtId="0" fontId="20" fillId="18" borderId="181" xfId="0" applyFont="1" applyFill="1" applyBorder="1"/>
    <xf numFmtId="0" fontId="20" fillId="18" borderId="260" xfId="0" applyFont="1" applyFill="1" applyBorder="1"/>
    <xf numFmtId="0" fontId="20" fillId="18" borderId="347" xfId="0" applyFont="1" applyFill="1" applyBorder="1"/>
    <xf numFmtId="0" fontId="20" fillId="18" borderId="247" xfId="0" applyFont="1" applyFill="1" applyBorder="1"/>
    <xf numFmtId="0" fontId="20" fillId="18" borderId="260" xfId="0" applyFont="1" applyFill="1" applyBorder="1" applyAlignment="1">
      <alignment vertical="center"/>
    </xf>
    <xf numFmtId="0" fontId="20" fillId="18" borderId="48" xfId="0" applyFont="1" applyFill="1" applyBorder="1" applyAlignment="1">
      <alignment vertical="center"/>
    </xf>
    <xf numFmtId="0" fontId="20" fillId="18" borderId="70" xfId="0" applyFont="1" applyFill="1" applyBorder="1" applyAlignment="1">
      <alignment vertical="center"/>
    </xf>
    <xf numFmtId="0" fontId="20" fillId="18" borderId="240" xfId="0" applyFont="1" applyFill="1" applyBorder="1" applyAlignment="1">
      <alignment vertical="center"/>
    </xf>
    <xf numFmtId="0" fontId="20" fillId="18" borderId="150" xfId="0" applyFont="1" applyFill="1" applyBorder="1"/>
    <xf numFmtId="0" fontId="20" fillId="31" borderId="0" xfId="0" applyFont="1" applyFill="1" applyBorder="1"/>
    <xf numFmtId="0" fontId="20" fillId="18" borderId="187" xfId="0" applyFont="1" applyFill="1" applyBorder="1"/>
    <xf numFmtId="0" fontId="20" fillId="18" borderId="409" xfId="0" applyFont="1" applyFill="1" applyBorder="1"/>
    <xf numFmtId="0" fontId="20" fillId="18" borderId="411" xfId="0" applyFont="1" applyFill="1" applyBorder="1"/>
    <xf numFmtId="0" fontId="20" fillId="18" borderId="391" xfId="0" applyFont="1" applyFill="1" applyBorder="1"/>
    <xf numFmtId="0" fontId="20" fillId="18" borderId="74" xfId="0" applyFont="1" applyFill="1" applyBorder="1"/>
    <xf numFmtId="0" fontId="20" fillId="18" borderId="61" xfId="0" applyFont="1" applyFill="1" applyBorder="1"/>
    <xf numFmtId="0" fontId="20" fillId="18" borderId="408" xfId="0" applyFont="1" applyFill="1" applyBorder="1"/>
    <xf numFmtId="0" fontId="20" fillId="18" borderId="412" xfId="0" applyFont="1" applyFill="1" applyBorder="1"/>
    <xf numFmtId="0" fontId="20" fillId="18" borderId="184" xfId="0" applyFont="1" applyFill="1" applyBorder="1"/>
    <xf numFmtId="0" fontId="20" fillId="18" borderId="463" xfId="0" applyFont="1" applyFill="1" applyBorder="1"/>
    <xf numFmtId="0" fontId="20" fillId="18" borderId="188" xfId="0" applyFont="1" applyFill="1" applyBorder="1"/>
    <xf numFmtId="0" fontId="20" fillId="0" borderId="0" xfId="0" applyFont="1" applyAlignment="1">
      <alignment horizontal="center"/>
    </xf>
    <xf numFmtId="0" fontId="20" fillId="31" borderId="150" xfId="0" applyFont="1" applyFill="1" applyBorder="1"/>
    <xf numFmtId="0" fontId="20" fillId="31" borderId="173" xfId="0" applyFont="1" applyFill="1" applyBorder="1"/>
    <xf numFmtId="0" fontId="20" fillId="0" borderId="155" xfId="0" applyFont="1" applyBorder="1"/>
    <xf numFmtId="0" fontId="20" fillId="18" borderId="151" xfId="0" applyFont="1" applyFill="1" applyBorder="1"/>
    <xf numFmtId="0" fontId="20" fillId="18" borderId="152" xfId="0" applyFont="1" applyFill="1" applyBorder="1"/>
    <xf numFmtId="0" fontId="20" fillId="31" borderId="150" xfId="0" applyFont="1" applyFill="1" applyBorder="1" applyAlignment="1"/>
    <xf numFmtId="0" fontId="20" fillId="18" borderId="48" xfId="0" applyFont="1" applyFill="1" applyBorder="1" applyAlignment="1"/>
    <xf numFmtId="3" fontId="20" fillId="18" borderId="48" xfId="0" applyNumberFormat="1" applyFont="1" applyFill="1" applyBorder="1" applyAlignment="1">
      <alignment horizontal="center"/>
    </xf>
    <xf numFmtId="0" fontId="20" fillId="18" borderId="154" xfId="0" applyFont="1" applyFill="1" applyBorder="1"/>
    <xf numFmtId="0" fontId="20" fillId="18" borderId="175" xfId="0" applyFont="1" applyFill="1" applyBorder="1"/>
    <xf numFmtId="0" fontId="20" fillId="18" borderId="155" xfId="0" applyFont="1" applyFill="1" applyBorder="1"/>
    <xf numFmtId="0" fontId="20" fillId="0" borderId="152" xfId="0" applyFont="1" applyFill="1" applyBorder="1"/>
    <xf numFmtId="3" fontId="20" fillId="0" borderId="0" xfId="0" applyNumberFormat="1" applyFont="1" applyFill="1"/>
    <xf numFmtId="0" fontId="20" fillId="0" borderId="0" xfId="0" applyFont="1" applyFill="1" applyBorder="1" applyAlignment="1"/>
    <xf numFmtId="0" fontId="20" fillId="31" borderId="252" xfId="0" applyFont="1" applyFill="1" applyBorder="1"/>
    <xf numFmtId="0" fontId="20" fillId="31" borderId="172" xfId="0" applyFont="1" applyFill="1" applyBorder="1"/>
    <xf numFmtId="0" fontId="20" fillId="31" borderId="174" xfId="0" applyFont="1" applyFill="1" applyBorder="1"/>
    <xf numFmtId="0" fontId="20" fillId="31" borderId="211" xfId="0" applyFont="1" applyFill="1" applyBorder="1"/>
    <xf numFmtId="0" fontId="20" fillId="31" borderId="212" xfId="0" applyFont="1" applyFill="1" applyBorder="1"/>
    <xf numFmtId="0" fontId="20" fillId="18" borderId="0" xfId="0" applyFont="1" applyFill="1" applyBorder="1" applyAlignment="1"/>
    <xf numFmtId="0" fontId="20" fillId="18" borderId="70" xfId="0" applyFont="1" applyFill="1" applyBorder="1" applyAlignment="1"/>
    <xf numFmtId="0" fontId="20" fillId="18" borderId="150" xfId="0" applyFont="1" applyFill="1" applyBorder="1" applyAlignment="1"/>
    <xf numFmtId="0" fontId="25" fillId="18" borderId="441" xfId="0" applyFont="1" applyFill="1" applyBorder="1"/>
    <xf numFmtId="0" fontId="25" fillId="18" borderId="344" xfId="0" applyFont="1" applyFill="1" applyBorder="1" applyAlignment="1"/>
    <xf numFmtId="0" fontId="20" fillId="18" borderId="0" xfId="0" applyFont="1" applyFill="1" applyBorder="1" applyAlignment="1">
      <alignment horizontal="left" vertical="top" indent="2"/>
    </xf>
    <xf numFmtId="0" fontId="20" fillId="18" borderId="150" xfId="0" applyFont="1" applyFill="1" applyBorder="1" applyAlignment="1">
      <alignment horizontal="left" vertical="top" indent="2"/>
    </xf>
    <xf numFmtId="0" fontId="20" fillId="18" borderId="46" xfId="0" applyFont="1" applyFill="1" applyBorder="1" applyAlignment="1">
      <alignment horizontal="center"/>
    </xf>
    <xf numFmtId="0" fontId="20" fillId="18" borderId="344" xfId="0" applyFont="1" applyFill="1" applyBorder="1" applyAlignment="1">
      <alignment horizontal="center"/>
    </xf>
    <xf numFmtId="0" fontId="20" fillId="31" borderId="150" xfId="0" applyFont="1" applyFill="1" applyBorder="1" applyAlignment="1">
      <alignment horizontal="center"/>
    </xf>
    <xf numFmtId="0" fontId="25" fillId="18" borderId="476" xfId="0" applyFont="1" applyFill="1" applyBorder="1" applyAlignment="1"/>
    <xf numFmtId="0" fontId="20" fillId="18" borderId="46" xfId="0" applyFont="1" applyFill="1" applyBorder="1" applyAlignment="1"/>
    <xf numFmtId="0" fontId="20" fillId="18" borderId="438" xfId="0" applyFont="1" applyFill="1" applyBorder="1" applyAlignment="1"/>
    <xf numFmtId="0" fontId="20" fillId="18" borderId="395" xfId="0" applyFont="1" applyFill="1" applyBorder="1"/>
    <xf numFmtId="0" fontId="20" fillId="18" borderId="396" xfId="0" applyFont="1" applyFill="1" applyBorder="1"/>
    <xf numFmtId="0" fontId="20" fillId="18" borderId="397" xfId="0" applyFont="1" applyFill="1" applyBorder="1"/>
    <xf numFmtId="0" fontId="25" fillId="18" borderId="49" xfId="0" applyFont="1" applyFill="1" applyBorder="1" applyAlignment="1"/>
    <xf numFmtId="0" fontId="20" fillId="18" borderId="477" xfId="0" applyFont="1" applyFill="1" applyBorder="1" applyAlignment="1"/>
    <xf numFmtId="0" fontId="20" fillId="18" borderId="47" xfId="0" applyFont="1" applyFill="1" applyBorder="1" applyAlignment="1"/>
    <xf numFmtId="0" fontId="20" fillId="18" borderId="0" xfId="0" applyFont="1" applyFill="1" applyBorder="1" applyAlignment="1">
      <alignment vertical="center"/>
    </xf>
    <xf numFmtId="0" fontId="20" fillId="5" borderId="489" xfId="0" applyFont="1" applyFill="1" applyBorder="1" applyAlignment="1">
      <alignment vertical="center"/>
    </xf>
    <xf numFmtId="0" fontId="20" fillId="31" borderId="153" xfId="0" applyFont="1" applyFill="1" applyBorder="1" applyAlignment="1"/>
    <xf numFmtId="0" fontId="20" fillId="31" borderId="211" xfId="0" applyFont="1" applyFill="1" applyBorder="1" applyAlignment="1">
      <alignment vertical="center"/>
    </xf>
    <xf numFmtId="0" fontId="20" fillId="18" borderId="0" xfId="0" applyFont="1" applyFill="1" applyBorder="1" applyAlignment="1">
      <alignment horizontal="left" indent="2"/>
    </xf>
    <xf numFmtId="0" fontId="20" fillId="18" borderId="150" xfId="0" applyFont="1" applyFill="1" applyBorder="1" applyAlignment="1">
      <alignment horizontal="left" indent="2"/>
    </xf>
    <xf numFmtId="0" fontId="20" fillId="5" borderId="487" xfId="0" applyFont="1" applyFill="1" applyBorder="1" applyAlignment="1">
      <alignment vertical="center"/>
    </xf>
    <xf numFmtId="0" fontId="20" fillId="31" borderId="156" xfId="0" applyFont="1" applyFill="1" applyBorder="1" applyAlignment="1"/>
    <xf numFmtId="0" fontId="20" fillId="31" borderId="213" xfId="0" applyFont="1" applyFill="1" applyBorder="1" applyAlignment="1">
      <alignment vertical="center"/>
    </xf>
    <xf numFmtId="0" fontId="20" fillId="18" borderId="0" xfId="0" applyFont="1" applyFill="1" applyBorder="1" applyAlignment="1">
      <alignment horizontal="left" vertical="center" indent="2"/>
    </xf>
    <xf numFmtId="0" fontId="20" fillId="18" borderId="150" xfId="0" applyFont="1" applyFill="1" applyBorder="1" applyAlignment="1">
      <alignment horizontal="left" vertical="center" indent="2"/>
    </xf>
    <xf numFmtId="0" fontId="20" fillId="18" borderId="49" xfId="0" applyFont="1" applyFill="1" applyBorder="1"/>
    <xf numFmtId="0" fontId="20" fillId="18" borderId="490" xfId="0" applyFont="1" applyFill="1" applyBorder="1" applyAlignment="1">
      <alignment vertical="center" wrapText="1"/>
    </xf>
    <xf numFmtId="0" fontId="20" fillId="18" borderId="100" xfId="0" applyFont="1" applyFill="1" applyBorder="1" applyAlignment="1"/>
    <xf numFmtId="0" fontId="20" fillId="18" borderId="439" xfId="0" applyFont="1" applyFill="1" applyBorder="1"/>
    <xf numFmtId="0" fontId="25" fillId="18" borderId="47" xfId="0" applyFont="1" applyFill="1" applyBorder="1" applyAlignment="1"/>
    <xf numFmtId="0" fontId="20" fillId="18" borderId="418" xfId="0" applyFont="1" applyFill="1" applyBorder="1" applyAlignment="1"/>
    <xf numFmtId="0" fontId="20" fillId="18" borderId="247" xfId="0" applyFont="1" applyFill="1" applyBorder="1" applyAlignment="1">
      <alignment horizontal="center"/>
    </xf>
    <xf numFmtId="0" fontId="20" fillId="18" borderId="51" xfId="0" applyFont="1" applyFill="1" applyBorder="1" applyAlignment="1"/>
    <xf numFmtId="0" fontId="20" fillId="18" borderId="439" xfId="0" applyFont="1" applyFill="1" applyBorder="1" applyAlignment="1"/>
    <xf numFmtId="0" fontId="20" fillId="18" borderId="287" xfId="0" applyFont="1" applyFill="1" applyBorder="1" applyAlignment="1"/>
    <xf numFmtId="0" fontId="20" fillId="18" borderId="63" xfId="0" applyFont="1" applyFill="1" applyBorder="1" applyAlignment="1"/>
    <xf numFmtId="0" fontId="20" fillId="18" borderId="354" xfId="0" applyFont="1" applyFill="1" applyBorder="1" applyAlignment="1"/>
    <xf numFmtId="3" fontId="20" fillId="18" borderId="0" xfId="0" applyNumberFormat="1" applyFont="1" applyFill="1" applyBorder="1" applyAlignment="1">
      <alignment horizontal="left" indent="2"/>
    </xf>
    <xf numFmtId="3" fontId="20" fillId="18" borderId="150" xfId="0" applyNumberFormat="1" applyFont="1" applyFill="1" applyBorder="1" applyAlignment="1">
      <alignment horizontal="left" indent="2"/>
    </xf>
    <xf numFmtId="0" fontId="20" fillId="31" borderId="213" xfId="0" applyFont="1" applyFill="1" applyBorder="1"/>
    <xf numFmtId="0" fontId="20" fillId="18" borderId="220" xfId="0" applyFont="1" applyFill="1" applyBorder="1" applyAlignment="1">
      <alignment vertical="center" wrapText="1"/>
    </xf>
    <xf numFmtId="0" fontId="20" fillId="18" borderId="155" xfId="0" applyFont="1" applyFill="1" applyBorder="1" applyAlignment="1"/>
    <xf numFmtId="0" fontId="20" fillId="18" borderId="156" xfId="0" applyFont="1" applyFill="1" applyBorder="1"/>
    <xf numFmtId="0" fontId="20" fillId="18" borderId="155" xfId="0" applyFont="1" applyFill="1" applyBorder="1" applyAlignment="1">
      <alignment horizontal="left"/>
    </xf>
    <xf numFmtId="0" fontId="20" fillId="18" borderId="156" xfId="0" applyFont="1" applyFill="1" applyBorder="1" applyAlignment="1">
      <alignment horizontal="left"/>
    </xf>
    <xf numFmtId="164" fontId="20" fillId="0" borderId="0" xfId="1" applyNumberFormat="1" applyFont="1" applyFill="1"/>
    <xf numFmtId="0" fontId="20" fillId="26" borderId="264" xfId="0" applyFont="1" applyFill="1" applyBorder="1"/>
    <xf numFmtId="0" fontId="20" fillId="26" borderId="176" xfId="0" applyFont="1" applyFill="1" applyBorder="1"/>
    <xf numFmtId="0" fontId="20" fillId="26" borderId="177" xfId="0" applyFont="1" applyFill="1" applyBorder="1"/>
    <xf numFmtId="0" fontId="20" fillId="26" borderId="178" xfId="0" applyFont="1" applyFill="1" applyBorder="1"/>
    <xf numFmtId="0" fontId="20" fillId="26" borderId="158" xfId="0" applyFont="1" applyFill="1" applyBorder="1"/>
    <xf numFmtId="0" fontId="20" fillId="26" borderId="265" xfId="0" applyFont="1" applyFill="1" applyBorder="1"/>
    <xf numFmtId="0" fontId="20" fillId="26" borderId="0" xfId="0" applyFont="1" applyFill="1" applyBorder="1" applyAlignment="1">
      <alignment vertical="center"/>
    </xf>
    <xf numFmtId="0" fontId="20" fillId="26" borderId="163" xfId="0" applyFont="1" applyFill="1" applyBorder="1" applyAlignment="1">
      <alignment vertical="center"/>
    </xf>
    <xf numFmtId="0" fontId="20" fillId="26" borderId="162" xfId="0" applyFont="1" applyFill="1" applyBorder="1"/>
    <xf numFmtId="0" fontId="20" fillId="26" borderId="163" xfId="0" applyFont="1" applyFill="1" applyBorder="1"/>
    <xf numFmtId="0" fontId="20" fillId="26" borderId="162" xfId="0" applyFont="1" applyFill="1" applyBorder="1" applyAlignment="1">
      <alignment vertical="center"/>
    </xf>
    <xf numFmtId="0" fontId="20" fillId="0" borderId="0" xfId="0" applyFont="1" applyFill="1" applyBorder="1" applyAlignment="1">
      <alignment vertical="center"/>
    </xf>
    <xf numFmtId="0" fontId="20" fillId="18" borderId="465" xfId="0" applyFont="1" applyFill="1" applyBorder="1"/>
    <xf numFmtId="0" fontId="20" fillId="18" borderId="464" xfId="0" applyFont="1" applyFill="1" applyBorder="1"/>
    <xf numFmtId="0" fontId="20" fillId="18" borderId="467" xfId="0" applyFont="1" applyFill="1" applyBorder="1"/>
    <xf numFmtId="0" fontId="20" fillId="18" borderId="354" xfId="0" applyFont="1" applyFill="1" applyBorder="1" applyAlignment="1">
      <alignment horizontal="center"/>
    </xf>
    <xf numFmtId="0" fontId="20" fillId="18" borderId="468" xfId="0" applyFont="1" applyFill="1" applyBorder="1" applyAlignment="1">
      <alignment horizontal="center"/>
    </xf>
    <xf numFmtId="0" fontId="20" fillId="26" borderId="0" xfId="0" applyFont="1" applyFill="1" applyBorder="1" applyAlignment="1">
      <alignment horizontal="center"/>
    </xf>
    <xf numFmtId="3" fontId="20" fillId="18" borderId="0" xfId="0" applyNumberFormat="1" applyFont="1" applyFill="1" applyBorder="1" applyAlignment="1">
      <alignment horizontal="center"/>
    </xf>
    <xf numFmtId="3" fontId="20" fillId="0" borderId="0" xfId="0" applyNumberFormat="1" applyFont="1" applyFill="1" applyBorder="1"/>
    <xf numFmtId="3" fontId="20" fillId="0" borderId="0" xfId="0" applyNumberFormat="1" applyFont="1" applyFill="1" applyBorder="1" applyAlignment="1"/>
    <xf numFmtId="0" fontId="20" fillId="18" borderId="468" xfId="0" applyFont="1" applyFill="1" applyBorder="1" applyAlignment="1">
      <alignment vertical="center"/>
    </xf>
    <xf numFmtId="0" fontId="20" fillId="26" borderId="0" xfId="0" applyFont="1" applyFill="1" applyBorder="1"/>
    <xf numFmtId="0" fontId="20" fillId="18" borderId="457" xfId="0" applyFont="1" applyFill="1" applyBorder="1"/>
    <xf numFmtId="0" fontId="20" fillId="18" borderId="458" xfId="0" applyFont="1" applyFill="1" applyBorder="1"/>
    <xf numFmtId="0" fontId="20" fillId="18" borderId="459" xfId="0" applyFont="1" applyFill="1" applyBorder="1"/>
    <xf numFmtId="0" fontId="20" fillId="18" borderId="164" xfId="0" applyFont="1" applyFill="1" applyBorder="1"/>
    <xf numFmtId="0" fontId="20" fillId="18" borderId="460" xfId="0" applyFont="1" applyFill="1" applyBorder="1"/>
    <xf numFmtId="0" fontId="20" fillId="18" borderId="163" xfId="0" applyFont="1" applyFill="1" applyBorder="1"/>
    <xf numFmtId="0" fontId="20" fillId="18" borderId="461" xfId="0" applyFont="1" applyFill="1" applyBorder="1"/>
    <xf numFmtId="0" fontId="20" fillId="18" borderId="462" xfId="0" applyFont="1" applyFill="1" applyBorder="1"/>
    <xf numFmtId="0" fontId="20" fillId="18" borderId="455" xfId="0" applyFont="1" applyFill="1" applyBorder="1"/>
    <xf numFmtId="0" fontId="20" fillId="18" borderId="466" xfId="0" applyFont="1" applyFill="1" applyBorder="1"/>
    <xf numFmtId="0" fontId="20" fillId="26" borderId="160" xfId="0" applyFont="1" applyFill="1" applyBorder="1"/>
    <xf numFmtId="0" fontId="20" fillId="18" borderId="160" xfId="0" applyFont="1" applyFill="1" applyBorder="1"/>
    <xf numFmtId="0" fontId="20" fillId="18" borderId="200" xfId="0" applyFont="1" applyFill="1" applyBorder="1"/>
    <xf numFmtId="0" fontId="20" fillId="18" borderId="469" xfId="0" applyFont="1" applyFill="1" applyBorder="1" applyAlignment="1">
      <alignment horizontal="center"/>
    </xf>
    <xf numFmtId="0" fontId="20" fillId="18" borderId="158" xfId="0" applyFont="1" applyFill="1" applyBorder="1"/>
    <xf numFmtId="0" fontId="20" fillId="18" borderId="471" xfId="0" applyFont="1" applyFill="1" applyBorder="1"/>
    <xf numFmtId="0" fontId="20" fillId="18" borderId="159" xfId="0" applyFont="1" applyFill="1" applyBorder="1"/>
    <xf numFmtId="0" fontId="20" fillId="26" borderId="159" xfId="0" applyFont="1" applyFill="1" applyBorder="1" applyAlignment="1">
      <alignment horizontal="center"/>
    </xf>
    <xf numFmtId="0" fontId="20" fillId="26" borderId="161" xfId="0" applyFont="1" applyFill="1" applyBorder="1" applyAlignment="1">
      <alignment horizontal="center"/>
    </xf>
    <xf numFmtId="0" fontId="20" fillId="18" borderId="161" xfId="0" applyFont="1" applyFill="1" applyBorder="1" applyAlignment="1">
      <alignment horizontal="center"/>
    </xf>
    <xf numFmtId="0" fontId="20" fillId="26" borderId="161" xfId="0" applyFont="1" applyFill="1" applyBorder="1"/>
    <xf numFmtId="0" fontId="20" fillId="18" borderId="161" xfId="0" applyFont="1" applyFill="1" applyBorder="1"/>
    <xf numFmtId="0" fontId="20" fillId="26" borderId="165" xfId="0" applyFont="1" applyFill="1" applyBorder="1"/>
    <xf numFmtId="0" fontId="20" fillId="18" borderId="162" xfId="0" applyFont="1" applyFill="1" applyBorder="1"/>
    <xf numFmtId="0" fontId="20" fillId="18" borderId="470" xfId="0" applyFont="1" applyFill="1" applyBorder="1"/>
    <xf numFmtId="0" fontId="20" fillId="18" borderId="165" xfId="0" applyFont="1" applyFill="1" applyBorder="1"/>
    <xf numFmtId="0" fontId="20" fillId="26" borderId="456" xfId="0" applyFont="1" applyFill="1" applyBorder="1"/>
    <xf numFmtId="0" fontId="20" fillId="30" borderId="0" xfId="0" applyFont="1" applyFill="1" applyBorder="1" applyAlignment="1">
      <alignment horizontal="center"/>
    </xf>
    <xf numFmtId="0" fontId="20" fillId="18" borderId="127" xfId="0" applyFont="1" applyFill="1" applyBorder="1" applyAlignment="1">
      <alignment horizontal="center" vertical="center"/>
    </xf>
    <xf numFmtId="0" fontId="20" fillId="18" borderId="0" xfId="0" applyFont="1" applyFill="1" applyBorder="1" applyAlignment="1">
      <alignment horizontal="center" vertical="center"/>
    </xf>
    <xf numFmtId="0" fontId="20" fillId="18" borderId="128" xfId="0" applyFont="1" applyFill="1" applyBorder="1" applyAlignment="1">
      <alignment horizontal="center" vertical="center"/>
    </xf>
    <xf numFmtId="0" fontId="20" fillId="18" borderId="127" xfId="0" applyFont="1" applyFill="1" applyBorder="1" applyAlignment="1">
      <alignment horizontal="center"/>
    </xf>
    <xf numFmtId="0" fontId="20" fillId="18" borderId="287" xfId="0" applyFont="1" applyFill="1" applyBorder="1" applyAlignment="1">
      <alignment horizontal="center"/>
    </xf>
    <xf numFmtId="0" fontId="20" fillId="18" borderId="128" xfId="0" applyFont="1" applyFill="1" applyBorder="1" applyAlignment="1">
      <alignment horizontal="center"/>
    </xf>
    <xf numFmtId="0" fontId="20" fillId="18" borderId="154" xfId="0" applyFont="1" applyFill="1" applyBorder="1" applyAlignment="1">
      <alignment horizontal="center" vertical="center"/>
    </xf>
    <xf numFmtId="0" fontId="20" fillId="18" borderId="154" xfId="0" applyFont="1" applyFill="1" applyBorder="1" applyAlignment="1">
      <alignment horizontal="center"/>
    </xf>
    <xf numFmtId="0" fontId="20" fillId="18" borderId="47" xfId="0" applyFont="1" applyFill="1" applyBorder="1" applyAlignment="1">
      <alignment horizontal="center"/>
    </xf>
    <xf numFmtId="0" fontId="20" fillId="5" borderId="0" xfId="0" applyFont="1" applyFill="1" applyBorder="1" applyAlignment="1">
      <alignment horizontal="center" vertical="center"/>
    </xf>
    <xf numFmtId="0" fontId="20" fillId="18" borderId="161" xfId="0" applyFont="1" applyFill="1" applyBorder="1" applyAlignment="1">
      <alignment horizontal="center" vertical="center"/>
    </xf>
    <xf numFmtId="0" fontId="20" fillId="18" borderId="160" xfId="0" applyFont="1" applyFill="1" applyBorder="1" applyAlignment="1">
      <alignment horizontal="center"/>
    </xf>
    <xf numFmtId="0" fontId="20" fillId="10" borderId="0" xfId="0" applyFont="1" applyFill="1" applyAlignment="1">
      <alignment horizontal="center" vertical="center"/>
    </xf>
    <xf numFmtId="164" fontId="20" fillId="0" borderId="0" xfId="1" applyNumberFormat="1" applyFont="1" applyFill="1" applyBorder="1"/>
    <xf numFmtId="3" fontId="20" fillId="0" borderId="0" xfId="0" applyNumberFormat="1" applyFont="1" applyAlignment="1">
      <alignment horizontal="right"/>
    </xf>
    <xf numFmtId="3" fontId="20" fillId="0" borderId="0" xfId="0" applyNumberFormat="1" applyFont="1" applyAlignment="1">
      <alignment horizontal="center"/>
    </xf>
    <xf numFmtId="0" fontId="20" fillId="0" borderId="117" xfId="0" applyFont="1" applyBorder="1"/>
    <xf numFmtId="0" fontId="20" fillId="30" borderId="124" xfId="0" applyFont="1" applyFill="1" applyBorder="1"/>
    <xf numFmtId="0" fontId="20" fillId="30" borderId="147" xfId="0" applyFont="1" applyFill="1" applyBorder="1"/>
    <xf numFmtId="0" fontId="20" fillId="30" borderId="169" xfId="0" applyFont="1" applyFill="1" applyBorder="1"/>
    <xf numFmtId="0" fontId="20" fillId="30" borderId="148" xfId="0" applyFont="1" applyFill="1" applyBorder="1"/>
    <xf numFmtId="0" fontId="20" fillId="30" borderId="126" xfId="0" applyFont="1" applyFill="1" applyBorder="1"/>
    <xf numFmtId="0" fontId="20" fillId="25" borderId="0" xfId="0" applyFont="1" applyFill="1"/>
    <xf numFmtId="0" fontId="20" fillId="25" borderId="109" xfId="0" applyFont="1" applyFill="1" applyBorder="1"/>
    <xf numFmtId="0" fontId="20" fillId="25" borderId="113" xfId="0" applyFont="1" applyFill="1" applyBorder="1"/>
    <xf numFmtId="0" fontId="20" fillId="21" borderId="113" xfId="0" applyFont="1" applyFill="1" applyBorder="1"/>
    <xf numFmtId="0" fontId="20" fillId="21" borderId="114" xfId="0" applyFont="1" applyFill="1" applyBorder="1"/>
    <xf numFmtId="0" fontId="20" fillId="21" borderId="115" xfId="0" applyFont="1" applyFill="1" applyBorder="1"/>
    <xf numFmtId="0" fontId="20" fillId="20" borderId="113" xfId="0" applyFont="1" applyFill="1" applyBorder="1"/>
    <xf numFmtId="0" fontId="20" fillId="20" borderId="114" xfId="0" applyFont="1" applyFill="1" applyBorder="1"/>
    <xf numFmtId="0" fontId="20" fillId="20" borderId="115" xfId="0" applyFont="1" applyFill="1" applyBorder="1"/>
    <xf numFmtId="0" fontId="20" fillId="25" borderId="120" xfId="0" applyFont="1" applyFill="1" applyBorder="1"/>
    <xf numFmtId="0" fontId="20" fillId="22" borderId="122" xfId="0" applyFont="1" applyFill="1" applyBorder="1"/>
    <xf numFmtId="0" fontId="20" fillId="22" borderId="67" xfId="0" applyFont="1" applyFill="1" applyBorder="1"/>
    <xf numFmtId="0" fontId="20" fillId="22" borderId="108" xfId="0" applyFont="1" applyFill="1" applyBorder="1"/>
    <xf numFmtId="0" fontId="20" fillId="18" borderId="125" xfId="0" applyFont="1" applyFill="1" applyBorder="1"/>
    <xf numFmtId="0" fontId="20" fillId="10" borderId="125" xfId="0" applyFont="1" applyFill="1" applyBorder="1"/>
    <xf numFmtId="0" fontId="20" fillId="18" borderId="126" xfId="0" applyFont="1" applyFill="1" applyBorder="1"/>
    <xf numFmtId="0" fontId="20" fillId="20" borderId="120" xfId="0" applyFont="1" applyFill="1" applyBorder="1"/>
    <xf numFmtId="0" fontId="20" fillId="20" borderId="0" xfId="0" applyFont="1" applyFill="1" applyBorder="1"/>
    <xf numFmtId="0" fontId="20" fillId="20" borderId="109" xfId="0" applyFont="1" applyFill="1" applyBorder="1"/>
    <xf numFmtId="0" fontId="20" fillId="22" borderId="120" xfId="0" applyFont="1" applyFill="1" applyBorder="1"/>
    <xf numFmtId="0" fontId="20" fillId="22" borderId="0" xfId="0" applyFont="1" applyFill="1" applyBorder="1"/>
    <xf numFmtId="0" fontId="20" fillId="22" borderId="109" xfId="0" applyFont="1" applyFill="1" applyBorder="1"/>
    <xf numFmtId="0" fontId="20" fillId="25" borderId="109" xfId="0" applyFont="1" applyFill="1" applyBorder="1" applyAlignment="1">
      <alignment horizontal="center"/>
    </xf>
    <xf numFmtId="0" fontId="20" fillId="25" borderId="120" xfId="0" applyFont="1" applyFill="1" applyBorder="1" applyAlignment="1">
      <alignment horizontal="center"/>
    </xf>
    <xf numFmtId="0" fontId="20" fillId="18" borderId="0" xfId="0" applyFont="1" applyFill="1" applyBorder="1" applyAlignment="1">
      <alignment horizontal="left"/>
    </xf>
    <xf numFmtId="0" fontId="20" fillId="10" borderId="0" xfId="0" applyFont="1" applyFill="1" applyBorder="1" applyAlignment="1">
      <alignment horizontal="center" vertical="center"/>
    </xf>
    <xf numFmtId="0" fontId="20" fillId="20" borderId="120" xfId="0" applyFont="1" applyFill="1" applyBorder="1" applyAlignment="1">
      <alignment horizontal="center"/>
    </xf>
    <xf numFmtId="0" fontId="20" fillId="20" borderId="0" xfId="0" applyFont="1" applyFill="1" applyBorder="1" applyAlignment="1">
      <alignment horizontal="center"/>
    </xf>
    <xf numFmtId="0" fontId="20" fillId="20" borderId="109" xfId="0" applyFont="1" applyFill="1" applyBorder="1" applyAlignment="1">
      <alignment horizontal="center"/>
    </xf>
    <xf numFmtId="0" fontId="20" fillId="10" borderId="0" xfId="0" applyFont="1" applyFill="1" applyBorder="1" applyAlignment="1">
      <alignment horizontal="center"/>
    </xf>
    <xf numFmtId="0" fontId="20" fillId="22" borderId="120" xfId="0" applyFont="1" applyFill="1" applyBorder="1" applyAlignment="1">
      <alignment horizontal="center"/>
    </xf>
    <xf numFmtId="0" fontId="20" fillId="22" borderId="0" xfId="0" applyFont="1" applyFill="1" applyBorder="1" applyAlignment="1">
      <alignment horizontal="center"/>
    </xf>
    <xf numFmtId="0" fontId="20" fillId="22" borderId="109" xfId="0" applyFont="1" applyFill="1" applyBorder="1" applyAlignment="1">
      <alignment horizontal="center"/>
    </xf>
    <xf numFmtId="3" fontId="20" fillId="20" borderId="0" xfId="0" applyNumberFormat="1" applyFont="1" applyFill="1" applyBorder="1" applyAlignment="1">
      <alignment horizontal="left"/>
    </xf>
    <xf numFmtId="3" fontId="20" fillId="20" borderId="0" xfId="0" applyNumberFormat="1" applyFont="1" applyFill="1" applyBorder="1" applyAlignment="1">
      <alignment horizontal="center"/>
    </xf>
    <xf numFmtId="0" fontId="20" fillId="22" borderId="120" xfId="0" applyFont="1" applyFill="1" applyBorder="1" applyAlignment="1"/>
    <xf numFmtId="0" fontId="20" fillId="22" borderId="0" xfId="0" applyFont="1" applyFill="1" applyBorder="1" applyAlignment="1"/>
    <xf numFmtId="0" fontId="20" fillId="22" borderId="109" xfId="0" applyFont="1" applyFill="1" applyBorder="1" applyAlignment="1"/>
    <xf numFmtId="3" fontId="20" fillId="18" borderId="0" xfId="0" applyNumberFormat="1" applyFont="1" applyFill="1" applyBorder="1"/>
    <xf numFmtId="0" fontId="20" fillId="30" borderId="129" xfId="0" applyFont="1" applyFill="1" applyBorder="1"/>
    <xf numFmtId="0" fontId="20" fillId="18" borderId="129" xfId="0" applyFont="1" applyFill="1" applyBorder="1"/>
    <xf numFmtId="0" fontId="20" fillId="10" borderId="130" xfId="0" applyFont="1" applyFill="1" applyBorder="1"/>
    <xf numFmtId="0" fontId="20" fillId="20" borderId="116" xfId="0" applyFont="1" applyFill="1" applyBorder="1"/>
    <xf numFmtId="0" fontId="20" fillId="20" borderId="117" xfId="0" applyFont="1" applyFill="1" applyBorder="1"/>
    <xf numFmtId="0" fontId="20" fillId="20" borderId="118" xfId="0" applyFont="1" applyFill="1" applyBorder="1"/>
    <xf numFmtId="0" fontId="20" fillId="25" borderId="118" xfId="0" applyFont="1" applyFill="1" applyBorder="1"/>
    <xf numFmtId="0" fontId="20" fillId="25" borderId="116" xfId="0" applyFont="1" applyFill="1" applyBorder="1"/>
    <xf numFmtId="0" fontId="20" fillId="22" borderId="116" xfId="0" applyFont="1" applyFill="1" applyBorder="1"/>
    <xf numFmtId="0" fontId="20" fillId="22" borderId="117" xfId="0" applyFont="1" applyFill="1" applyBorder="1"/>
    <xf numFmtId="0" fontId="20" fillId="22" borderId="118" xfId="0" applyFont="1" applyFill="1" applyBorder="1"/>
    <xf numFmtId="0" fontId="20" fillId="25" borderId="111" xfId="0" applyFont="1" applyFill="1" applyBorder="1"/>
    <xf numFmtId="0" fontId="20" fillId="25" borderId="121" xfId="0" applyFont="1" applyFill="1" applyBorder="1"/>
    <xf numFmtId="0" fontId="20" fillId="25" borderId="112" xfId="0" applyFont="1" applyFill="1" applyBorder="1"/>
    <xf numFmtId="0" fontId="20" fillId="0" borderId="48" xfId="0" applyFont="1" applyBorder="1"/>
    <xf numFmtId="0" fontId="20" fillId="5" borderId="209" xfId="0" applyFont="1" applyFill="1" applyBorder="1"/>
    <xf numFmtId="0" fontId="20" fillId="30" borderId="128" xfId="0" applyFont="1" applyFill="1" applyBorder="1" applyAlignment="1">
      <alignment horizontal="center" vertical="center"/>
    </xf>
    <xf numFmtId="0" fontId="20" fillId="5" borderId="210" xfId="0" applyFont="1" applyFill="1" applyBorder="1"/>
    <xf numFmtId="0" fontId="20" fillId="30" borderId="145" xfId="0" applyFont="1" applyFill="1" applyBorder="1" applyAlignment="1">
      <alignment vertical="center"/>
    </xf>
    <xf numFmtId="0" fontId="20" fillId="30" borderId="125" xfId="0" applyFont="1" applyFill="1" applyBorder="1" applyAlignment="1">
      <alignment vertical="center"/>
    </xf>
    <xf numFmtId="0" fontId="20" fillId="30" borderId="145" xfId="0" applyFont="1" applyFill="1" applyBorder="1" applyAlignment="1">
      <alignment horizontal="center" vertical="center"/>
    </xf>
    <xf numFmtId="0" fontId="20" fillId="30" borderId="191" xfId="0" applyFont="1" applyFill="1" applyBorder="1" applyAlignment="1">
      <alignment horizontal="center" vertical="center"/>
    </xf>
    <xf numFmtId="0" fontId="20" fillId="30" borderId="124" xfId="0" applyFont="1" applyFill="1" applyBorder="1" applyAlignment="1">
      <alignment vertical="center"/>
    </xf>
    <xf numFmtId="0" fontId="20" fillId="25" borderId="111" xfId="0" applyFont="1" applyFill="1" applyBorder="1" applyAlignment="1">
      <alignment vertical="center"/>
    </xf>
    <xf numFmtId="0" fontId="20" fillId="25" borderId="121" xfId="0" applyFont="1" applyFill="1" applyBorder="1" applyAlignment="1">
      <alignment horizontal="center" vertical="center"/>
    </xf>
    <xf numFmtId="0" fontId="20" fillId="25" borderId="121" xfId="0" applyFont="1" applyFill="1" applyBorder="1" applyAlignment="1">
      <alignment vertical="center"/>
    </xf>
    <xf numFmtId="0" fontId="20" fillId="25" borderId="112" xfId="0" applyFont="1" applyFill="1" applyBorder="1" applyAlignment="1">
      <alignment vertical="center"/>
    </xf>
    <xf numFmtId="0" fontId="20" fillId="30" borderId="125" xfId="0" applyFont="1" applyFill="1" applyBorder="1"/>
    <xf numFmtId="0" fontId="20" fillId="18" borderId="128" xfId="0" applyFont="1" applyFill="1" applyBorder="1" applyAlignment="1">
      <alignment vertical="center"/>
    </xf>
    <xf numFmtId="0" fontId="20" fillId="30" borderId="0" xfId="0" applyFont="1" applyFill="1" applyBorder="1" applyAlignment="1">
      <alignment vertical="center"/>
    </xf>
    <xf numFmtId="0" fontId="20" fillId="18" borderId="0" xfId="0" applyFont="1" applyFill="1" applyBorder="1" applyAlignment="1">
      <alignment vertical="center" wrapText="1"/>
    </xf>
    <xf numFmtId="0" fontId="20" fillId="18" borderId="128" xfId="0" applyFont="1" applyFill="1" applyBorder="1" applyAlignment="1">
      <alignment vertical="center" wrapText="1"/>
    </xf>
    <xf numFmtId="0" fontId="20" fillId="30" borderId="128" xfId="0" applyFont="1" applyFill="1" applyBorder="1" applyAlignment="1">
      <alignment vertical="center" wrapText="1"/>
    </xf>
    <xf numFmtId="0" fontId="20" fillId="30" borderId="0" xfId="0" applyFont="1" applyFill="1" applyBorder="1" applyAlignment="1">
      <alignment horizontal="center" vertical="center"/>
    </xf>
    <xf numFmtId="0" fontId="20" fillId="30" borderId="128" xfId="0" applyFont="1" applyFill="1" applyBorder="1" applyAlignment="1">
      <alignment vertical="center"/>
    </xf>
    <xf numFmtId="0" fontId="20" fillId="30" borderId="127" xfId="0" applyFont="1" applyFill="1" applyBorder="1" applyAlignment="1">
      <alignment horizontal="center"/>
    </xf>
    <xf numFmtId="0" fontId="20" fillId="18" borderId="127" xfId="0" applyFont="1" applyFill="1" applyBorder="1" applyAlignment="1"/>
    <xf numFmtId="0" fontId="20" fillId="18" borderId="128" xfId="0" applyFont="1" applyFill="1" applyBorder="1" applyAlignment="1"/>
    <xf numFmtId="3" fontId="20" fillId="18" borderId="0" xfId="0" applyNumberFormat="1" applyFont="1" applyFill="1" applyBorder="1" applyAlignment="1">
      <alignment horizontal="center" vertical="center"/>
    </xf>
    <xf numFmtId="3" fontId="20" fillId="18" borderId="127" xfId="0" applyNumberFormat="1" applyFont="1" applyFill="1" applyBorder="1" applyAlignment="1">
      <alignment horizontal="center" vertical="center"/>
    </xf>
    <xf numFmtId="3" fontId="20" fillId="18" borderId="0" xfId="0" applyNumberFormat="1" applyFont="1" applyFill="1" applyBorder="1" applyAlignment="1">
      <alignment vertical="center" wrapText="1"/>
    </xf>
    <xf numFmtId="3" fontId="20" fillId="20" borderId="109" xfId="0" applyNumberFormat="1" applyFont="1" applyFill="1" applyBorder="1" applyAlignment="1">
      <alignment horizontal="center"/>
    </xf>
    <xf numFmtId="3" fontId="20" fillId="30" borderId="0" xfId="0" applyNumberFormat="1" applyFont="1" applyFill="1" applyBorder="1" applyAlignment="1">
      <alignment horizontal="center"/>
    </xf>
    <xf numFmtId="3" fontId="20" fillId="18" borderId="127" xfId="0" applyNumberFormat="1" applyFont="1" applyFill="1" applyBorder="1" applyAlignment="1"/>
    <xf numFmtId="3" fontId="20" fillId="18" borderId="0" xfId="0" applyNumberFormat="1" applyFont="1" applyFill="1" applyBorder="1" applyAlignment="1"/>
    <xf numFmtId="3" fontId="20" fillId="18" borderId="128" xfId="0" applyNumberFormat="1" applyFont="1" applyFill="1" applyBorder="1" applyAlignment="1"/>
    <xf numFmtId="0" fontId="20" fillId="30" borderId="131" xfId="0" applyFont="1" applyFill="1" applyBorder="1"/>
    <xf numFmtId="0" fontId="20" fillId="30" borderId="166" xfId="0" applyFont="1" applyFill="1" applyBorder="1"/>
    <xf numFmtId="0" fontId="20" fillId="30" borderId="202" xfId="0" applyFont="1" applyFill="1" applyBorder="1"/>
    <xf numFmtId="0" fontId="20" fillId="30" borderId="167" xfId="0" applyFont="1" applyFill="1" applyBorder="1"/>
    <xf numFmtId="0" fontId="20" fillId="0" borderId="125" xfId="0" applyFont="1" applyBorder="1"/>
    <xf numFmtId="0" fontId="20" fillId="0" borderId="226" xfId="0" applyFont="1" applyBorder="1"/>
    <xf numFmtId="0" fontId="20" fillId="0" borderId="150" xfId="0" applyFont="1" applyBorder="1"/>
    <xf numFmtId="0" fontId="20" fillId="25" borderId="214" xfId="0" applyFont="1" applyFill="1" applyBorder="1"/>
    <xf numFmtId="0" fontId="20" fillId="10" borderId="150" xfId="0" applyFont="1" applyFill="1" applyBorder="1"/>
    <xf numFmtId="0" fontId="20" fillId="20" borderId="0" xfId="0" applyFont="1" applyFill="1"/>
    <xf numFmtId="0" fontId="20" fillId="25" borderId="215" xfId="0" applyFont="1" applyFill="1" applyBorder="1"/>
    <xf numFmtId="0" fontId="20" fillId="10" borderId="63" xfId="0" applyFont="1" applyFill="1" applyBorder="1"/>
    <xf numFmtId="0" fontId="20" fillId="10" borderId="152" xfId="0" applyFont="1" applyFill="1" applyBorder="1"/>
    <xf numFmtId="0" fontId="20" fillId="20" borderId="0" xfId="0" applyFont="1" applyFill="1" applyAlignment="1">
      <alignment horizontal="center"/>
    </xf>
    <xf numFmtId="0" fontId="20" fillId="25" borderId="215" xfId="0" applyFont="1" applyFill="1" applyBorder="1" applyAlignment="1">
      <alignment horizontal="center"/>
    </xf>
    <xf numFmtId="0" fontId="20" fillId="10" borderId="63" xfId="0" applyFont="1" applyFill="1" applyBorder="1" applyAlignment="1">
      <alignment horizontal="center"/>
    </xf>
    <xf numFmtId="0" fontId="20" fillId="10" borderId="150" xfId="0" applyFont="1" applyFill="1" applyBorder="1" applyAlignment="1">
      <alignment horizontal="center"/>
    </xf>
    <xf numFmtId="0" fontId="20" fillId="31" borderId="0" xfId="0" applyFont="1" applyFill="1" applyBorder="1" applyAlignment="1">
      <alignment horizontal="center"/>
    </xf>
    <xf numFmtId="0" fontId="20" fillId="20" borderId="0" xfId="0" applyFont="1" applyFill="1" applyAlignment="1"/>
    <xf numFmtId="3" fontId="20" fillId="20" borderId="0" xfId="0" applyNumberFormat="1" applyFont="1" applyFill="1" applyAlignment="1">
      <alignment horizontal="left" wrapText="1"/>
    </xf>
    <xf numFmtId="3" fontId="20" fillId="20" borderId="0" xfId="0" applyNumberFormat="1" applyFont="1" applyFill="1" applyAlignment="1">
      <alignment wrapText="1"/>
    </xf>
    <xf numFmtId="0" fontId="20" fillId="20" borderId="0" xfId="0" applyFont="1" applyFill="1" applyAlignment="1">
      <alignment wrapText="1"/>
    </xf>
    <xf numFmtId="0" fontId="20" fillId="20" borderId="0" xfId="0" applyFont="1" applyFill="1" applyAlignment="1">
      <alignment horizontal="center" wrapText="1"/>
    </xf>
    <xf numFmtId="0" fontId="20" fillId="10" borderId="155" xfId="0" applyFont="1" applyFill="1" applyBorder="1"/>
    <xf numFmtId="0" fontId="20" fillId="25" borderId="216" xfId="0" applyFont="1" applyFill="1" applyBorder="1"/>
    <xf numFmtId="0" fontId="20" fillId="10" borderId="225" xfId="0" applyFont="1" applyFill="1" applyBorder="1"/>
    <xf numFmtId="0" fontId="20" fillId="10" borderId="226" xfId="0" applyFont="1" applyFill="1" applyBorder="1"/>
    <xf numFmtId="0" fontId="20" fillId="10" borderId="227" xfId="0" applyFont="1" applyFill="1" applyBorder="1"/>
    <xf numFmtId="0" fontId="20" fillId="5" borderId="337" xfId="0" applyFont="1" applyFill="1" applyBorder="1"/>
    <xf numFmtId="0" fontId="20" fillId="5" borderId="221" xfId="0" applyFont="1" applyFill="1" applyBorder="1" applyAlignment="1">
      <alignment horizontal="center" vertical="center"/>
    </xf>
    <xf numFmtId="0" fontId="20" fillId="19" borderId="338" xfId="0" applyFont="1" applyFill="1" applyBorder="1" applyAlignment="1">
      <alignment horizontal="center" vertical="center"/>
    </xf>
    <xf numFmtId="0" fontId="20" fillId="31" borderId="154" xfId="0" applyFont="1" applyFill="1" applyBorder="1" applyAlignment="1">
      <alignment horizontal="center" vertical="center"/>
    </xf>
    <xf numFmtId="0" fontId="20" fillId="5" borderId="0" xfId="0" applyFont="1" applyFill="1" applyBorder="1"/>
    <xf numFmtId="0" fontId="20" fillId="19" borderId="0" xfId="0" applyFont="1" applyFill="1" applyBorder="1" applyAlignment="1">
      <alignment horizontal="center" vertical="center"/>
    </xf>
    <xf numFmtId="0" fontId="20" fillId="31" borderId="175" xfId="0" applyFont="1" applyFill="1" applyBorder="1" applyAlignment="1">
      <alignment horizontal="center" vertical="center"/>
    </xf>
    <xf numFmtId="0" fontId="20" fillId="31" borderId="172" xfId="0" applyFont="1" applyFill="1" applyBorder="1" applyAlignment="1">
      <alignment horizontal="center" vertical="center"/>
    </xf>
    <xf numFmtId="0" fontId="20" fillId="31" borderId="173" xfId="0" applyFont="1" applyFill="1" applyBorder="1" applyAlignment="1">
      <alignment horizontal="center" vertical="center"/>
    </xf>
    <xf numFmtId="0" fontId="20" fillId="31" borderId="174" xfId="0" applyFont="1" applyFill="1" applyBorder="1" applyAlignment="1">
      <alignment horizontal="center" vertical="center"/>
    </xf>
    <xf numFmtId="0" fontId="20" fillId="25" borderId="112" xfId="0" applyFont="1" applyFill="1" applyBorder="1" applyAlignment="1">
      <alignment horizontal="center" vertical="center"/>
    </xf>
    <xf numFmtId="0" fontId="20" fillId="25" borderId="228" xfId="0" applyFont="1" applyFill="1" applyBorder="1" applyAlignment="1">
      <alignment horizontal="center" vertical="center"/>
    </xf>
    <xf numFmtId="0" fontId="20" fillId="31" borderId="252" xfId="0" applyFont="1" applyFill="1" applyBorder="1" applyAlignment="1">
      <alignment horizontal="center" vertical="center"/>
    </xf>
    <xf numFmtId="0" fontId="20" fillId="34" borderId="0" xfId="0" applyFont="1" applyFill="1" applyBorder="1" applyAlignment="1">
      <alignment horizontal="center" vertical="center"/>
    </xf>
    <xf numFmtId="0" fontId="20" fillId="22" borderId="114" xfId="0" applyFont="1" applyFill="1" applyBorder="1"/>
    <xf numFmtId="0" fontId="20" fillId="22" borderId="223" xfId="0" applyFont="1" applyFill="1" applyBorder="1"/>
    <xf numFmtId="0" fontId="20" fillId="22" borderId="150" xfId="0" applyFont="1" applyFill="1" applyBorder="1"/>
    <xf numFmtId="0" fontId="20" fillId="18" borderId="150" xfId="0" applyFont="1" applyFill="1" applyBorder="1" applyAlignment="1">
      <alignment horizontal="center" vertical="center"/>
    </xf>
    <xf numFmtId="0" fontId="20" fillId="31" borderId="0" xfId="0" applyFont="1" applyFill="1" applyBorder="1" applyAlignment="1">
      <alignment horizontal="center" vertical="center"/>
    </xf>
    <xf numFmtId="0" fontId="20" fillId="31" borderId="150" xfId="0" applyFont="1" applyFill="1" applyBorder="1" applyAlignment="1">
      <alignment horizontal="center" vertical="center"/>
    </xf>
    <xf numFmtId="0" fontId="20" fillId="22" borderId="154" xfId="0" applyFont="1" applyFill="1" applyBorder="1" applyAlignment="1">
      <alignment vertical="center"/>
    </xf>
    <xf numFmtId="0" fontId="20" fillId="22" borderId="0" xfId="0" applyFont="1" applyFill="1" applyBorder="1" applyAlignment="1">
      <alignment vertical="center"/>
    </xf>
    <xf numFmtId="0" fontId="20" fillId="22" borderId="0" xfId="0" applyFont="1" applyFill="1"/>
    <xf numFmtId="0" fontId="20" fillId="22" borderId="150" xfId="0" applyFont="1" applyFill="1" applyBorder="1" applyAlignment="1">
      <alignment vertical="center"/>
    </xf>
    <xf numFmtId="0" fontId="20" fillId="31" borderId="0" xfId="0" applyFont="1" applyFill="1" applyBorder="1" applyAlignment="1">
      <alignment vertical="center"/>
    </xf>
    <xf numFmtId="3" fontId="20" fillId="18" borderId="150" xfId="0" applyNumberFormat="1" applyFont="1" applyFill="1" applyBorder="1" applyAlignment="1">
      <alignment horizontal="center" vertical="center"/>
    </xf>
    <xf numFmtId="3" fontId="20" fillId="31" borderId="0" xfId="0" applyNumberFormat="1" applyFont="1" applyFill="1" applyBorder="1" applyAlignment="1">
      <alignment horizontal="center" vertical="center"/>
    </xf>
    <xf numFmtId="3" fontId="20" fillId="18" borderId="154" xfId="0" applyNumberFormat="1" applyFont="1" applyFill="1" applyBorder="1" applyAlignment="1">
      <alignment horizontal="center" vertical="center"/>
    </xf>
    <xf numFmtId="3" fontId="20" fillId="31" borderId="150" xfId="0" applyNumberFormat="1" applyFont="1" applyFill="1" applyBorder="1" applyAlignment="1">
      <alignment horizontal="center" vertical="center"/>
    </xf>
    <xf numFmtId="3" fontId="20" fillId="22" borderId="0" xfId="0" applyNumberFormat="1" applyFont="1" applyFill="1" applyBorder="1" applyAlignment="1">
      <alignment horizontal="center" vertical="center"/>
    </xf>
    <xf numFmtId="3" fontId="20" fillId="22" borderId="0" xfId="0" applyNumberFormat="1" applyFont="1" applyFill="1" applyBorder="1" applyAlignment="1">
      <alignment horizontal="left" vertical="center"/>
    </xf>
    <xf numFmtId="0" fontId="20" fillId="22" borderId="230" xfId="0" applyFont="1" applyFill="1" applyBorder="1"/>
    <xf numFmtId="0" fontId="20" fillId="25" borderId="171" xfId="0" applyFont="1" applyFill="1" applyBorder="1"/>
    <xf numFmtId="0" fontId="20" fillId="25" borderId="229" xfId="0" applyFont="1" applyFill="1" applyBorder="1"/>
    <xf numFmtId="0" fontId="20" fillId="0" borderId="0" xfId="0" applyFont="1" applyBorder="1" applyAlignment="1">
      <alignment horizontal="right"/>
    </xf>
    <xf numFmtId="0" fontId="20" fillId="0" borderId="163" xfId="0" applyFont="1" applyBorder="1"/>
    <xf numFmtId="0" fontId="20" fillId="26" borderId="159" xfId="0" applyFont="1" applyFill="1" applyBorder="1"/>
    <xf numFmtId="0" fontId="26" fillId="21" borderId="121" xfId="0" applyFont="1" applyFill="1" applyBorder="1"/>
    <xf numFmtId="0" fontId="26" fillId="25" borderId="214" xfId="0" applyFont="1" applyFill="1" applyBorder="1"/>
    <xf numFmtId="0" fontId="20" fillId="10" borderId="233" xfId="0" applyFont="1" applyFill="1" applyBorder="1"/>
    <xf numFmtId="0" fontId="20" fillId="10" borderId="341" xfId="0" applyFont="1" applyFill="1" applyBorder="1"/>
    <xf numFmtId="0" fontId="20" fillId="25" borderId="115" xfId="0" applyFont="1" applyFill="1" applyBorder="1"/>
    <xf numFmtId="0" fontId="20" fillId="18" borderId="157" xfId="0" applyFont="1" applyFill="1" applyBorder="1"/>
    <xf numFmtId="0" fontId="20" fillId="10" borderId="158" xfId="0" applyFont="1" applyFill="1" applyBorder="1"/>
    <xf numFmtId="0" fontId="20" fillId="10" borderId="123" xfId="0" applyFont="1" applyFill="1" applyBorder="1"/>
    <xf numFmtId="0" fontId="20" fillId="25" borderId="0" xfId="0" applyFont="1" applyFill="1" applyBorder="1"/>
    <xf numFmtId="0" fontId="20" fillId="20" borderId="122" xfId="0" applyFont="1" applyFill="1" applyBorder="1"/>
    <xf numFmtId="0" fontId="20" fillId="20" borderId="67" xfId="0" applyFont="1" applyFill="1" applyBorder="1"/>
    <xf numFmtId="0" fontId="20" fillId="10" borderId="67" xfId="0" applyFont="1" applyFill="1" applyBorder="1"/>
    <xf numFmtId="0" fontId="20" fillId="20" borderId="108" xfId="0" applyFont="1" applyFill="1" applyBorder="1"/>
    <xf numFmtId="0" fontId="20" fillId="10" borderId="123" xfId="0" applyFont="1" applyFill="1" applyBorder="1" applyAlignment="1">
      <alignment horizontal="center"/>
    </xf>
    <xf numFmtId="0" fontId="20" fillId="25" borderId="0" xfId="0" applyFont="1" applyFill="1" applyBorder="1" applyAlignment="1">
      <alignment horizontal="center"/>
    </xf>
    <xf numFmtId="0" fontId="20" fillId="22" borderId="0" xfId="0" applyFont="1" applyFill="1" applyAlignment="1"/>
    <xf numFmtId="0" fontId="20" fillId="10" borderId="0" xfId="0" applyFont="1" applyFill="1" applyAlignment="1">
      <alignment horizontal="center"/>
    </xf>
    <xf numFmtId="0" fontId="20" fillId="20" borderId="0" xfId="0" applyFont="1" applyFill="1" applyBorder="1" applyAlignment="1"/>
    <xf numFmtId="3" fontId="20" fillId="22" borderId="0" xfId="0" applyNumberFormat="1" applyFont="1" applyFill="1" applyAlignment="1">
      <alignment horizontal="left"/>
    </xf>
    <xf numFmtId="3" fontId="20" fillId="20" borderId="0" xfId="0" applyNumberFormat="1" applyFont="1" applyFill="1" applyBorder="1" applyAlignment="1"/>
    <xf numFmtId="0" fontId="20" fillId="10" borderId="117" xfId="0" applyFont="1" applyFill="1" applyBorder="1"/>
    <xf numFmtId="0" fontId="20" fillId="25" borderId="117" xfId="0" applyFont="1" applyFill="1" applyBorder="1"/>
    <xf numFmtId="0" fontId="20" fillId="26" borderId="161" xfId="0" applyFont="1" applyFill="1" applyBorder="1" applyAlignment="1">
      <alignment horizontal="center" vertical="center"/>
    </xf>
    <xf numFmtId="0" fontId="20" fillId="34" borderId="161" xfId="0" applyFont="1" applyFill="1" applyBorder="1" applyAlignment="1">
      <alignment horizontal="center" vertical="center"/>
    </xf>
    <xf numFmtId="0" fontId="20" fillId="25" borderId="231" xfId="0" applyFont="1" applyFill="1" applyBorder="1" applyAlignment="1">
      <alignment horizontal="center" vertical="center"/>
    </xf>
    <xf numFmtId="0" fontId="20" fillId="25" borderId="111" xfId="0" applyFont="1" applyFill="1" applyBorder="1" applyAlignment="1">
      <alignment horizontal="center" vertical="center"/>
    </xf>
    <xf numFmtId="0" fontId="20" fillId="25" borderId="234" xfId="0" applyFont="1" applyFill="1" applyBorder="1" applyAlignment="1">
      <alignment horizontal="center" vertical="center"/>
    </xf>
    <xf numFmtId="0" fontId="20" fillId="26" borderId="178" xfId="0" applyFont="1" applyFill="1" applyBorder="1" applyAlignment="1">
      <alignment horizontal="center" vertical="center"/>
    </xf>
    <xf numFmtId="0" fontId="20" fillId="26" borderId="176" xfId="0" applyFont="1" applyFill="1" applyBorder="1" applyAlignment="1">
      <alignment horizontal="center" vertical="center"/>
    </xf>
    <xf numFmtId="0" fontId="20" fillId="26" borderId="177" xfId="0" applyFont="1" applyFill="1" applyBorder="1" applyAlignment="1">
      <alignment horizontal="center" vertical="center"/>
    </xf>
    <xf numFmtId="0" fontId="20" fillId="26" borderId="157" xfId="0" applyFont="1" applyFill="1" applyBorder="1"/>
    <xf numFmtId="0" fontId="20" fillId="20" borderId="161" xfId="0" applyFont="1" applyFill="1" applyBorder="1"/>
    <xf numFmtId="0" fontId="20" fillId="26" borderId="0" xfId="0" applyFont="1" applyFill="1"/>
    <xf numFmtId="0" fontId="20" fillId="20" borderId="0" xfId="0" applyFont="1" applyFill="1" applyAlignment="1">
      <alignment vertical="center" wrapText="1"/>
    </xf>
    <xf numFmtId="0" fontId="20" fillId="20" borderId="0" xfId="0" applyFont="1" applyFill="1" applyAlignment="1">
      <alignment vertical="center"/>
    </xf>
    <xf numFmtId="0" fontId="20" fillId="20" borderId="0" xfId="0" applyFont="1" applyFill="1" applyAlignment="1">
      <alignment horizontal="center" vertical="center"/>
    </xf>
    <xf numFmtId="0" fontId="20" fillId="20" borderId="161" xfId="0" applyFont="1" applyFill="1" applyBorder="1" applyAlignment="1">
      <alignment horizontal="right"/>
    </xf>
    <xf numFmtId="0" fontId="20" fillId="26" borderId="0" xfId="0" applyFont="1" applyFill="1" applyAlignment="1">
      <alignment horizontal="right"/>
    </xf>
    <xf numFmtId="3" fontId="20" fillId="18" borderId="161" xfId="0" applyNumberFormat="1" applyFont="1" applyFill="1" applyBorder="1" applyAlignment="1">
      <alignment horizontal="center" vertical="center"/>
    </xf>
    <xf numFmtId="3" fontId="20" fillId="26" borderId="161" xfId="0" applyNumberFormat="1" applyFont="1" applyFill="1" applyBorder="1" applyAlignment="1">
      <alignment horizontal="center" vertical="center"/>
    </xf>
    <xf numFmtId="3" fontId="20" fillId="20" borderId="0" xfId="0" applyNumberFormat="1" applyFont="1" applyFill="1" applyAlignment="1">
      <alignment vertical="center" wrapText="1"/>
    </xf>
    <xf numFmtId="3" fontId="20" fillId="20" borderId="0" xfId="0" applyNumberFormat="1" applyFont="1" applyFill="1" applyAlignment="1">
      <alignment horizontal="left" vertical="center"/>
    </xf>
    <xf numFmtId="3" fontId="20" fillId="20" borderId="0" xfId="0" applyNumberFormat="1" applyFont="1" applyFill="1" applyAlignment="1">
      <alignment vertical="center"/>
    </xf>
    <xf numFmtId="3" fontId="20" fillId="20" borderId="0" xfId="0" applyNumberFormat="1" applyFont="1" applyFill="1" applyAlignment="1">
      <alignment horizontal="center" vertical="center"/>
    </xf>
    <xf numFmtId="3" fontId="20" fillId="20" borderId="161" xfId="0" applyNumberFormat="1" applyFont="1" applyFill="1" applyBorder="1"/>
    <xf numFmtId="3" fontId="20" fillId="26" borderId="0" xfId="0" applyNumberFormat="1" applyFont="1" applyFill="1"/>
    <xf numFmtId="0" fontId="20" fillId="26" borderId="266" xfId="0" applyFont="1" applyFill="1" applyBorder="1"/>
    <xf numFmtId="0" fontId="20" fillId="20" borderId="232" xfId="0" applyFont="1" applyFill="1" applyBorder="1"/>
    <xf numFmtId="0" fontId="20" fillId="21" borderId="121" xfId="0" applyFont="1" applyFill="1" applyBorder="1"/>
    <xf numFmtId="0" fontId="20" fillId="21" borderId="232" xfId="0" applyFont="1" applyFill="1" applyBorder="1"/>
    <xf numFmtId="0" fontId="20" fillId="25" borderId="110" xfId="0" applyFont="1" applyFill="1" applyBorder="1"/>
    <xf numFmtId="0" fontId="20" fillId="30" borderId="246" xfId="0" applyFont="1" applyFill="1" applyBorder="1"/>
    <xf numFmtId="0" fontId="20" fillId="0" borderId="127" xfId="0" applyFont="1" applyBorder="1"/>
    <xf numFmtId="0" fontId="20" fillId="18" borderId="136" xfId="0" applyFont="1" applyFill="1" applyBorder="1"/>
    <xf numFmtId="0" fontId="20" fillId="18" borderId="239" xfId="0" applyFont="1" applyFill="1" applyBorder="1"/>
    <xf numFmtId="0" fontId="20" fillId="18" borderId="401" xfId="0" applyFont="1" applyFill="1" applyBorder="1"/>
    <xf numFmtId="0" fontId="20" fillId="18" borderId="132" xfId="0" applyFont="1" applyFill="1" applyBorder="1"/>
    <xf numFmtId="0" fontId="20" fillId="18" borderId="137" xfId="0" applyFont="1" applyFill="1" applyBorder="1"/>
    <xf numFmtId="0" fontId="20" fillId="18" borderId="133" xfId="0" applyFont="1" applyFill="1" applyBorder="1"/>
    <xf numFmtId="0" fontId="20" fillId="18" borderId="342" xfId="0" applyFont="1" applyFill="1" applyBorder="1"/>
    <xf numFmtId="0" fontId="20" fillId="18" borderId="292" xfId="0" applyFont="1" applyFill="1" applyBorder="1"/>
    <xf numFmtId="0" fontId="20" fillId="18" borderId="138" xfId="0" applyFont="1" applyFill="1" applyBorder="1"/>
    <xf numFmtId="0" fontId="20" fillId="10" borderId="203" xfId="0" applyFont="1" applyFill="1" applyBorder="1"/>
    <xf numFmtId="0" fontId="20" fillId="30" borderId="207" xfId="0" applyFont="1" applyFill="1" applyBorder="1"/>
    <xf numFmtId="3" fontId="20" fillId="20" borderId="0" xfId="0" applyNumberFormat="1" applyFont="1" applyFill="1" applyAlignment="1">
      <alignment horizontal="left"/>
    </xf>
    <xf numFmtId="3" fontId="20" fillId="20" borderId="0" xfId="0" applyNumberFormat="1" applyFont="1" applyFill="1" applyAlignment="1">
      <alignment horizontal="center"/>
    </xf>
    <xf numFmtId="0" fontId="20" fillId="30" borderId="242" xfId="0" applyFont="1" applyFill="1" applyBorder="1"/>
    <xf numFmtId="0" fontId="20" fillId="30" borderId="168" xfId="0" applyFont="1" applyFill="1" applyBorder="1" applyAlignment="1">
      <alignment horizontal="center" vertical="center"/>
    </xf>
    <xf numFmtId="0" fontId="20" fillId="30" borderId="144" xfId="0" applyFont="1" applyFill="1" applyBorder="1" applyAlignment="1">
      <alignment horizontal="center" vertical="center"/>
    </xf>
    <xf numFmtId="0" fontId="20" fillId="30" borderId="126" xfId="0" applyFont="1" applyFill="1" applyBorder="1" applyAlignment="1">
      <alignment horizontal="center" vertical="center"/>
    </xf>
    <xf numFmtId="0" fontId="20" fillId="18" borderId="403" xfId="0" applyFont="1" applyFill="1" applyBorder="1"/>
    <xf numFmtId="0" fontId="20" fillId="18" borderId="249" xfId="0" applyFont="1" applyFill="1" applyBorder="1"/>
    <xf numFmtId="0" fontId="20" fillId="18" borderId="346" xfId="0" applyFont="1" applyFill="1" applyBorder="1"/>
    <xf numFmtId="0" fontId="20" fillId="18" borderId="345" xfId="0" applyFont="1" applyFill="1" applyBorder="1"/>
    <xf numFmtId="0" fontId="20" fillId="18" borderId="295" xfId="0" applyFont="1" applyFill="1" applyBorder="1"/>
    <xf numFmtId="0" fontId="20" fillId="30" borderId="243" xfId="0" applyFont="1" applyFill="1" applyBorder="1"/>
    <xf numFmtId="0" fontId="20" fillId="18" borderId="404" xfId="0" applyFont="1" applyFill="1" applyBorder="1" applyAlignment="1">
      <alignment horizontal="center"/>
    </xf>
    <xf numFmtId="0" fontId="20" fillId="18" borderId="258" xfId="0" applyFont="1" applyFill="1" applyBorder="1" applyAlignment="1">
      <alignment horizontal="center"/>
    </xf>
    <xf numFmtId="0" fontId="20" fillId="18" borderId="402" xfId="0" applyFont="1" applyFill="1" applyBorder="1" applyAlignment="1">
      <alignment horizontal="center"/>
    </xf>
    <xf numFmtId="0" fontId="20" fillId="30" borderId="207" xfId="0" applyFont="1" applyFill="1" applyBorder="1" applyAlignment="1">
      <alignment horizontal="center"/>
    </xf>
    <xf numFmtId="3" fontId="20" fillId="18" borderId="0" xfId="0" applyNumberFormat="1" applyFont="1" applyFill="1" applyBorder="1" applyAlignment="1">
      <alignment horizontal="left"/>
    </xf>
    <xf numFmtId="3" fontId="20" fillId="18" borderId="127" xfId="0" applyNumberFormat="1" applyFont="1" applyFill="1" applyBorder="1" applyAlignment="1">
      <alignment horizontal="center"/>
    </xf>
    <xf numFmtId="0" fontId="20" fillId="18" borderId="404" xfId="0" applyFont="1" applyFill="1" applyBorder="1"/>
    <xf numFmtId="0" fontId="20" fillId="18" borderId="405" xfId="0" applyFont="1" applyFill="1" applyBorder="1"/>
    <xf numFmtId="0" fontId="20" fillId="18" borderId="248" xfId="0" applyFont="1" applyFill="1" applyBorder="1"/>
    <xf numFmtId="0" fontId="20" fillId="18" borderId="135" xfId="0" applyFont="1" applyFill="1" applyBorder="1"/>
    <xf numFmtId="0" fontId="20" fillId="18" borderId="348" xfId="0" applyFont="1" applyFill="1" applyBorder="1"/>
    <xf numFmtId="0" fontId="20" fillId="18" borderId="206" xfId="0" applyFont="1" applyFill="1" applyBorder="1"/>
    <xf numFmtId="0" fontId="20" fillId="30" borderId="238" xfId="0" applyFont="1" applyFill="1" applyBorder="1"/>
    <xf numFmtId="0" fontId="20" fillId="0" borderId="0" xfId="0" applyFont="1" applyBorder="1" applyAlignment="1">
      <alignment horizontal="center"/>
    </xf>
    <xf numFmtId="0" fontId="20" fillId="0" borderId="125" xfId="0" applyFont="1" applyBorder="1" applyAlignment="1">
      <alignment horizontal="center"/>
    </xf>
    <xf numFmtId="0" fontId="20" fillId="30" borderId="191" xfId="0" applyFont="1" applyFill="1" applyBorder="1"/>
    <xf numFmtId="0" fontId="20" fillId="25" borderId="66" xfId="0" applyFont="1" applyFill="1" applyBorder="1"/>
    <xf numFmtId="0" fontId="20" fillId="25" borderId="351" xfId="0" applyFont="1" applyFill="1" applyBorder="1"/>
    <xf numFmtId="0" fontId="20" fillId="25" borderId="352" xfId="0" applyFont="1" applyFill="1" applyBorder="1"/>
    <xf numFmtId="0" fontId="20" fillId="10" borderId="109" xfId="0" applyFont="1" applyFill="1" applyBorder="1"/>
    <xf numFmtId="0" fontId="20" fillId="30" borderId="60" xfId="0" applyFont="1" applyFill="1" applyBorder="1"/>
    <xf numFmtId="0" fontId="20" fillId="18" borderId="349" xfId="0" applyFont="1" applyFill="1" applyBorder="1"/>
    <xf numFmtId="0" fontId="20" fillId="22" borderId="0" xfId="0" applyFont="1" applyFill="1" applyAlignment="1">
      <alignment horizontal="center"/>
    </xf>
    <xf numFmtId="0" fontId="20" fillId="10" borderId="120" xfId="0" applyFont="1" applyFill="1" applyBorder="1"/>
    <xf numFmtId="0" fontId="20" fillId="34" borderId="128" xfId="0" applyFont="1" applyFill="1" applyBorder="1" applyAlignment="1">
      <alignment horizontal="center" vertical="center"/>
    </xf>
    <xf numFmtId="0" fontId="20" fillId="25" borderId="0" xfId="0" applyFont="1" applyFill="1" applyBorder="1" applyAlignment="1">
      <alignment horizontal="center" vertical="center"/>
    </xf>
    <xf numFmtId="0" fontId="20" fillId="18" borderId="296" xfId="0" applyFont="1" applyFill="1" applyBorder="1"/>
    <xf numFmtId="0" fontId="20" fillId="18" borderId="201" xfId="0" applyFont="1" applyFill="1" applyBorder="1"/>
    <xf numFmtId="0" fontId="20" fillId="18" borderId="63" xfId="0" applyFont="1" applyFill="1" applyBorder="1"/>
    <xf numFmtId="0" fontId="20" fillId="18" borderId="63" xfId="0" applyFont="1" applyFill="1" applyBorder="1" applyAlignment="1">
      <alignment horizontal="center"/>
    </xf>
    <xf numFmtId="0" fontId="20" fillId="18" borderId="350" xfId="0" applyFont="1" applyFill="1" applyBorder="1"/>
    <xf numFmtId="0" fontId="20" fillId="18" borderId="304" xfId="0" applyFont="1" applyFill="1" applyBorder="1"/>
    <xf numFmtId="0" fontId="20" fillId="0" borderId="0" xfId="0" applyFont="1" applyAlignment="1">
      <alignment horizontal="center"/>
    </xf>
    <xf numFmtId="0" fontId="20" fillId="31" borderId="361" xfId="0" applyFont="1" applyFill="1" applyBorder="1"/>
    <xf numFmtId="0" fontId="20" fillId="25" borderId="68" xfId="0" applyFont="1" applyFill="1" applyBorder="1"/>
    <xf numFmtId="0" fontId="20" fillId="25" borderId="363" xfId="0" applyFont="1" applyFill="1" applyBorder="1"/>
    <xf numFmtId="0" fontId="20" fillId="25" borderId="69" xfId="0" applyFont="1" applyFill="1" applyBorder="1"/>
    <xf numFmtId="0" fontId="20" fillId="25" borderId="251" xfId="0" applyFont="1" applyFill="1" applyBorder="1"/>
    <xf numFmtId="0" fontId="20" fillId="18" borderId="440" xfId="0" applyFont="1" applyFill="1" applyBorder="1"/>
    <xf numFmtId="0" fontId="20" fillId="18" borderId="370" xfId="0" applyFont="1" applyFill="1" applyBorder="1"/>
    <xf numFmtId="0" fontId="20" fillId="18" borderId="355" xfId="0" applyFont="1" applyFill="1" applyBorder="1"/>
    <xf numFmtId="0" fontId="20" fillId="31" borderId="362" xfId="0" applyFont="1" applyFill="1" applyBorder="1"/>
    <xf numFmtId="0" fontId="20" fillId="20" borderId="180" xfId="0" applyFont="1" applyFill="1" applyBorder="1"/>
    <xf numFmtId="0" fontId="20" fillId="20" borderId="356" xfId="0" applyFont="1" applyFill="1" applyBorder="1"/>
    <xf numFmtId="0" fontId="20" fillId="20" borderId="86" xfId="0" applyFont="1" applyFill="1" applyBorder="1"/>
    <xf numFmtId="0" fontId="20" fillId="20" borderId="256" xfId="0" applyFont="1" applyFill="1" applyBorder="1"/>
    <xf numFmtId="0" fontId="20" fillId="20" borderId="305" xfId="0" applyFont="1" applyFill="1" applyBorder="1"/>
    <xf numFmtId="0" fontId="20" fillId="20" borderId="261" xfId="0" applyFont="1" applyFill="1" applyBorder="1"/>
    <xf numFmtId="0" fontId="20" fillId="20" borderId="450" xfId="0" applyFont="1" applyFill="1" applyBorder="1"/>
    <xf numFmtId="0" fontId="20" fillId="20" borderId="308" xfId="0" applyFont="1" applyFill="1" applyBorder="1"/>
    <xf numFmtId="0" fontId="20" fillId="31" borderId="362" xfId="0" applyFont="1" applyFill="1" applyBorder="1" applyAlignment="1">
      <alignment horizontal="center"/>
    </xf>
    <xf numFmtId="0" fontId="20" fillId="20" borderId="48" xfId="0" applyFont="1" applyFill="1" applyBorder="1" applyAlignment="1">
      <alignment horizontal="center"/>
    </xf>
    <xf numFmtId="0" fontId="20" fillId="20" borderId="306" xfId="0" applyFont="1" applyFill="1" applyBorder="1" applyAlignment="1">
      <alignment horizontal="center"/>
    </xf>
    <xf numFmtId="0" fontId="20" fillId="20" borderId="70" xfId="0" applyFont="1" applyFill="1" applyBorder="1" applyAlignment="1">
      <alignment horizontal="center"/>
    </xf>
    <xf numFmtId="0" fontId="20" fillId="20" borderId="47" xfId="0" applyFont="1" applyFill="1" applyBorder="1" applyAlignment="1">
      <alignment horizontal="center"/>
    </xf>
    <xf numFmtId="0" fontId="20" fillId="20" borderId="453" xfId="0" applyFont="1" applyFill="1" applyBorder="1" applyAlignment="1">
      <alignment horizontal="center"/>
    </xf>
    <xf numFmtId="0" fontId="20" fillId="20" borderId="257" xfId="0" applyFont="1" applyFill="1" applyBorder="1" applyAlignment="1">
      <alignment horizontal="center"/>
    </xf>
    <xf numFmtId="0" fontId="20" fillId="20" borderId="307" xfId="0" applyFont="1" applyFill="1" applyBorder="1" applyAlignment="1">
      <alignment horizontal="center"/>
    </xf>
    <xf numFmtId="0" fontId="20" fillId="10" borderId="365" xfId="0" applyFont="1" applyFill="1" applyBorder="1" applyAlignment="1">
      <alignment horizontal="center"/>
    </xf>
    <xf numFmtId="0" fontId="20" fillId="20" borderId="48" xfId="0" applyFont="1" applyFill="1" applyBorder="1"/>
    <xf numFmtId="0" fontId="20" fillId="20" borderId="257" xfId="0" applyFont="1" applyFill="1" applyBorder="1"/>
    <xf numFmtId="0" fontId="20" fillId="20" borderId="307" xfId="0" applyFont="1" applyFill="1" applyBorder="1"/>
    <xf numFmtId="0" fontId="20" fillId="20" borderId="70" xfId="0" applyFont="1" applyFill="1" applyBorder="1"/>
    <xf numFmtId="0" fontId="20" fillId="20" borderId="47" xfId="0" applyFont="1" applyFill="1" applyBorder="1"/>
    <xf numFmtId="0" fontId="20" fillId="20" borderId="306" xfId="0" applyFont="1" applyFill="1" applyBorder="1"/>
    <xf numFmtId="0" fontId="20" fillId="20" borderId="453" xfId="0" applyFont="1" applyFill="1" applyBorder="1"/>
    <xf numFmtId="0" fontId="20" fillId="10" borderId="365" xfId="0" applyFont="1" applyFill="1" applyBorder="1"/>
    <xf numFmtId="0" fontId="20" fillId="18" borderId="182" xfId="0" applyFont="1" applyFill="1" applyBorder="1"/>
    <xf numFmtId="0" fontId="20" fillId="18" borderId="183" xfId="0" applyFont="1" applyFill="1" applyBorder="1"/>
    <xf numFmtId="0" fontId="20" fillId="18" borderId="353" xfId="0" applyFont="1" applyFill="1" applyBorder="1"/>
    <xf numFmtId="0" fontId="20" fillId="18" borderId="259" xfId="0" applyFont="1" applyFill="1" applyBorder="1"/>
    <xf numFmtId="0" fontId="20" fillId="20" borderId="357" xfId="0" applyFont="1" applyFill="1" applyBorder="1"/>
    <xf numFmtId="0" fontId="20" fillId="20" borderId="358" xfId="0" applyFont="1" applyFill="1" applyBorder="1"/>
    <xf numFmtId="0" fontId="20" fillId="20" borderId="359" xfId="0" applyFont="1" applyFill="1" applyBorder="1"/>
    <xf numFmtId="0" fontId="20" fillId="20" borderId="360" xfId="0" applyFont="1" applyFill="1" applyBorder="1"/>
    <xf numFmtId="0" fontId="20" fillId="20" borderId="452" xfId="0" applyFont="1" applyFill="1" applyBorder="1"/>
    <xf numFmtId="0" fontId="20" fillId="31" borderId="364" xfId="0" applyFont="1" applyFill="1" applyBorder="1"/>
    <xf numFmtId="0" fontId="20" fillId="31" borderId="213" xfId="0" applyFont="1" applyFill="1" applyBorder="1" applyAlignment="1">
      <alignment horizontal="center" vertical="center"/>
    </xf>
    <xf numFmtId="0" fontId="20" fillId="5" borderId="190" xfId="0" applyFont="1" applyFill="1" applyBorder="1" applyAlignment="1">
      <alignment horizontal="center" vertical="center"/>
    </xf>
    <xf numFmtId="0" fontId="20" fillId="31" borderId="212" xfId="0" applyFont="1" applyFill="1" applyBorder="1" applyAlignment="1">
      <alignment horizontal="center" vertical="center"/>
    </xf>
    <xf numFmtId="0" fontId="20" fillId="31" borderId="154" xfId="0" applyFont="1" applyFill="1" applyBorder="1"/>
    <xf numFmtId="0" fontId="20" fillId="31" borderId="366" xfId="0" applyFont="1" applyFill="1" applyBorder="1" applyAlignment="1">
      <alignment horizontal="center" vertical="center"/>
    </xf>
    <xf numFmtId="0" fontId="20" fillId="25" borderId="454" xfId="0" applyFont="1" applyFill="1" applyBorder="1" applyAlignment="1">
      <alignment horizontal="center" vertical="center"/>
    </xf>
    <xf numFmtId="0" fontId="20" fillId="25" borderId="115" xfId="0" applyFont="1" applyFill="1" applyBorder="1" applyAlignment="1">
      <alignment horizontal="center" vertical="center"/>
    </xf>
    <xf numFmtId="0" fontId="20" fillId="14" borderId="150" xfId="0" applyFont="1" applyFill="1" applyBorder="1" applyAlignment="1">
      <alignment horizontal="center" vertical="center"/>
    </xf>
    <xf numFmtId="0" fontId="20" fillId="31" borderId="109" xfId="0" applyFont="1" applyFill="1" applyBorder="1"/>
    <xf numFmtId="0" fontId="20" fillId="14" borderId="0" xfId="0" applyFont="1" applyFill="1"/>
    <xf numFmtId="0" fontId="20" fillId="14" borderId="150" xfId="0" applyFont="1" applyFill="1" applyBorder="1"/>
    <xf numFmtId="0" fontId="20" fillId="31" borderId="109" xfId="0" applyFont="1" applyFill="1" applyBorder="1" applyAlignment="1">
      <alignment horizontal="center"/>
    </xf>
    <xf numFmtId="0" fontId="20" fillId="20" borderId="451" xfId="0" applyFont="1" applyFill="1" applyBorder="1" applyAlignment="1">
      <alignment horizontal="center"/>
    </xf>
    <xf numFmtId="0" fontId="20" fillId="14" borderId="0" xfId="0" applyFont="1" applyFill="1" applyBorder="1" applyAlignment="1">
      <alignment horizontal="center"/>
    </xf>
    <xf numFmtId="0" fontId="21" fillId="18" borderId="0" xfId="0" applyFont="1" applyFill="1" applyBorder="1" applyAlignment="1"/>
    <xf numFmtId="0" fontId="20" fillId="14" borderId="0" xfId="0" applyFont="1" applyFill="1" applyAlignment="1">
      <alignment horizontal="center" vertical="center"/>
    </xf>
    <xf numFmtId="0" fontId="20" fillId="14" borderId="150" xfId="0" applyFont="1" applyFill="1" applyBorder="1" applyAlignment="1">
      <alignment vertical="center"/>
    </xf>
    <xf numFmtId="3" fontId="20" fillId="14" borderId="0" xfId="0" applyNumberFormat="1" applyFont="1" applyFill="1" applyAlignment="1">
      <alignment horizontal="center" vertical="center"/>
    </xf>
    <xf numFmtId="3" fontId="20" fillId="18" borderId="0" xfId="0" applyNumberFormat="1" applyFont="1" applyFill="1" applyBorder="1" applyAlignment="1">
      <alignment horizontal="left" vertical="center"/>
    </xf>
    <xf numFmtId="3" fontId="20" fillId="18" borderId="0" xfId="0" applyNumberFormat="1" applyFont="1" applyFill="1" applyBorder="1" applyAlignment="1">
      <alignment vertical="center"/>
    </xf>
    <xf numFmtId="0" fontId="20" fillId="14" borderId="64" xfId="0" applyFont="1" applyFill="1" applyBorder="1"/>
    <xf numFmtId="0" fontId="20" fillId="14" borderId="283" xfId="0" applyFont="1" applyFill="1" applyBorder="1"/>
    <xf numFmtId="0" fontId="20" fillId="14" borderId="0" xfId="0" applyFont="1" applyFill="1" applyBorder="1"/>
    <xf numFmtId="0" fontId="20" fillId="31" borderId="367" xfId="0" applyFont="1" applyFill="1" applyBorder="1"/>
    <xf numFmtId="0" fontId="20" fillId="25" borderId="114" xfId="0" applyFont="1" applyFill="1" applyBorder="1"/>
    <xf numFmtId="0" fontId="20" fillId="2" borderId="310" xfId="0" applyFont="1" applyFill="1" applyBorder="1"/>
    <xf numFmtId="0" fontId="20" fillId="2" borderId="0" xfId="0" applyFont="1" applyFill="1" applyBorder="1"/>
    <xf numFmtId="0" fontId="20" fillId="2" borderId="208" xfId="0" applyFont="1" applyFill="1" applyBorder="1"/>
    <xf numFmtId="0" fontId="20" fillId="2" borderId="76" xfId="0" applyFont="1" applyFill="1" applyBorder="1"/>
    <xf numFmtId="0" fontId="20" fillId="31" borderId="368" xfId="0" applyFont="1" applyFill="1" applyBorder="1"/>
    <xf numFmtId="0" fontId="20" fillId="20" borderId="150" xfId="0" applyFont="1" applyFill="1" applyBorder="1"/>
    <xf numFmtId="0" fontId="20" fillId="18" borderId="413" xfId="0" applyFont="1" applyFill="1" applyBorder="1"/>
    <xf numFmtId="0" fontId="20" fillId="18" borderId="369" xfId="0" applyFont="1" applyFill="1" applyBorder="1"/>
    <xf numFmtId="0" fontId="20" fillId="18" borderId="414" xfId="0" applyFont="1" applyFill="1" applyBorder="1" applyAlignment="1">
      <alignment horizontal="center"/>
    </xf>
    <xf numFmtId="0" fontId="20" fillId="20" borderId="150" xfId="0" applyFont="1" applyFill="1" applyBorder="1" applyAlignment="1">
      <alignment horizontal="center"/>
    </xf>
    <xf numFmtId="0" fontId="20" fillId="31" borderId="212" xfId="0" applyFont="1" applyFill="1" applyBorder="1" applyAlignment="1">
      <alignment horizontal="center"/>
    </xf>
    <xf numFmtId="0" fontId="20" fillId="20" borderId="0" xfId="0" applyFont="1" applyFill="1" applyBorder="1" applyAlignment="1">
      <alignment horizontal="center" wrapText="1"/>
    </xf>
    <xf numFmtId="0" fontId="20" fillId="18" borderId="414" xfId="0" applyFont="1" applyFill="1" applyBorder="1"/>
    <xf numFmtId="0" fontId="20" fillId="18" borderId="415" xfId="0" applyFont="1" applyFill="1" applyBorder="1"/>
    <xf numFmtId="0" fontId="20" fillId="18" borderId="371" xfId="0" applyFont="1" applyFill="1" applyBorder="1"/>
    <xf numFmtId="0" fontId="20" fillId="10" borderId="278" xfId="0" applyFont="1" applyFill="1" applyBorder="1"/>
    <xf numFmtId="0" fontId="20" fillId="0" borderId="47" xfId="0" applyFont="1" applyBorder="1"/>
    <xf numFmtId="0" fontId="20" fillId="31" borderId="212" xfId="0" applyFont="1" applyFill="1" applyBorder="1" applyAlignment="1">
      <alignment vertical="center"/>
    </xf>
    <xf numFmtId="0" fontId="20" fillId="14" borderId="0" xfId="0" applyFont="1" applyFill="1" applyBorder="1" applyAlignment="1">
      <alignment vertical="center"/>
    </xf>
    <xf numFmtId="0" fontId="21" fillId="18" borderId="0" xfId="0" applyFont="1" applyFill="1" applyBorder="1" applyAlignment="1">
      <alignment horizontal="left"/>
    </xf>
    <xf numFmtId="0" fontId="20" fillId="20" borderId="0" xfId="0" applyFont="1" applyFill="1" applyBorder="1" applyAlignment="1">
      <alignment vertical="center"/>
    </xf>
    <xf numFmtId="0" fontId="20" fillId="20" borderId="150" xfId="0" applyFont="1" applyFill="1" applyBorder="1" applyAlignment="1">
      <alignment vertical="center"/>
    </xf>
    <xf numFmtId="0" fontId="20" fillId="20" borderId="0" xfId="0" applyFont="1" applyFill="1" applyBorder="1" applyAlignment="1">
      <alignment horizontal="center" vertical="center"/>
    </xf>
    <xf numFmtId="0" fontId="20" fillId="20" borderId="150" xfId="0" applyFont="1" applyFill="1" applyBorder="1" applyAlignment="1">
      <alignment horizontal="center" vertical="center"/>
    </xf>
    <xf numFmtId="164" fontId="20" fillId="18" borderId="0" xfId="1" applyNumberFormat="1" applyFont="1" applyFill="1" applyBorder="1" applyAlignment="1">
      <alignment horizontal="left"/>
    </xf>
    <xf numFmtId="3" fontId="20" fillId="20" borderId="0" xfId="0" applyNumberFormat="1" applyFont="1" applyFill="1" applyBorder="1" applyAlignment="1">
      <alignment horizontal="center" vertical="center"/>
    </xf>
    <xf numFmtId="0" fontId="20" fillId="18" borderId="299" xfId="0" applyFont="1" applyFill="1" applyBorder="1" applyAlignment="1">
      <alignment horizontal="center"/>
    </xf>
    <xf numFmtId="0" fontId="20" fillId="18" borderId="247" xfId="0" applyFont="1" applyFill="1" applyBorder="1" applyAlignment="1">
      <alignment vertical="center"/>
    </xf>
    <xf numFmtId="0" fontId="20" fillId="20" borderId="155" xfId="0" applyFont="1" applyFill="1" applyBorder="1"/>
    <xf numFmtId="0" fontId="20" fillId="20" borderId="156" xfId="0" applyFont="1" applyFill="1" applyBorder="1"/>
    <xf numFmtId="0" fontId="20" fillId="18" borderId="416" xfId="0" applyFont="1" applyFill="1" applyBorder="1"/>
    <xf numFmtId="0" fontId="20" fillId="2" borderId="71" xfId="0" applyFont="1" applyFill="1" applyBorder="1"/>
    <xf numFmtId="0" fontId="20" fillId="2" borderId="72" xfId="0" applyFont="1" applyFill="1" applyBorder="1"/>
    <xf numFmtId="0" fontId="20" fillId="2" borderId="64" xfId="0" applyFont="1" applyFill="1" applyBorder="1"/>
    <xf numFmtId="0" fontId="20" fillId="2" borderId="336" xfId="0" applyFont="1" applyFill="1" applyBorder="1"/>
    <xf numFmtId="0" fontId="20" fillId="2" borderId="65" xfId="0" applyFont="1" applyFill="1" applyBorder="1"/>
    <xf numFmtId="0" fontId="20" fillId="0" borderId="0" xfId="0" applyFont="1" applyFill="1" applyBorder="1" applyAlignment="1">
      <alignment vertical="center" wrapText="1"/>
    </xf>
    <xf numFmtId="0" fontId="20" fillId="18" borderId="441" xfId="0" applyFont="1" applyFill="1" applyBorder="1"/>
    <xf numFmtId="0" fontId="20" fillId="18" borderId="483" xfId="0" applyFont="1" applyFill="1" applyBorder="1"/>
    <xf numFmtId="0" fontId="20" fillId="18" borderId="482" xfId="0" applyFont="1" applyFill="1" applyBorder="1"/>
    <xf numFmtId="0" fontId="20" fillId="0" borderId="0" xfId="0" applyFont="1" applyFill="1" applyBorder="1" applyAlignment="1">
      <alignment horizontal="center" vertical="center" wrapText="1"/>
    </xf>
    <xf numFmtId="0" fontId="20" fillId="0" borderId="0" xfId="0" applyFont="1" applyFill="1" applyBorder="1" applyAlignment="1">
      <alignment horizontal="left" indent="2"/>
    </xf>
    <xf numFmtId="0" fontId="20" fillId="0" borderId="0" xfId="0" applyFont="1" applyFill="1" applyBorder="1" applyAlignment="1">
      <alignment horizontal="left"/>
    </xf>
    <xf numFmtId="0" fontId="20" fillId="31" borderId="212" xfId="0" applyFont="1" applyFill="1" applyBorder="1" applyAlignment="1"/>
    <xf numFmtId="0" fontId="20" fillId="0" borderId="0" xfId="0" applyFont="1" applyFill="1" applyBorder="1" applyAlignment="1">
      <alignment vertical="top"/>
    </xf>
    <xf numFmtId="0" fontId="20" fillId="0" borderId="0" xfId="0" applyFont="1" applyFill="1" applyBorder="1" applyAlignment="1">
      <alignment horizontal="left" vertical="top" indent="2"/>
    </xf>
    <xf numFmtId="0" fontId="20" fillId="18" borderId="150" xfId="0" applyFont="1" applyFill="1" applyBorder="1" applyAlignment="1">
      <alignment horizontal="center"/>
    </xf>
    <xf numFmtId="0" fontId="20" fillId="18" borderId="424" xfId="0" applyFont="1" applyFill="1" applyBorder="1" applyAlignment="1"/>
    <xf numFmtId="0" fontId="20" fillId="18" borderId="101" xfId="0" applyFont="1" applyFill="1" applyBorder="1" applyAlignment="1"/>
    <xf numFmtId="0" fontId="20" fillId="18" borderId="436" xfId="0" applyFont="1" applyFill="1" applyBorder="1"/>
    <xf numFmtId="0" fontId="20" fillId="18" borderId="481" xfId="0" applyFont="1" applyFill="1" applyBorder="1"/>
    <xf numFmtId="0" fontId="20" fillId="18" borderId="476" xfId="0" applyFont="1" applyFill="1" applyBorder="1"/>
    <xf numFmtId="0" fontId="20" fillId="18" borderId="423" xfId="0" applyFont="1" applyFill="1" applyBorder="1"/>
    <xf numFmtId="0" fontId="20" fillId="18" borderId="485" xfId="0" applyFont="1" applyFill="1" applyBorder="1"/>
    <xf numFmtId="0" fontId="27" fillId="31" borderId="154" xfId="0" applyFont="1" applyFill="1" applyBorder="1"/>
    <xf numFmtId="0" fontId="20" fillId="5" borderId="448" xfId="0" applyFont="1" applyFill="1" applyBorder="1" applyAlignment="1">
      <alignment vertical="center"/>
    </xf>
    <xf numFmtId="0" fontId="27" fillId="31" borderId="154" xfId="0" applyFont="1" applyFill="1" applyBorder="1" applyAlignment="1">
      <alignment vertical="center"/>
    </xf>
    <xf numFmtId="0" fontId="20" fillId="5" borderId="480" xfId="0" applyFont="1" applyFill="1" applyBorder="1" applyAlignment="1">
      <alignment vertical="center"/>
    </xf>
    <xf numFmtId="0" fontId="20" fillId="0" borderId="0" xfId="0" applyFont="1" applyFill="1" applyBorder="1" applyAlignment="1">
      <alignment horizontal="left" vertical="center" indent="2"/>
    </xf>
    <xf numFmtId="0" fontId="20" fillId="0" borderId="0" xfId="0" applyFont="1" applyFill="1" applyBorder="1" applyAlignment="1">
      <alignment horizontal="left" vertical="center"/>
    </xf>
    <xf numFmtId="0" fontId="20" fillId="18" borderId="503" xfId="0" applyFont="1" applyFill="1" applyBorder="1"/>
    <xf numFmtId="0" fontId="20" fillId="18" borderId="504" xfId="0" applyFont="1" applyFill="1" applyBorder="1"/>
    <xf numFmtId="0" fontId="20" fillId="18" borderId="502" xfId="0" applyFont="1" applyFill="1" applyBorder="1"/>
    <xf numFmtId="0" fontId="20" fillId="18" borderId="422" xfId="0" applyFont="1" applyFill="1" applyBorder="1"/>
    <xf numFmtId="0" fontId="20" fillId="18" borderId="49" xfId="0" applyFont="1" applyFill="1" applyBorder="1" applyAlignment="1"/>
    <xf numFmtId="0" fontId="20" fillId="18" borderId="298" xfId="0" applyFont="1" applyFill="1" applyBorder="1" applyAlignment="1"/>
    <xf numFmtId="0" fontId="20" fillId="18" borderId="438" xfId="0" applyFont="1" applyFill="1" applyBorder="1"/>
    <xf numFmtId="3" fontId="20" fillId="0" borderId="0" xfId="0" applyNumberFormat="1" applyFont="1" applyFill="1" applyBorder="1" applyAlignment="1">
      <alignment horizontal="left" indent="2"/>
    </xf>
    <xf numFmtId="0" fontId="20" fillId="18" borderId="478" xfId="0" applyFont="1" applyFill="1" applyBorder="1"/>
    <xf numFmtId="0" fontId="20" fillId="18" borderId="442" xfId="0" applyFont="1" applyFill="1" applyBorder="1"/>
    <xf numFmtId="0" fontId="20" fillId="18" borderId="220" xfId="0" applyFont="1" applyFill="1" applyBorder="1"/>
    <xf numFmtId="0" fontId="20" fillId="0" borderId="154" xfId="0" applyFont="1" applyFill="1" applyBorder="1" applyAlignment="1">
      <alignment vertical="center" wrapText="1"/>
    </xf>
    <xf numFmtId="0" fontId="20" fillId="18" borderId="47" xfId="0" applyFont="1" applyFill="1" applyBorder="1" applyAlignment="1">
      <alignment vertical="center" wrapText="1"/>
    </xf>
    <xf numFmtId="0" fontId="20" fillId="18" borderId="300" xfId="0" applyFont="1" applyFill="1" applyBorder="1"/>
    <xf numFmtId="0" fontId="20" fillId="18" borderId="260" xfId="0" applyFont="1" applyFill="1" applyBorder="1" applyAlignment="1">
      <alignment vertical="center" wrapText="1"/>
    </xf>
    <xf numFmtId="0" fontId="20" fillId="0" borderId="0" xfId="0" applyFont="1" applyFill="1" applyBorder="1" applyAlignment="1">
      <alignment horizontal="left" indent="3"/>
    </xf>
    <xf numFmtId="0" fontId="20" fillId="0" borderId="0" xfId="0" applyFont="1" applyFill="1" applyBorder="1" applyAlignment="1">
      <alignment horizontal="left" vertical="top"/>
    </xf>
    <xf numFmtId="0" fontId="20" fillId="18" borderId="300" xfId="0" applyFont="1" applyFill="1" applyBorder="1" applyAlignment="1"/>
    <xf numFmtId="0" fontId="20" fillId="18" borderId="44" xfId="0" applyFont="1" applyFill="1" applyBorder="1" applyAlignment="1"/>
    <xf numFmtId="0" fontId="20" fillId="18" borderId="417" xfId="0" applyFont="1" applyFill="1" applyBorder="1" applyAlignment="1"/>
    <xf numFmtId="0" fontId="20" fillId="18" borderId="44" xfId="0" applyFont="1" applyFill="1" applyBorder="1"/>
    <xf numFmtId="0" fontId="20" fillId="18" borderId="484" xfId="0" applyFont="1" applyFill="1" applyBorder="1"/>
    <xf numFmtId="0" fontId="20" fillId="18" borderId="494" xfId="0" applyFont="1" applyFill="1" applyBorder="1" applyAlignment="1"/>
    <xf numFmtId="0" fontId="20" fillId="0" borderId="0" xfId="0" applyFont="1" applyFill="1" applyBorder="1" applyAlignment="1">
      <alignment horizontal="center" vertical="center"/>
    </xf>
    <xf numFmtId="0" fontId="20" fillId="18" borderId="421" xfId="0" applyFont="1" applyFill="1" applyBorder="1" applyAlignment="1">
      <alignment vertical="center" wrapText="1"/>
    </xf>
    <xf numFmtId="0" fontId="21" fillId="0" borderId="0" xfId="0" applyFont="1" applyFill="1" applyAlignment="1">
      <alignment horizontal="left" vertical="center"/>
    </xf>
    <xf numFmtId="0" fontId="20" fillId="0" borderId="96" xfId="0" applyFont="1" applyBorder="1"/>
    <xf numFmtId="0" fontId="20" fillId="0" borderId="434" xfId="0" applyFont="1" applyBorder="1"/>
    <xf numFmtId="0" fontId="20" fillId="26" borderId="95" xfId="0" applyFont="1" applyFill="1" applyBorder="1"/>
    <xf numFmtId="0" fontId="20" fillId="29" borderId="262" xfId="0" applyFont="1" applyFill="1" applyBorder="1"/>
    <xf numFmtId="0" fontId="20" fillId="29" borderId="98" xfId="0" applyFont="1" applyFill="1" applyBorder="1"/>
    <xf numFmtId="0" fontId="20" fillId="31" borderId="381" xfId="0" applyFont="1" applyFill="1" applyBorder="1"/>
    <xf numFmtId="0" fontId="20" fillId="27" borderId="80" xfId="0" applyFont="1" applyFill="1" applyBorder="1"/>
    <xf numFmtId="0" fontId="20" fillId="27" borderId="81" xfId="0" applyFont="1" applyFill="1" applyBorder="1"/>
    <xf numFmtId="0" fontId="20" fillId="27" borderId="499" xfId="0" applyFont="1" applyFill="1" applyBorder="1"/>
    <xf numFmtId="0" fontId="20" fillId="38" borderId="501" xfId="0" applyFont="1" applyFill="1" applyBorder="1"/>
    <xf numFmtId="0" fontId="20" fillId="11" borderId="267" xfId="0" applyFont="1" applyFill="1" applyBorder="1"/>
    <xf numFmtId="0" fontId="20" fillId="11" borderId="279" xfId="0" applyFont="1" applyFill="1" applyBorder="1"/>
    <xf numFmtId="0" fontId="20" fillId="11" borderId="280" xfId="0" applyFont="1" applyFill="1" applyBorder="1"/>
    <xf numFmtId="0" fontId="20" fillId="11" borderId="281" xfId="0" applyFont="1" applyFill="1" applyBorder="1"/>
    <xf numFmtId="0" fontId="20" fillId="11" borderId="375" xfId="0" applyFont="1" applyFill="1" applyBorder="1"/>
    <xf numFmtId="0" fontId="20" fillId="2" borderId="376" xfId="0" applyFont="1" applyFill="1" applyBorder="1"/>
    <xf numFmtId="0" fontId="20" fillId="2" borderId="380" xfId="0" applyFont="1" applyFill="1" applyBorder="1"/>
    <xf numFmtId="0" fontId="20" fillId="9" borderId="0" xfId="0" applyFont="1" applyFill="1"/>
    <xf numFmtId="0" fontId="20" fillId="9" borderId="0" xfId="0" applyFont="1" applyFill="1" applyBorder="1"/>
    <xf numFmtId="0" fontId="20" fillId="9" borderId="82" xfId="0" applyFont="1" applyFill="1" applyBorder="1"/>
    <xf numFmtId="0" fontId="20" fillId="15" borderId="0" xfId="0" applyFont="1" applyFill="1"/>
    <xf numFmtId="0" fontId="20" fillId="15" borderId="73" xfId="0" applyFont="1" applyFill="1" applyBorder="1"/>
    <xf numFmtId="0" fontId="20" fillId="31" borderId="382" xfId="0" applyFont="1" applyFill="1" applyBorder="1"/>
    <xf numFmtId="0" fontId="20" fillId="24" borderId="0" xfId="0" applyFont="1" applyFill="1"/>
    <xf numFmtId="0" fontId="20" fillId="24" borderId="84" xfId="0" applyFont="1" applyFill="1" applyBorder="1"/>
    <xf numFmtId="0" fontId="20" fillId="27" borderId="382" xfId="0" applyFont="1" applyFill="1" applyBorder="1"/>
    <xf numFmtId="0" fontId="20" fillId="11" borderId="267" xfId="0" applyFont="1" applyFill="1" applyBorder="1" applyAlignment="1">
      <alignment horizontal="center" vertical="center" wrapText="1"/>
    </xf>
    <xf numFmtId="0" fontId="20" fillId="10" borderId="269" xfId="0" applyFont="1" applyFill="1" applyBorder="1"/>
    <xf numFmtId="0" fontId="20" fillId="10" borderId="273" xfId="0" applyFont="1" applyFill="1" applyBorder="1"/>
    <xf numFmtId="0" fontId="20" fillId="10" borderId="274" xfId="0" applyFont="1" applyFill="1" applyBorder="1"/>
    <xf numFmtId="0" fontId="20" fillId="11" borderId="270" xfId="0" applyFont="1" applyFill="1" applyBorder="1"/>
    <xf numFmtId="0" fontId="20" fillId="14" borderId="270" xfId="0" applyFont="1" applyFill="1" applyBorder="1"/>
    <xf numFmtId="0" fontId="20" fillId="9" borderId="158" xfId="0" applyFont="1" applyFill="1" applyBorder="1"/>
    <xf numFmtId="0" fontId="20" fillId="9" borderId="77" xfId="0" applyFont="1" applyFill="1" applyBorder="1"/>
    <xf numFmtId="0" fontId="20" fillId="11" borderId="268" xfId="0" applyFont="1" applyFill="1" applyBorder="1" applyAlignment="1">
      <alignment horizontal="center" vertical="center" wrapText="1"/>
    </xf>
    <xf numFmtId="0" fontId="20" fillId="31" borderId="382" xfId="0" applyFont="1" applyFill="1" applyBorder="1" applyAlignment="1">
      <alignment horizontal="center"/>
    </xf>
    <xf numFmtId="0" fontId="20" fillId="24" borderId="0" xfId="0" applyFont="1" applyFill="1" applyAlignment="1"/>
    <xf numFmtId="0" fontId="20" fillId="27" borderId="382" xfId="0" applyFont="1" applyFill="1" applyBorder="1" applyAlignment="1">
      <alignment horizontal="center"/>
    </xf>
    <xf numFmtId="0" fontId="20" fillId="10" borderId="273" xfId="0" applyFont="1" applyFill="1" applyBorder="1" applyAlignment="1">
      <alignment horizontal="center"/>
    </xf>
    <xf numFmtId="0" fontId="20" fillId="10" borderId="275" xfId="0" applyFont="1" applyFill="1" applyBorder="1" applyAlignment="1">
      <alignment horizontal="center"/>
    </xf>
    <xf numFmtId="0" fontId="20" fillId="11" borderId="270" xfId="0" applyFont="1" applyFill="1" applyBorder="1" applyAlignment="1">
      <alignment horizontal="center"/>
    </xf>
    <xf numFmtId="0" fontId="20" fillId="14" borderId="0" xfId="0" applyFont="1" applyFill="1" applyAlignment="1">
      <alignment horizontal="center"/>
    </xf>
    <xf numFmtId="0" fontId="20" fillId="14" borderId="270" xfId="0" applyFont="1" applyFill="1" applyBorder="1" applyAlignment="1">
      <alignment horizontal="center"/>
    </xf>
    <xf numFmtId="3" fontId="20" fillId="9" borderId="0" xfId="0" applyNumberFormat="1" applyFont="1" applyFill="1" applyAlignment="1">
      <alignment horizontal="center"/>
    </xf>
    <xf numFmtId="0" fontId="20" fillId="24" borderId="84" xfId="0" applyFont="1" applyFill="1" applyBorder="1" applyAlignment="1">
      <alignment horizontal="center"/>
    </xf>
    <xf numFmtId="0" fontId="20" fillId="10" borderId="269" xfId="0" applyFont="1" applyFill="1" applyBorder="1" applyAlignment="1">
      <alignment horizontal="center"/>
    </xf>
    <xf numFmtId="0" fontId="20" fillId="10" borderId="276" xfId="0" applyFont="1" applyFill="1" applyBorder="1" applyAlignment="1">
      <alignment horizontal="center"/>
    </xf>
    <xf numFmtId="0" fontId="20" fillId="9" borderId="77" xfId="0" applyFont="1" applyFill="1" applyBorder="1" applyAlignment="1">
      <alignment horizontal="center"/>
    </xf>
    <xf numFmtId="3" fontId="20" fillId="24" borderId="0" xfId="0" applyNumberFormat="1" applyFont="1" applyFill="1" applyAlignment="1">
      <alignment wrapText="1"/>
    </xf>
    <xf numFmtId="0" fontId="20" fillId="24" borderId="0" xfId="0" applyFont="1" applyFill="1" applyAlignment="1">
      <alignment wrapText="1"/>
    </xf>
    <xf numFmtId="0" fontId="20" fillId="24" borderId="84" xfId="0" applyFont="1" applyFill="1" applyBorder="1" applyAlignment="1">
      <alignment wrapText="1"/>
    </xf>
    <xf numFmtId="0" fontId="20" fillId="27" borderId="382" xfId="0" applyFont="1" applyFill="1" applyBorder="1" applyAlignment="1">
      <alignment wrapText="1"/>
    </xf>
    <xf numFmtId="0" fontId="20" fillId="10" borderId="277" xfId="0" applyFont="1" applyFill="1" applyBorder="1"/>
    <xf numFmtId="0" fontId="20" fillId="10" borderId="203" xfId="0" applyFont="1" applyFill="1" applyBorder="1" applyAlignment="1">
      <alignment horizontal="center"/>
    </xf>
    <xf numFmtId="0" fontId="20" fillId="15" borderId="263" xfId="0" applyFont="1" applyFill="1" applyBorder="1"/>
    <xf numFmtId="0" fontId="20" fillId="15" borderId="99" xfId="0" applyFont="1" applyFill="1" applyBorder="1"/>
    <xf numFmtId="0" fontId="20" fillId="24" borderId="89" xfId="0" applyFont="1" applyFill="1" applyBorder="1"/>
    <xf numFmtId="0" fontId="20" fillId="24" borderId="88" xfId="0" applyFont="1" applyFill="1" applyBorder="1"/>
    <xf numFmtId="0" fontId="20" fillId="10" borderId="275" xfId="0" applyFont="1" applyFill="1" applyBorder="1"/>
    <xf numFmtId="0" fontId="20" fillId="31" borderId="388" xfId="0" applyFont="1" applyFill="1" applyBorder="1"/>
    <xf numFmtId="0" fontId="20" fillId="31" borderId="387" xfId="0" applyFont="1" applyFill="1" applyBorder="1"/>
    <xf numFmtId="0" fontId="20" fillId="31" borderId="389" xfId="0" applyFont="1" applyFill="1" applyBorder="1"/>
    <xf numFmtId="0" fontId="20" fillId="27" borderId="390" xfId="0" applyFont="1" applyFill="1" applyBorder="1"/>
    <xf numFmtId="0" fontId="20" fillId="27" borderId="386" xfId="0" applyFont="1" applyFill="1" applyBorder="1"/>
    <xf numFmtId="0" fontId="20" fillId="27" borderId="500" xfId="0" applyFont="1" applyFill="1" applyBorder="1"/>
    <xf numFmtId="0" fontId="20" fillId="11" borderId="377" xfId="0" applyFont="1" applyFill="1" applyBorder="1"/>
    <xf numFmtId="0" fontId="20" fillId="11" borderId="378" xfId="0" applyFont="1" applyFill="1" applyBorder="1"/>
    <xf numFmtId="0" fontId="20" fillId="11" borderId="379" xfId="0" applyFont="1" applyFill="1" applyBorder="1"/>
    <xf numFmtId="0" fontId="20" fillId="9" borderId="0" xfId="0" applyFont="1" applyFill="1" applyAlignment="1">
      <alignment vertical="center"/>
    </xf>
    <xf numFmtId="0" fontId="20" fillId="9" borderId="0" xfId="0" applyFont="1" applyFill="1" applyBorder="1" applyAlignment="1">
      <alignment vertical="center"/>
    </xf>
    <xf numFmtId="0" fontId="20" fillId="2" borderId="282" xfId="0" applyFont="1" applyFill="1" applyBorder="1" applyAlignment="1">
      <alignment horizontal="center" vertical="center" wrapText="1"/>
    </xf>
    <xf numFmtId="0" fontId="20" fillId="14" borderId="0" xfId="0" applyFont="1" applyFill="1" applyBorder="1" applyAlignment="1">
      <alignment horizontal="center" vertical="center"/>
    </xf>
    <xf numFmtId="0" fontId="20" fillId="14" borderId="0" xfId="0" applyFont="1" applyFill="1" applyAlignment="1">
      <alignment vertical="center"/>
    </xf>
    <xf numFmtId="0" fontId="20" fillId="14" borderId="270" xfId="0" applyFont="1" applyFill="1" applyBorder="1" applyAlignment="1">
      <alignment vertical="center"/>
    </xf>
    <xf numFmtId="0" fontId="20" fillId="26" borderId="161" xfId="0" applyFont="1" applyFill="1" applyBorder="1" applyAlignment="1">
      <alignment vertical="center"/>
    </xf>
    <xf numFmtId="0" fontId="20" fillId="9" borderId="77" xfId="0" applyFont="1" applyFill="1" applyBorder="1" applyAlignment="1">
      <alignment vertical="center"/>
    </xf>
    <xf numFmtId="0" fontId="20" fillId="2" borderId="271" xfId="0" applyFont="1" applyFill="1" applyBorder="1" applyAlignment="1">
      <alignment horizontal="center" vertical="center" wrapText="1"/>
    </xf>
    <xf numFmtId="0" fontId="20" fillId="26" borderId="0" xfId="0" applyFont="1" applyFill="1" applyBorder="1" applyAlignment="1">
      <alignment horizontal="center" vertical="center"/>
    </xf>
    <xf numFmtId="0" fontId="20" fillId="26" borderId="383" xfId="0" applyFont="1" applyFill="1" applyBorder="1" applyAlignment="1">
      <alignment horizontal="center" vertical="center"/>
    </xf>
    <xf numFmtId="0" fontId="20" fillId="28" borderId="0" xfId="0" applyFont="1" applyFill="1" applyBorder="1" applyAlignment="1">
      <alignment horizontal="center" vertical="center"/>
    </xf>
    <xf numFmtId="0" fontId="20" fillId="9" borderId="95" xfId="0" applyFont="1" applyFill="1" applyBorder="1"/>
    <xf numFmtId="0" fontId="20" fillId="9" borderId="384" xfId="0" applyFont="1" applyFill="1" applyBorder="1"/>
    <xf numFmtId="0" fontId="20" fillId="26" borderId="383" xfId="0" applyFont="1" applyFill="1" applyBorder="1"/>
    <xf numFmtId="0" fontId="20" fillId="23" borderId="91" xfId="0" applyFont="1" applyFill="1" applyBorder="1"/>
    <xf numFmtId="0" fontId="20" fillId="23" borderId="92" xfId="0" applyFont="1" applyFill="1" applyBorder="1"/>
    <xf numFmtId="0" fontId="20" fillId="28" borderId="0" xfId="0" applyFont="1" applyFill="1" applyBorder="1"/>
    <xf numFmtId="0" fontId="20" fillId="9" borderId="0" xfId="0" applyFont="1" applyFill="1" applyAlignment="1">
      <alignment horizontal="center"/>
    </xf>
    <xf numFmtId="0" fontId="20" fillId="9" borderId="161" xfId="0" applyFont="1" applyFill="1" applyBorder="1"/>
    <xf numFmtId="0" fontId="20" fillId="23" borderId="0" xfId="0" applyFont="1" applyFill="1" applyBorder="1"/>
    <xf numFmtId="0" fontId="20" fillId="23" borderId="90" xfId="0" applyFont="1" applyFill="1" applyBorder="1"/>
    <xf numFmtId="0" fontId="20" fillId="9" borderId="0" xfId="0" applyFont="1" applyFill="1" applyAlignment="1">
      <alignment horizontal="center" vertical="center"/>
    </xf>
    <xf numFmtId="0" fontId="20" fillId="9" borderId="0" xfId="0" applyFont="1" applyFill="1" applyBorder="1" applyAlignment="1">
      <alignment horizontal="center" vertical="center"/>
    </xf>
    <xf numFmtId="0" fontId="20" fillId="9" borderId="0" xfId="0" applyFont="1" applyFill="1" applyBorder="1" applyAlignment="1">
      <alignment horizontal="center"/>
    </xf>
    <xf numFmtId="0" fontId="20" fillId="26" borderId="383" xfId="0" applyFont="1" applyFill="1" applyBorder="1" applyAlignment="1">
      <alignment horizontal="center"/>
    </xf>
    <xf numFmtId="0" fontId="20" fillId="28" borderId="0" xfId="0" applyFont="1" applyFill="1" applyBorder="1" applyAlignment="1">
      <alignment horizontal="center"/>
    </xf>
    <xf numFmtId="3" fontId="20" fillId="9" borderId="0" xfId="0" applyNumberFormat="1" applyFont="1" applyFill="1" applyAlignment="1">
      <alignment horizontal="center" vertical="center"/>
    </xf>
    <xf numFmtId="0" fontId="20" fillId="9" borderId="77" xfId="0" applyFont="1" applyFill="1" applyBorder="1" applyAlignment="1">
      <alignment horizontal="center" vertical="center"/>
    </xf>
    <xf numFmtId="3" fontId="20" fillId="9" borderId="0" xfId="0" applyNumberFormat="1" applyFont="1" applyFill="1" applyBorder="1" applyAlignment="1">
      <alignment horizontal="center" vertical="center"/>
    </xf>
    <xf numFmtId="3" fontId="20" fillId="9" borderId="77" xfId="0" applyNumberFormat="1" applyFont="1" applyFill="1" applyBorder="1" applyAlignment="1">
      <alignment horizontal="center" vertical="center"/>
    </xf>
    <xf numFmtId="0" fontId="20" fillId="9" borderId="165" xfId="0" applyFont="1" applyFill="1" applyBorder="1"/>
    <xf numFmtId="0" fontId="20" fillId="23" borderId="385" xfId="0" applyFont="1" applyFill="1" applyBorder="1"/>
    <xf numFmtId="0" fontId="20" fillId="23" borderId="85" xfId="0" applyFont="1" applyFill="1" applyBorder="1"/>
    <xf numFmtId="0" fontId="20" fillId="23" borderId="93" xfId="0" applyFont="1" applyFill="1" applyBorder="1"/>
    <xf numFmtId="0" fontId="20" fillId="14" borderId="379" xfId="0" applyFont="1" applyFill="1" applyBorder="1"/>
    <xf numFmtId="0" fontId="20" fillId="9" borderId="78" xfId="0" applyFont="1" applyFill="1" applyBorder="1"/>
    <xf numFmtId="0" fontId="20" fillId="9" borderId="79" xfId="0" applyFont="1" applyFill="1" applyBorder="1"/>
    <xf numFmtId="0" fontId="20" fillId="36" borderId="0" xfId="0" applyFont="1" applyFill="1" applyBorder="1"/>
    <xf numFmtId="0" fontId="20" fillId="28" borderId="94" xfId="0" applyFont="1" applyFill="1" applyBorder="1"/>
    <xf numFmtId="0" fontId="20" fillId="28" borderId="97" xfId="0" applyFont="1" applyFill="1" applyBorder="1"/>
    <xf numFmtId="0" fontId="20" fillId="38" borderId="0" xfId="0" applyFont="1" applyFill="1"/>
    <xf numFmtId="0" fontId="20" fillId="2" borderId="443" xfId="0" applyFont="1" applyFill="1" applyBorder="1"/>
    <xf numFmtId="0" fontId="20" fillId="2" borderId="444" xfId="0" applyFont="1" applyFill="1" applyBorder="1"/>
    <xf numFmtId="0" fontId="20" fillId="2" borderId="445" xfId="0" applyFont="1" applyFill="1" applyBorder="1"/>
    <xf numFmtId="0" fontId="20" fillId="2" borderId="446" xfId="0" applyFont="1" applyFill="1" applyBorder="1"/>
    <xf numFmtId="0" fontId="20" fillId="2" borderId="283" xfId="0" applyFont="1" applyFill="1" applyBorder="1"/>
    <xf numFmtId="0" fontId="20" fillId="2" borderId="447" xfId="0" applyFont="1" applyFill="1" applyBorder="1"/>
    <xf numFmtId="0" fontId="20" fillId="2" borderId="379" xfId="0" applyFont="1" applyFill="1" applyBorder="1"/>
    <xf numFmtId="0" fontId="20" fillId="0" borderId="435" xfId="0" applyFont="1" applyBorder="1"/>
    <xf numFmtId="0" fontId="20" fillId="0" borderId="105" xfId="0" applyFont="1" applyBorder="1"/>
    <xf numFmtId="0" fontId="20" fillId="33" borderId="0" xfId="0" applyFont="1" applyFill="1" applyBorder="1"/>
    <xf numFmtId="0" fontId="20" fillId="33" borderId="317" xfId="0" applyFont="1" applyFill="1" applyBorder="1"/>
    <xf numFmtId="0" fontId="20" fillId="33" borderId="318" xfId="0" applyFont="1" applyFill="1" applyBorder="1"/>
    <xf numFmtId="164" fontId="20" fillId="33" borderId="318" xfId="1" applyNumberFormat="1" applyFont="1" applyFill="1" applyBorder="1"/>
    <xf numFmtId="0" fontId="20" fillId="33" borderId="318" xfId="0" applyFont="1" applyFill="1" applyBorder="1" applyAlignment="1">
      <alignment horizontal="right"/>
    </xf>
    <xf numFmtId="0" fontId="20" fillId="33" borderId="319" xfId="0" applyFont="1" applyFill="1" applyBorder="1"/>
    <xf numFmtId="0" fontId="20" fillId="33" borderId="326" xfId="0" applyFont="1" applyFill="1" applyBorder="1"/>
    <xf numFmtId="0" fontId="20" fillId="33" borderId="320" xfId="0" applyFont="1" applyFill="1" applyBorder="1"/>
    <xf numFmtId="0" fontId="20" fillId="33" borderId="321" xfId="0" applyFont="1" applyFill="1" applyBorder="1"/>
    <xf numFmtId="0" fontId="20" fillId="33" borderId="104" xfId="0" applyFont="1" applyFill="1" applyBorder="1"/>
    <xf numFmtId="0" fontId="21" fillId="0" borderId="0" xfId="0" applyFont="1" applyBorder="1"/>
    <xf numFmtId="0" fontId="20" fillId="0" borderId="104" xfId="0" applyFont="1" applyBorder="1"/>
    <xf numFmtId="0" fontId="20" fillId="33" borderId="325" xfId="0" applyFont="1" applyFill="1" applyBorder="1"/>
    <xf numFmtId="0" fontId="20" fillId="33" borderId="331" xfId="0" applyFont="1" applyFill="1" applyBorder="1"/>
    <xf numFmtId="0" fontId="20" fillId="0" borderId="333" xfId="0" applyFont="1" applyFill="1" applyBorder="1"/>
    <xf numFmtId="0" fontId="20" fillId="0" borderId="334" xfId="0" applyFont="1" applyFill="1" applyBorder="1"/>
    <xf numFmtId="0" fontId="20" fillId="30" borderId="146" xfId="0" applyFont="1" applyFill="1" applyBorder="1"/>
    <xf numFmtId="0" fontId="20" fillId="10" borderId="291" xfId="0" applyFont="1" applyFill="1" applyBorder="1"/>
    <xf numFmtId="0" fontId="28" fillId="25" borderId="66" xfId="0" applyFont="1" applyFill="1" applyBorder="1"/>
    <xf numFmtId="0" fontId="28" fillId="30" borderId="126" xfId="0" applyFont="1" applyFill="1" applyBorder="1"/>
    <xf numFmtId="0" fontId="28" fillId="30" borderId="145" xfId="0" applyFont="1" applyFill="1" applyBorder="1"/>
    <xf numFmtId="0" fontId="28" fillId="30" borderId="168" xfId="0" applyFont="1" applyFill="1" applyBorder="1"/>
    <xf numFmtId="0" fontId="20" fillId="18" borderId="104" xfId="0" applyFont="1" applyFill="1" applyBorder="1"/>
    <xf numFmtId="0" fontId="20" fillId="18" borderId="373" xfId="0" applyFont="1" applyFill="1" applyBorder="1"/>
    <xf numFmtId="0" fontId="20" fillId="18" borderId="289" xfId="0" applyFont="1" applyFill="1" applyBorder="1"/>
    <xf numFmtId="0" fontId="20" fillId="10" borderId="104" xfId="0" applyFont="1" applyFill="1" applyBorder="1"/>
    <xf numFmtId="0" fontId="28" fillId="22" borderId="0" xfId="0" applyFont="1" applyFill="1"/>
    <xf numFmtId="0" fontId="28" fillId="22" borderId="0" xfId="0" applyFont="1" applyFill="1" applyBorder="1"/>
    <xf numFmtId="0" fontId="28" fillId="30" borderId="0" xfId="0" applyFont="1" applyFill="1" applyBorder="1"/>
    <xf numFmtId="0" fontId="28" fillId="18" borderId="127" xfId="0" applyFont="1" applyFill="1" applyBorder="1"/>
    <xf numFmtId="0" fontId="28" fillId="18" borderId="0" xfId="0" applyFont="1" applyFill="1" applyBorder="1"/>
    <xf numFmtId="0" fontId="28" fillId="10" borderId="0" xfId="0" applyFont="1" applyFill="1" applyBorder="1"/>
    <xf numFmtId="0" fontId="29" fillId="18" borderId="240" xfId="0" applyFont="1" applyFill="1" applyBorder="1" applyAlignment="1">
      <alignment horizontal="center"/>
    </xf>
    <xf numFmtId="0" fontId="29" fillId="33" borderId="325" xfId="0" applyFont="1" applyFill="1" applyBorder="1" applyAlignment="1">
      <alignment horizontal="center"/>
    </xf>
    <xf numFmtId="0" fontId="20" fillId="10" borderId="107" xfId="0" applyFont="1" applyFill="1" applyBorder="1"/>
    <xf numFmtId="0" fontId="20" fillId="10" borderId="107" xfId="0" applyFont="1" applyFill="1" applyBorder="1" applyAlignment="1">
      <alignment horizontal="center"/>
    </xf>
    <xf numFmtId="0" fontId="20" fillId="33" borderId="325" xfId="0" applyFont="1" applyFill="1" applyBorder="1" applyAlignment="1">
      <alignment horizontal="center"/>
    </xf>
    <xf numFmtId="0" fontId="28" fillId="22" borderId="0" xfId="0" applyFont="1" applyFill="1" applyAlignment="1">
      <alignment horizontal="center"/>
    </xf>
    <xf numFmtId="0" fontId="28" fillId="30" borderId="0" xfId="0" applyFont="1" applyFill="1" applyBorder="1" applyAlignment="1">
      <alignment horizontal="center"/>
    </xf>
    <xf numFmtId="0" fontId="28" fillId="18" borderId="127" xfId="0" applyFont="1" applyFill="1" applyBorder="1" applyAlignment="1">
      <alignment horizontal="center"/>
    </xf>
    <xf numFmtId="0" fontId="28" fillId="18" borderId="0" xfId="0" applyFont="1" applyFill="1" applyBorder="1" applyAlignment="1">
      <alignment horizontal="center"/>
    </xf>
    <xf numFmtId="0" fontId="28" fillId="10" borderId="0" xfId="0" applyFont="1" applyFill="1" applyBorder="1" applyAlignment="1">
      <alignment horizontal="center"/>
    </xf>
    <xf numFmtId="0" fontId="29" fillId="18" borderId="0" xfId="0" applyFont="1" applyFill="1" applyBorder="1" applyAlignment="1"/>
    <xf numFmtId="0" fontId="28" fillId="22" borderId="0" xfId="0" applyFont="1" applyFill="1" applyBorder="1" applyAlignment="1">
      <alignment horizontal="center"/>
    </xf>
    <xf numFmtId="3" fontId="29" fillId="18" borderId="0" xfId="0" applyNumberFormat="1" applyFont="1" applyFill="1" applyBorder="1" applyAlignment="1"/>
    <xf numFmtId="0" fontId="28" fillId="30" borderId="128" xfId="0" applyFont="1" applyFill="1" applyBorder="1"/>
    <xf numFmtId="0" fontId="20" fillId="30" borderId="327" xfId="0" applyFont="1" applyFill="1" applyBorder="1"/>
    <xf numFmtId="0" fontId="20" fillId="18" borderId="328" xfId="0" applyFont="1" applyFill="1" applyBorder="1"/>
    <xf numFmtId="0" fontId="20" fillId="18" borderId="432" xfId="0" applyFont="1" applyFill="1" applyBorder="1"/>
    <xf numFmtId="0" fontId="20" fillId="18" borderId="106" xfId="0" applyFont="1" applyFill="1" applyBorder="1"/>
    <xf numFmtId="0" fontId="20" fillId="18" borderId="290" xfId="0" applyFont="1" applyFill="1" applyBorder="1"/>
    <xf numFmtId="0" fontId="28" fillId="22" borderId="117" xfId="0" applyFont="1" applyFill="1" applyBorder="1"/>
    <xf numFmtId="0" fontId="20" fillId="30" borderId="104" xfId="0" applyFont="1" applyFill="1" applyBorder="1"/>
    <xf numFmtId="0" fontId="20" fillId="33" borderId="105" xfId="0" applyFont="1" applyFill="1" applyBorder="1"/>
    <xf numFmtId="0" fontId="20" fillId="33" borderId="106" xfId="0" applyFont="1" applyFill="1" applyBorder="1"/>
    <xf numFmtId="0" fontId="20" fillId="33" borderId="316" xfId="0" applyFont="1" applyFill="1" applyBorder="1"/>
    <xf numFmtId="0" fontId="20" fillId="25" borderId="170" xfId="0" applyFont="1" applyFill="1" applyBorder="1"/>
    <xf numFmtId="0" fontId="28" fillId="25" borderId="335" xfId="0" applyFont="1" applyFill="1" applyBorder="1"/>
    <xf numFmtId="0" fontId="28" fillId="25" borderId="121" xfId="0" applyFont="1" applyFill="1" applyBorder="1"/>
    <xf numFmtId="0" fontId="28" fillId="30" borderId="131" xfId="0" applyFont="1" applyFill="1" applyBorder="1"/>
    <xf numFmtId="0" fontId="20" fillId="33" borderId="0" xfId="0" applyFont="1" applyFill="1" applyBorder="1" applyAlignment="1">
      <alignment horizontal="center" vertical="center"/>
    </xf>
    <xf numFmtId="0" fontId="20" fillId="33" borderId="103" xfId="0" applyFont="1" applyFill="1" applyBorder="1"/>
    <xf numFmtId="0" fontId="20" fillId="33" borderId="330" xfId="0" applyFont="1" applyFill="1" applyBorder="1" applyAlignment="1">
      <alignment horizontal="center" vertical="center"/>
    </xf>
    <xf numFmtId="0" fontId="28" fillId="33" borderId="103" xfId="0" applyFont="1" applyFill="1" applyBorder="1" applyAlignment="1">
      <alignment vertical="center"/>
    </xf>
    <xf numFmtId="0" fontId="20" fillId="30" borderId="104" xfId="0" applyFont="1" applyFill="1" applyBorder="1" applyAlignment="1">
      <alignment horizontal="center" vertical="center"/>
    </xf>
    <xf numFmtId="0" fontId="20" fillId="33" borderId="104" xfId="0" applyFont="1" applyFill="1" applyBorder="1" applyAlignment="1">
      <alignment horizontal="center" vertical="center"/>
    </xf>
    <xf numFmtId="0" fontId="20" fillId="33" borderId="326" xfId="0" applyFont="1" applyFill="1" applyBorder="1" applyAlignment="1">
      <alignment horizontal="center" vertical="center"/>
    </xf>
    <xf numFmtId="0" fontId="20" fillId="33" borderId="316" xfId="0" applyFont="1" applyFill="1" applyBorder="1" applyAlignment="1">
      <alignment horizontal="center" vertical="center"/>
    </xf>
    <xf numFmtId="0" fontId="20" fillId="33" borderId="318" xfId="0" applyFont="1" applyFill="1" applyBorder="1" applyAlignment="1">
      <alignment horizontal="center" vertical="center"/>
    </xf>
    <xf numFmtId="0" fontId="20" fillId="33" borderId="319" xfId="0" applyFont="1" applyFill="1" applyBorder="1" applyAlignment="1">
      <alignment horizontal="center" vertical="center"/>
    </xf>
    <xf numFmtId="0" fontId="20" fillId="30" borderId="130" xfId="0" applyFont="1" applyFill="1" applyBorder="1" applyAlignment="1">
      <alignment horizontal="center" vertical="center"/>
    </xf>
    <xf numFmtId="0" fontId="20" fillId="30" borderId="192" xfId="0" applyFont="1" applyFill="1" applyBorder="1" applyAlignment="1">
      <alignment horizontal="center" vertical="center"/>
    </xf>
    <xf numFmtId="0" fontId="20" fillId="33" borderId="325" xfId="0" applyFont="1" applyFill="1" applyBorder="1" applyAlignment="1">
      <alignment horizontal="center" vertical="center"/>
    </xf>
    <xf numFmtId="0" fontId="28" fillId="30" borderId="130" xfId="0" applyFont="1" applyFill="1" applyBorder="1" applyAlignment="1">
      <alignment horizontal="center" vertical="center"/>
    </xf>
    <xf numFmtId="0" fontId="28" fillId="30" borderId="128" xfId="0" applyFont="1" applyFill="1" applyBorder="1" applyAlignment="1">
      <alignment horizontal="center" vertical="center"/>
    </xf>
    <xf numFmtId="0" fontId="28" fillId="35" borderId="0" xfId="0" applyFont="1" applyFill="1" applyBorder="1" applyAlignment="1">
      <alignment horizontal="center" vertical="center"/>
    </xf>
    <xf numFmtId="0" fontId="20" fillId="18" borderId="372" xfId="0" applyFont="1" applyFill="1" applyBorder="1"/>
    <xf numFmtId="0" fontId="20" fillId="20" borderId="128" xfId="0" applyFont="1" applyFill="1" applyBorder="1"/>
    <xf numFmtId="0" fontId="20" fillId="18" borderId="194" xfId="0" applyFont="1" applyFill="1" applyBorder="1"/>
    <xf numFmtId="0" fontId="29" fillId="18" borderId="0" xfId="0" applyFont="1" applyFill="1" applyBorder="1" applyAlignment="1">
      <alignment horizontal="center"/>
    </xf>
    <xf numFmtId="0" fontId="29" fillId="18" borderId="48" xfId="0" applyFont="1" applyFill="1" applyBorder="1" applyAlignment="1">
      <alignment horizontal="center"/>
    </xf>
    <xf numFmtId="0" fontId="29" fillId="18" borderId="104" xfId="0" applyFont="1" applyFill="1" applyBorder="1" applyAlignment="1">
      <alignment horizontal="center"/>
    </xf>
    <xf numFmtId="0" fontId="29" fillId="18" borderId="47" xfId="0" applyFont="1" applyFill="1" applyBorder="1" applyAlignment="1">
      <alignment horizontal="center"/>
    </xf>
    <xf numFmtId="0" fontId="29" fillId="18" borderId="258" xfId="0" applyFont="1" applyFill="1" applyBorder="1" applyAlignment="1">
      <alignment horizontal="center"/>
    </xf>
    <xf numFmtId="0" fontId="29" fillId="30" borderId="128" xfId="0" applyFont="1" applyFill="1" applyBorder="1" applyAlignment="1">
      <alignment horizontal="center"/>
    </xf>
    <xf numFmtId="0" fontId="29" fillId="20" borderId="0" xfId="0" applyFont="1" applyFill="1" applyBorder="1"/>
    <xf numFmtId="0" fontId="29" fillId="20" borderId="128" xfId="0" applyFont="1" applyFill="1" applyBorder="1"/>
    <xf numFmtId="0" fontId="29" fillId="30" borderId="207" xfId="0" applyFont="1" applyFill="1" applyBorder="1"/>
    <xf numFmtId="0" fontId="20" fillId="18" borderId="104" xfId="0" applyFont="1" applyFill="1" applyBorder="1" applyAlignment="1">
      <alignment horizontal="center"/>
    </xf>
    <xf numFmtId="0" fontId="29" fillId="18" borderId="0" xfId="0" applyFont="1" applyFill="1" applyBorder="1" applyAlignment="1">
      <alignment horizontal="center" vertical="center"/>
    </xf>
    <xf numFmtId="0" fontId="29" fillId="18" borderId="240" xfId="0" applyFont="1" applyFill="1" applyBorder="1" applyAlignment="1">
      <alignment horizontal="center" vertical="center"/>
    </xf>
    <xf numFmtId="0" fontId="29" fillId="33" borderId="104" xfId="0" applyFont="1" applyFill="1" applyBorder="1" applyAlignment="1">
      <alignment horizontal="center" vertical="center"/>
    </xf>
    <xf numFmtId="0" fontId="29" fillId="18" borderId="260" xfId="0" applyFont="1" applyFill="1" applyBorder="1" applyAlignment="1">
      <alignment horizontal="center"/>
    </xf>
    <xf numFmtId="0" fontId="29" fillId="20" borderId="0" xfId="0" applyFont="1" applyFill="1" applyBorder="1" applyAlignment="1">
      <alignment horizontal="center"/>
    </xf>
    <xf numFmtId="0" fontId="29" fillId="20" borderId="128" xfId="0" applyFont="1" applyFill="1" applyBorder="1" applyAlignment="1">
      <alignment horizontal="center"/>
    </xf>
    <xf numFmtId="0" fontId="29" fillId="30" borderId="207" xfId="0" applyFont="1" applyFill="1" applyBorder="1" applyAlignment="1">
      <alignment horizontal="center"/>
    </xf>
    <xf numFmtId="0" fontId="29" fillId="33" borderId="330" xfId="0" applyFont="1" applyFill="1" applyBorder="1" applyAlignment="1">
      <alignment horizontal="center"/>
    </xf>
    <xf numFmtId="0" fontId="29" fillId="18" borderId="0" xfId="0" applyFont="1" applyFill="1" applyBorder="1" applyAlignment="1">
      <alignment horizontal="left"/>
    </xf>
    <xf numFmtId="0" fontId="29" fillId="33" borderId="0" xfId="0" applyFont="1" applyFill="1" applyBorder="1" applyAlignment="1">
      <alignment horizontal="center"/>
    </xf>
    <xf numFmtId="3" fontId="29" fillId="18" borderId="0" xfId="0" applyNumberFormat="1" applyFont="1" applyFill="1" applyBorder="1" applyAlignment="1">
      <alignment horizontal="center"/>
    </xf>
    <xf numFmtId="3" fontId="29" fillId="18" borderId="240" xfId="0" applyNumberFormat="1" applyFont="1" applyFill="1" applyBorder="1" applyAlignment="1">
      <alignment horizontal="center" vertical="center"/>
    </xf>
    <xf numFmtId="3" fontId="29" fillId="20" borderId="0" xfId="0" applyNumberFormat="1" applyFont="1" applyFill="1" applyBorder="1" applyAlignment="1">
      <alignment horizontal="center"/>
    </xf>
    <xf numFmtId="3" fontId="28" fillId="18" borderId="0" xfId="0" applyNumberFormat="1" applyFont="1" applyFill="1" applyBorder="1" applyAlignment="1">
      <alignment horizontal="center"/>
    </xf>
    <xf numFmtId="0" fontId="20" fillId="18" borderId="194" xfId="0" applyFont="1" applyFill="1" applyBorder="1" applyAlignment="1">
      <alignment horizontal="center"/>
    </xf>
    <xf numFmtId="0" fontId="20" fillId="33" borderId="0" xfId="0" applyFont="1" applyFill="1" applyBorder="1" applyAlignment="1">
      <alignment horizontal="center"/>
    </xf>
    <xf numFmtId="0" fontId="20" fillId="18" borderId="103" xfId="0" applyFont="1" applyFill="1" applyBorder="1" applyAlignment="1">
      <alignment horizontal="center"/>
    </xf>
    <xf numFmtId="0" fontId="20" fillId="33" borderId="330" xfId="0" applyFont="1" applyFill="1" applyBorder="1"/>
    <xf numFmtId="0" fontId="20" fillId="20" borderId="285" xfId="0" applyFont="1" applyFill="1" applyBorder="1"/>
    <xf numFmtId="0" fontId="20" fillId="18" borderId="195" xfId="0" applyFont="1" applyFill="1" applyBorder="1"/>
    <xf numFmtId="0" fontId="20" fillId="18" borderId="288" xfId="0" applyFont="1" applyFill="1" applyBorder="1"/>
    <xf numFmtId="0" fontId="20" fillId="18" borderId="192" xfId="0" applyFont="1" applyFill="1" applyBorder="1"/>
    <xf numFmtId="0" fontId="28" fillId="18" borderId="130" xfId="0" applyFont="1" applyFill="1" applyBorder="1"/>
    <xf numFmtId="0" fontId="20" fillId="30" borderId="329" xfId="0" applyFont="1" applyFill="1" applyBorder="1"/>
    <xf numFmtId="0" fontId="20" fillId="25" borderId="286" xfId="0" applyFont="1" applyFill="1" applyBorder="1"/>
    <xf numFmtId="0" fontId="20" fillId="30" borderId="192" xfId="0" applyFont="1" applyFill="1" applyBorder="1"/>
    <xf numFmtId="0" fontId="28" fillId="30" borderId="148" xfId="0" applyFont="1" applyFill="1" applyBorder="1"/>
    <xf numFmtId="0" fontId="20" fillId="0" borderId="104" xfId="0" applyFont="1" applyBorder="1" applyAlignment="1">
      <alignment horizontal="center"/>
    </xf>
    <xf numFmtId="0" fontId="20" fillId="33" borderId="316" xfId="0" applyFont="1" applyFill="1" applyBorder="1" applyAlignment="1">
      <alignment horizontal="center"/>
    </xf>
    <xf numFmtId="0" fontId="20" fillId="33" borderId="330" xfId="0" applyFont="1" applyFill="1" applyBorder="1" applyAlignment="1">
      <alignment horizontal="center"/>
    </xf>
    <xf numFmtId="0" fontId="20" fillId="0" borderId="105" xfId="0" applyFont="1" applyBorder="1" applyAlignment="1">
      <alignment horizontal="center"/>
    </xf>
    <xf numFmtId="0" fontId="20" fillId="0" borderId="193" xfId="0" applyFont="1" applyBorder="1" applyAlignment="1">
      <alignment horizontal="center"/>
    </xf>
    <xf numFmtId="0" fontId="20" fillId="0" borderId="106" xfId="0" applyFont="1" applyBorder="1" applyAlignment="1">
      <alignment horizontal="center"/>
    </xf>
    <xf numFmtId="0" fontId="20" fillId="33" borderId="332" xfId="0" applyFont="1" applyFill="1" applyBorder="1" applyAlignment="1">
      <alignment horizontal="center"/>
    </xf>
    <xf numFmtId="0" fontId="20" fillId="0" borderId="125" xfId="0" applyFont="1" applyFill="1" applyBorder="1" applyAlignment="1">
      <alignment horizontal="center"/>
    </xf>
    <xf numFmtId="0" fontId="20" fillId="33" borderId="318" xfId="0" applyFont="1" applyFill="1" applyBorder="1" applyAlignment="1">
      <alignment horizontal="center"/>
    </xf>
    <xf numFmtId="0" fontId="20" fillId="33" borderId="319" xfId="0" applyFont="1" applyFill="1" applyBorder="1" applyAlignment="1">
      <alignment horizontal="center"/>
    </xf>
    <xf numFmtId="0" fontId="20" fillId="33" borderId="326" xfId="0" applyFont="1" applyFill="1" applyBorder="1" applyAlignment="1">
      <alignment horizontal="center"/>
    </xf>
    <xf numFmtId="0" fontId="20" fillId="33" borderId="317" xfId="0" applyFont="1" applyFill="1" applyBorder="1" applyAlignment="1">
      <alignment horizontal="center"/>
    </xf>
    <xf numFmtId="0" fontId="20" fillId="33" borderId="322" xfId="0" applyFont="1" applyFill="1" applyBorder="1" applyAlignment="1">
      <alignment horizontal="center"/>
    </xf>
    <xf numFmtId="0" fontId="20" fillId="33" borderId="323" xfId="0" applyFont="1" applyFill="1" applyBorder="1" applyAlignment="1">
      <alignment horizontal="center"/>
    </xf>
    <xf numFmtId="0" fontId="20" fillId="33" borderId="321" xfId="0" applyFont="1" applyFill="1" applyBorder="1" applyAlignment="1">
      <alignment horizontal="center"/>
    </xf>
    <xf numFmtId="0" fontId="20" fillId="33" borderId="324" xfId="0" applyFont="1" applyFill="1" applyBorder="1"/>
    <xf numFmtId="0" fontId="20" fillId="0" borderId="102" xfId="0" applyFont="1" applyBorder="1"/>
    <xf numFmtId="0" fontId="20" fillId="0" borderId="102" xfId="0" applyFont="1" applyFill="1" applyBorder="1"/>
    <xf numFmtId="0" fontId="20" fillId="0" borderId="0" xfId="0" applyFont="1" applyFill="1" applyBorder="1" applyAlignment="1">
      <alignment horizontal="center"/>
    </xf>
    <xf numFmtId="0" fontId="20" fillId="30" borderId="426" xfId="0" applyFont="1" applyFill="1" applyBorder="1"/>
    <xf numFmtId="0" fontId="20" fillId="30" borderId="109" xfId="0" applyFont="1" applyFill="1" applyBorder="1"/>
    <xf numFmtId="0" fontId="20" fillId="30" borderId="109" xfId="0" applyFont="1" applyFill="1" applyBorder="1" applyAlignment="1">
      <alignment horizontal="center"/>
    </xf>
    <xf numFmtId="0" fontId="20" fillId="30" borderId="427" xfId="0" applyFont="1" applyFill="1" applyBorder="1"/>
    <xf numFmtId="0" fontId="20" fillId="30" borderId="425" xfId="0" applyFont="1" applyFill="1" applyBorder="1"/>
    <xf numFmtId="0" fontId="20" fillId="25" borderId="114" xfId="0" applyFont="1" applyFill="1" applyBorder="1" applyAlignment="1">
      <alignment vertical="center"/>
    </xf>
    <xf numFmtId="0" fontId="20" fillId="37" borderId="113" xfId="0" applyFont="1" applyFill="1" applyBorder="1"/>
    <xf numFmtId="0" fontId="20" fillId="37" borderId="114" xfId="0" applyFont="1" applyFill="1" applyBorder="1"/>
    <xf numFmtId="0" fontId="20" fillId="37" borderId="115" xfId="0" applyFont="1" applyFill="1" applyBorder="1"/>
    <xf numFmtId="0" fontId="20" fillId="30" borderId="0" xfId="0" applyFont="1" applyFill="1" applyBorder="1" applyAlignment="1">
      <alignment vertical="center" wrapText="1"/>
    </xf>
    <xf numFmtId="0" fontId="20" fillId="37" borderId="120" xfId="0" applyFont="1" applyFill="1" applyBorder="1"/>
    <xf numFmtId="0" fontId="20" fillId="37" borderId="0" xfId="0" applyFont="1" applyFill="1" applyBorder="1"/>
    <xf numFmtId="0" fontId="20" fillId="37" borderId="109" xfId="0" applyFont="1" applyFill="1" applyBorder="1"/>
    <xf numFmtId="0" fontId="20" fillId="37" borderId="109" xfId="0" applyFont="1" applyFill="1" applyBorder="1" applyAlignment="1">
      <alignment horizontal="center" wrapText="1"/>
    </xf>
    <xf numFmtId="0" fontId="20" fillId="37" borderId="0" xfId="0" applyFont="1" applyFill="1" applyBorder="1" applyAlignment="1">
      <alignment horizontal="center"/>
    </xf>
    <xf numFmtId="3" fontId="20" fillId="37" borderId="120" xfId="0" applyNumberFormat="1" applyFont="1" applyFill="1" applyBorder="1" applyAlignment="1">
      <alignment horizontal="center"/>
    </xf>
    <xf numFmtId="3" fontId="20" fillId="37" borderId="0" xfId="0" applyNumberFormat="1" applyFont="1" applyFill="1" applyBorder="1" applyAlignment="1">
      <alignment horizontal="center"/>
    </xf>
    <xf numFmtId="0" fontId="20" fillId="37" borderId="109" xfId="0" applyFont="1" applyFill="1" applyBorder="1" applyAlignment="1">
      <alignment horizontal="center"/>
    </xf>
    <xf numFmtId="0" fontId="20" fillId="37" borderId="116" xfId="0" applyFont="1" applyFill="1" applyBorder="1"/>
    <xf numFmtId="0" fontId="20" fillId="37" borderId="117" xfId="0" applyFont="1" applyFill="1" applyBorder="1"/>
    <xf numFmtId="0" fontId="20" fillId="37" borderId="118" xfId="0" applyFont="1" applyFill="1" applyBorder="1"/>
    <xf numFmtId="0" fontId="20" fillId="25" borderId="428" xfId="0" applyFont="1" applyFill="1" applyBorder="1"/>
    <xf numFmtId="3" fontId="20" fillId="20" borderId="0" xfId="0" applyNumberFormat="1" applyFont="1" applyFill="1" applyAlignment="1">
      <alignment horizontal="center" wrapText="1"/>
    </xf>
    <xf numFmtId="0" fontId="20" fillId="10" borderId="339" xfId="0" applyFont="1" applyFill="1" applyBorder="1"/>
    <xf numFmtId="0" fontId="20" fillId="10" borderId="340" xfId="0" applyFont="1" applyFill="1" applyBorder="1"/>
    <xf numFmtId="0" fontId="20" fillId="5" borderId="492" xfId="0" applyFont="1" applyFill="1" applyBorder="1"/>
    <xf numFmtId="0" fontId="20" fillId="5" borderId="491" xfId="0" applyFont="1" applyFill="1" applyBorder="1"/>
    <xf numFmtId="0" fontId="20" fillId="31" borderId="431" xfId="0" applyFont="1" applyFill="1" applyBorder="1" applyAlignment="1">
      <alignment horizontal="center" vertical="center"/>
    </xf>
    <xf numFmtId="0" fontId="20" fillId="31" borderId="366" xfId="0" applyFont="1" applyFill="1" applyBorder="1"/>
    <xf numFmtId="0" fontId="20" fillId="31" borderId="109" xfId="0" applyFont="1" applyFill="1" applyBorder="1" applyAlignment="1">
      <alignment horizontal="center" vertical="center"/>
    </xf>
    <xf numFmtId="3" fontId="20" fillId="37" borderId="0" xfId="0" applyNumberFormat="1" applyFont="1" applyFill="1" applyBorder="1" applyAlignment="1">
      <alignment horizontal="left"/>
    </xf>
    <xf numFmtId="3" fontId="20" fillId="31" borderId="109" xfId="0" applyNumberFormat="1" applyFont="1" applyFill="1" applyBorder="1" applyAlignment="1">
      <alignment horizontal="center" vertical="center"/>
    </xf>
    <xf numFmtId="0" fontId="20" fillId="31" borderId="431" xfId="0" applyFont="1" applyFill="1" applyBorder="1"/>
    <xf numFmtId="0" fontId="20" fillId="0" borderId="114" xfId="0" applyFont="1" applyFill="1" applyBorder="1"/>
    <xf numFmtId="0" fontId="26" fillId="25" borderId="121" xfId="0" applyFont="1" applyFill="1" applyBorder="1"/>
    <xf numFmtId="0" fontId="20" fillId="26" borderId="429" xfId="0" applyFont="1" applyFill="1" applyBorder="1"/>
    <xf numFmtId="0" fontId="20" fillId="26" borderId="429" xfId="0" applyFont="1" applyFill="1" applyBorder="1" applyAlignment="1">
      <alignment horizontal="center"/>
    </xf>
    <xf numFmtId="3" fontId="20" fillId="22" borderId="0" xfId="0" applyNumberFormat="1" applyFont="1" applyFill="1" applyAlignment="1">
      <alignment horizontal="center"/>
    </xf>
    <xf numFmtId="0" fontId="20" fillId="26" borderId="109" xfId="0" applyFont="1" applyFill="1" applyBorder="1" applyAlignment="1">
      <alignment horizontal="center" vertical="center"/>
    </xf>
    <xf numFmtId="0" fontId="20" fillId="26" borderId="109" xfId="0" applyFont="1" applyFill="1" applyBorder="1"/>
    <xf numFmtId="3" fontId="20" fillId="26" borderId="109" xfId="0" applyNumberFormat="1" applyFont="1" applyFill="1" applyBorder="1" applyAlignment="1">
      <alignment horizontal="center" vertical="center"/>
    </xf>
    <xf numFmtId="0" fontId="20" fillId="26" borderId="430" xfId="0" applyFont="1" applyFill="1" applyBorder="1"/>
    <xf numFmtId="0" fontId="20" fillId="31" borderId="211" xfId="0" applyFont="1" applyFill="1" applyBorder="1" applyAlignment="1">
      <alignment horizontal="center"/>
    </xf>
    <xf numFmtId="0" fontId="20" fillId="10" borderId="0" xfId="0" applyFont="1" applyFill="1" applyBorder="1" applyAlignment="1"/>
    <xf numFmtId="0" fontId="20" fillId="31" borderId="213" xfId="0" applyFont="1" applyFill="1" applyBorder="1" applyAlignment="1">
      <alignment horizontal="center"/>
    </xf>
    <xf numFmtId="0" fontId="20" fillId="31" borderId="252" xfId="0" applyFont="1" applyFill="1" applyBorder="1" applyAlignment="1">
      <alignment horizontal="center"/>
    </xf>
    <xf numFmtId="0" fontId="20" fillId="31" borderId="211" xfId="0" applyFont="1" applyFill="1" applyBorder="1" applyAlignment="1">
      <alignment horizontal="center" vertical="center"/>
    </xf>
    <xf numFmtId="0" fontId="20" fillId="31" borderId="153" xfId="0" applyFont="1" applyFill="1" applyBorder="1" applyAlignment="1">
      <alignment horizontal="center"/>
    </xf>
    <xf numFmtId="0" fontId="20" fillId="2" borderId="449" xfId="0" applyFont="1" applyFill="1" applyBorder="1"/>
    <xf numFmtId="0" fontId="20" fillId="10" borderId="505" xfId="0" applyFont="1" applyFill="1" applyBorder="1"/>
    <xf numFmtId="0" fontId="20" fillId="10" borderId="506" xfId="0" applyFont="1" applyFill="1" applyBorder="1"/>
    <xf numFmtId="0" fontId="30" fillId="0" borderId="0" xfId="0" applyFont="1" applyAlignment="1">
      <alignment horizontal="center"/>
    </xf>
    <xf numFmtId="3" fontId="31" fillId="0" borderId="0" xfId="0" applyNumberFormat="1" applyFont="1" applyAlignment="1">
      <alignment horizontal="right"/>
    </xf>
    <xf numFmtId="3" fontId="31" fillId="0" borderId="0" xfId="0" applyNumberFormat="1" applyFont="1" applyAlignment="1">
      <alignment horizontal="left"/>
    </xf>
    <xf numFmtId="0" fontId="31" fillId="0" borderId="0" xfId="0" applyFont="1" applyAlignment="1">
      <alignment horizontal="center"/>
    </xf>
    <xf numFmtId="0" fontId="31" fillId="0" borderId="0" xfId="0" applyFont="1"/>
    <xf numFmtId="0" fontId="31" fillId="0" borderId="0" xfId="0" applyFont="1" applyAlignment="1">
      <alignment horizontal="right"/>
    </xf>
    <xf numFmtId="3" fontId="31" fillId="0" borderId="0" xfId="0" applyNumberFormat="1" applyFont="1" applyAlignment="1">
      <alignment horizontal="center"/>
    </xf>
    <xf numFmtId="0" fontId="31" fillId="0" borderId="0" xfId="0" applyFont="1" applyFill="1"/>
    <xf numFmtId="3" fontId="31" fillId="0" borderId="0" xfId="0" applyNumberFormat="1" applyFont="1" applyFill="1"/>
    <xf numFmtId="0" fontId="31" fillId="0" borderId="0" xfId="0" applyFont="1" applyBorder="1"/>
    <xf numFmtId="0" fontId="31" fillId="0" borderId="0" xfId="0" applyFont="1" applyFill="1" applyBorder="1"/>
    <xf numFmtId="0" fontId="30" fillId="0" borderId="0" xfId="0" applyFont="1" applyFill="1"/>
    <xf numFmtId="0" fontId="30" fillId="7" borderId="0" xfId="0" applyFont="1" applyFill="1" applyAlignment="1">
      <alignment vertical="center"/>
    </xf>
    <xf numFmtId="0" fontId="31" fillId="7" borderId="0" xfId="0" applyFont="1" applyFill="1"/>
    <xf numFmtId="0" fontId="30" fillId="0" borderId="0" xfId="0" applyFont="1"/>
    <xf numFmtId="164" fontId="31" fillId="0" borderId="0" xfId="1" applyNumberFormat="1" applyFont="1" applyFill="1" applyBorder="1" applyAlignment="1"/>
    <xf numFmtId="164" fontId="31" fillId="0" borderId="0" xfId="1" applyNumberFormat="1" applyFont="1" applyFill="1" applyBorder="1"/>
    <xf numFmtId="164" fontId="31" fillId="0" borderId="0" xfId="1" applyNumberFormat="1" applyFont="1" applyFill="1" applyAlignment="1"/>
    <xf numFmtId="164" fontId="31" fillId="0" borderId="0" xfId="1" applyNumberFormat="1" applyFont="1" applyFill="1"/>
    <xf numFmtId="0" fontId="31" fillId="0" borderId="0" xfId="0" applyFont="1" applyFill="1" applyAlignment="1">
      <alignment horizontal="right"/>
    </xf>
    <xf numFmtId="164" fontId="31" fillId="0" borderId="20" xfId="1" applyNumberFormat="1" applyFont="1" applyFill="1" applyBorder="1" applyAlignment="1"/>
    <xf numFmtId="164" fontId="31" fillId="0" borderId="0" xfId="1" applyNumberFormat="1" applyFont="1"/>
    <xf numFmtId="164" fontId="31" fillId="0" borderId="83" xfId="1" applyNumberFormat="1" applyFont="1" applyFill="1" applyBorder="1"/>
    <xf numFmtId="0" fontId="31" fillId="0" borderId="226" xfId="0" applyFont="1" applyBorder="1"/>
    <xf numFmtId="0" fontId="31" fillId="0" borderId="0" xfId="0" applyFont="1" applyBorder="1" applyAlignment="1">
      <alignment horizontal="right"/>
    </xf>
    <xf numFmtId="164" fontId="31" fillId="0" borderId="21" xfId="1" applyNumberFormat="1" applyFont="1" applyBorder="1"/>
    <xf numFmtId="164" fontId="31" fillId="0" borderId="0" xfId="1" applyNumberFormat="1" applyFont="1" applyBorder="1"/>
    <xf numFmtId="3" fontId="31" fillId="0" borderId="0" xfId="0" applyNumberFormat="1" applyFont="1"/>
    <xf numFmtId="164" fontId="31" fillId="0" borderId="0" xfId="0" applyNumberFormat="1" applyFont="1" applyFill="1"/>
    <xf numFmtId="0" fontId="31" fillId="0" borderId="163" xfId="0" applyFont="1" applyBorder="1"/>
    <xf numFmtId="0" fontId="31" fillId="0" borderId="0" xfId="0" applyFont="1" applyBorder="1" applyAlignment="1">
      <alignment horizontal="center"/>
    </xf>
    <xf numFmtId="0" fontId="31" fillId="0" borderId="0" xfId="0" applyFont="1" applyBorder="1" applyAlignment="1">
      <alignment vertical="center"/>
    </xf>
    <xf numFmtId="0" fontId="31" fillId="0" borderId="0" xfId="0" applyFont="1" applyAlignment="1">
      <alignment vertical="center"/>
    </xf>
    <xf numFmtId="0" fontId="31" fillId="7" borderId="0" xfId="0" applyFont="1" applyFill="1" applyAlignment="1">
      <alignment vertical="center"/>
    </xf>
    <xf numFmtId="0" fontId="31" fillId="0" borderId="0" xfId="0" applyFont="1" applyAlignment="1"/>
    <xf numFmtId="0" fontId="30" fillId="7" borderId="0" xfId="0" applyFont="1" applyFill="1" applyAlignment="1">
      <alignment horizontal="left" vertical="center"/>
    </xf>
    <xf numFmtId="0" fontId="30" fillId="0" borderId="0" xfId="0" applyFont="1" applyFill="1" applyAlignment="1">
      <alignment horizontal="left" vertical="center"/>
    </xf>
    <xf numFmtId="0" fontId="30" fillId="0" borderId="0" xfId="0" applyFont="1" applyAlignment="1">
      <alignment horizontal="left"/>
    </xf>
    <xf numFmtId="0" fontId="31" fillId="7" borderId="0" xfId="0" applyFont="1" applyFill="1" applyBorder="1"/>
    <xf numFmtId="0" fontId="32" fillId="0" borderId="0" xfId="0" applyFont="1"/>
    <xf numFmtId="3" fontId="31" fillId="0" borderId="0" xfId="0" applyNumberFormat="1" applyFont="1" applyFill="1" applyBorder="1"/>
    <xf numFmtId="0" fontId="31" fillId="0" borderId="0" xfId="0" applyFont="1" applyAlignment="1">
      <alignment horizontal="left"/>
    </xf>
    <xf numFmtId="0" fontId="20" fillId="0" borderId="158" xfId="0" applyFont="1" applyBorder="1"/>
    <xf numFmtId="0" fontId="20" fillId="31" borderId="211" xfId="0" applyFont="1" applyFill="1" applyBorder="1" applyAlignment="1"/>
    <xf numFmtId="0" fontId="20" fillId="18" borderId="507" xfId="0" applyFont="1" applyFill="1" applyBorder="1"/>
    <xf numFmtId="0" fontId="20" fillId="18" borderId="508" xfId="0" applyFont="1" applyFill="1" applyBorder="1" applyAlignment="1"/>
    <xf numFmtId="0" fontId="20" fillId="18" borderId="510" xfId="0" applyFont="1" applyFill="1" applyBorder="1" applyAlignment="1"/>
    <xf numFmtId="0" fontId="20" fillId="18" borderId="509" xfId="0" applyFont="1" applyFill="1" applyBorder="1" applyAlignment="1"/>
    <xf numFmtId="0" fontId="20" fillId="18" borderId="393" xfId="0" applyFont="1" applyFill="1" applyBorder="1" applyAlignment="1"/>
    <xf numFmtId="0" fontId="20" fillId="18" borderId="511" xfId="0" applyFont="1" applyFill="1" applyBorder="1" applyAlignment="1"/>
    <xf numFmtId="0" fontId="20" fillId="18" borderId="512" xfId="0" applyFont="1" applyFill="1" applyBorder="1" applyAlignment="1"/>
    <xf numFmtId="0" fontId="20" fillId="18" borderId="513" xfId="0" applyFont="1" applyFill="1" applyBorder="1" applyAlignment="1"/>
    <xf numFmtId="0" fontId="0" fillId="5" borderId="5" xfId="0" applyFill="1" applyBorder="1" applyAlignment="1">
      <alignment horizontal="center"/>
    </xf>
    <xf numFmtId="0" fontId="0" fillId="0" borderId="0" xfId="0" applyAlignment="1">
      <alignment horizontal="left"/>
    </xf>
    <xf numFmtId="0" fontId="36" fillId="0" borderId="0" xfId="0" applyFont="1"/>
    <xf numFmtId="0" fontId="4" fillId="0" borderId="0" xfId="0" applyFont="1" applyFill="1"/>
    <xf numFmtId="0" fontId="0" fillId="0" borderId="0" xfId="0" applyFill="1" applyBorder="1"/>
    <xf numFmtId="3" fontId="0" fillId="0" borderId="0" xfId="0" applyNumberFormat="1" applyFill="1" applyBorder="1"/>
    <xf numFmtId="0" fontId="0" fillId="0" borderId="0" xfId="0" applyFill="1" applyBorder="1" applyAlignment="1">
      <alignment horizontal="left"/>
    </xf>
    <xf numFmtId="3" fontId="0" fillId="0" borderId="0" xfId="0" applyNumberFormat="1" applyFill="1" applyBorder="1" applyAlignment="1">
      <alignment horizontal="right"/>
    </xf>
    <xf numFmtId="0" fontId="0" fillId="18" borderId="0" xfId="0" applyFill="1" applyBorder="1"/>
    <xf numFmtId="0" fontId="5" fillId="18" borderId="0" xfId="0" applyFont="1" applyFill="1" applyBorder="1"/>
    <xf numFmtId="0" fontId="8" fillId="18" borderId="0" xfId="0" applyFont="1" applyFill="1" applyBorder="1"/>
    <xf numFmtId="0" fontId="7" fillId="18" borderId="0" xfId="0" applyFont="1" applyFill="1" applyBorder="1"/>
    <xf numFmtId="0" fontId="6" fillId="18" borderId="0" xfId="0" applyFont="1" applyFill="1" applyBorder="1" applyAlignment="1">
      <alignment horizontal="center"/>
    </xf>
    <xf numFmtId="3" fontId="0" fillId="18" borderId="0" xfId="0" applyNumberFormat="1" applyFill="1" applyBorder="1" applyAlignment="1">
      <alignment horizontal="center" vertical="center"/>
    </xf>
    <xf numFmtId="0" fontId="0" fillId="18" borderId="0" xfId="0" applyFill="1"/>
    <xf numFmtId="0" fontId="5" fillId="18" borderId="48" xfId="0" applyFont="1" applyFill="1" applyBorder="1"/>
    <xf numFmtId="0" fontId="0" fillId="18" borderId="49" xfId="0" applyFill="1" applyBorder="1"/>
    <xf numFmtId="0" fontId="0" fillId="18" borderId="51" xfId="0" applyFill="1" applyBorder="1"/>
    <xf numFmtId="0" fontId="5" fillId="18" borderId="51" xfId="0" applyFont="1" applyFill="1" applyBorder="1"/>
    <xf numFmtId="0" fontId="8" fillId="18" borderId="51" xfId="0" applyFont="1" applyFill="1" applyBorder="1"/>
    <xf numFmtId="0" fontId="7" fillId="18" borderId="51" xfId="0" applyFont="1" applyFill="1" applyBorder="1"/>
    <xf numFmtId="0" fontId="0" fillId="18" borderId="50" xfId="0" applyFill="1" applyBorder="1"/>
    <xf numFmtId="0" fontId="0" fillId="18" borderId="47" xfId="0" applyFill="1" applyBorder="1"/>
    <xf numFmtId="0" fontId="0" fillId="18" borderId="48" xfId="0" applyFill="1" applyBorder="1"/>
    <xf numFmtId="0" fontId="0" fillId="18" borderId="48" xfId="0" applyFill="1" applyBorder="1" applyAlignment="1">
      <alignment horizontal="center"/>
    </xf>
    <xf numFmtId="3" fontId="0" fillId="18" borderId="48" xfId="0" applyNumberFormat="1" applyFill="1" applyBorder="1" applyAlignment="1">
      <alignment horizontal="center" vertical="center"/>
    </xf>
    <xf numFmtId="0" fontId="0" fillId="18" borderId="44" xfId="0" applyFill="1" applyBorder="1"/>
    <xf numFmtId="0" fontId="0" fillId="18" borderId="46" xfId="0" applyFill="1" applyBorder="1"/>
    <xf numFmtId="0" fontId="5" fillId="18" borderId="46" xfId="0" applyFont="1" applyFill="1" applyBorder="1"/>
    <xf numFmtId="0" fontId="7" fillId="18" borderId="46" xfId="0" applyFont="1" applyFill="1" applyBorder="1"/>
    <xf numFmtId="0" fontId="0" fillId="18" borderId="45" xfId="0" applyFill="1" applyBorder="1"/>
    <xf numFmtId="0" fontId="5" fillId="18" borderId="45" xfId="0" applyFont="1" applyFill="1" applyBorder="1"/>
    <xf numFmtId="0" fontId="7" fillId="10" borderId="422" xfId="0" applyFont="1" applyFill="1" applyBorder="1"/>
    <xf numFmtId="0" fontId="7" fillId="10" borderId="423" xfId="0" applyFont="1" applyFill="1" applyBorder="1"/>
    <xf numFmtId="0" fontId="8" fillId="10" borderId="70" xfId="0" applyFont="1" applyFill="1" applyBorder="1" applyAlignment="1">
      <alignment horizontal="center"/>
    </xf>
    <xf numFmtId="0" fontId="7" fillId="10" borderId="15" xfId="0" applyFont="1" applyFill="1" applyBorder="1"/>
    <xf numFmtId="0" fontId="8" fillId="10" borderId="14" xfId="0" applyFont="1" applyFill="1" applyBorder="1"/>
    <xf numFmtId="0" fontId="7" fillId="10" borderId="13" xfId="0" applyFont="1" applyFill="1" applyBorder="1"/>
    <xf numFmtId="3" fontId="0" fillId="10" borderId="0" xfId="0" applyNumberFormat="1" applyFill="1"/>
    <xf numFmtId="3" fontId="0" fillId="18" borderId="0" xfId="0" applyNumberFormat="1" applyFill="1" applyBorder="1" applyAlignment="1">
      <alignment horizontal="center"/>
    </xf>
    <xf numFmtId="0" fontId="0" fillId="10" borderId="0" xfId="0" applyFill="1" applyBorder="1"/>
    <xf numFmtId="0" fontId="0" fillId="10" borderId="46" xfId="0" applyFill="1" applyBorder="1"/>
    <xf numFmtId="0" fontId="0" fillId="10" borderId="0" xfId="0" applyFill="1" applyBorder="1" applyAlignment="1">
      <alignment horizontal="center"/>
    </xf>
    <xf numFmtId="0" fontId="0" fillId="10" borderId="15" xfId="0" applyFill="1" applyBorder="1"/>
    <xf numFmtId="0" fontId="0" fillId="10" borderId="14" xfId="0" applyFill="1" applyBorder="1"/>
    <xf numFmtId="0" fontId="0" fillId="10" borderId="13" xfId="0" applyFill="1" applyBorder="1"/>
    <xf numFmtId="0" fontId="6" fillId="0" borderId="36" xfId="0" applyFont="1" applyFill="1" applyBorder="1" applyAlignment="1">
      <alignment vertical="center" wrapText="1"/>
    </xf>
    <xf numFmtId="0" fontId="6" fillId="0" borderId="0" xfId="0" applyFont="1" applyFill="1" applyAlignment="1">
      <alignment vertical="center" wrapText="1"/>
    </xf>
    <xf numFmtId="0" fontId="6" fillId="18" borderId="0" xfId="0" applyFont="1" applyFill="1" applyAlignment="1">
      <alignment horizontal="center" vertical="center" wrapText="1"/>
    </xf>
    <xf numFmtId="0" fontId="6" fillId="18" borderId="36" xfId="0" applyFont="1" applyFill="1" applyBorder="1" applyAlignment="1">
      <alignment horizontal="center" vertical="center" wrapText="1"/>
    </xf>
    <xf numFmtId="0" fontId="6" fillId="18" borderId="0" xfId="0" applyFont="1" applyFill="1" applyBorder="1" applyAlignment="1">
      <alignment horizontal="center" vertical="center" wrapText="1"/>
    </xf>
    <xf numFmtId="0" fontId="0" fillId="0" borderId="0" xfId="0" applyAlignment="1">
      <alignment horizontal="center" vertical="center"/>
    </xf>
    <xf numFmtId="0" fontId="3" fillId="0" borderId="33" xfId="0" applyFont="1" applyBorder="1" applyAlignment="1">
      <alignment vertical="center"/>
    </xf>
    <xf numFmtId="0" fontId="3" fillId="0" borderId="33" xfId="0" applyFont="1" applyBorder="1" applyAlignment="1">
      <alignment horizontal="center" vertical="center"/>
    </xf>
    <xf numFmtId="0" fontId="3" fillId="0" borderId="0" xfId="0" applyFont="1" applyAlignment="1">
      <alignment horizontal="right" vertical="center"/>
    </xf>
    <xf numFmtId="0" fontId="0" fillId="0" borderId="0" xfId="0" applyAlignment="1">
      <alignment vertical="center"/>
    </xf>
    <xf numFmtId="0" fontId="3" fillId="0" borderId="0" xfId="0" applyFont="1" applyBorder="1" applyAlignment="1">
      <alignment horizontal="center" vertical="center"/>
    </xf>
    <xf numFmtId="0" fontId="0" fillId="7" borderId="0" xfId="0" applyFont="1" applyFill="1" applyBorder="1" applyAlignment="1">
      <alignment horizontal="center" vertical="center"/>
    </xf>
    <xf numFmtId="0" fontId="0" fillId="0" borderId="0" xfId="0" applyBorder="1" applyAlignment="1">
      <alignment horizontal="center" vertical="top"/>
    </xf>
    <xf numFmtId="0" fontId="0" fillId="0" borderId="0" xfId="0" applyBorder="1" applyAlignment="1">
      <alignment horizontal="center" vertical="center"/>
    </xf>
    <xf numFmtId="0" fontId="3" fillId="0" borderId="7" xfId="0" applyFont="1" applyFill="1" applyBorder="1" applyAlignment="1">
      <alignment horizontal="center" vertical="top"/>
    </xf>
    <xf numFmtId="0" fontId="37" fillId="0" borderId="0" xfId="0" applyFont="1" applyAlignment="1">
      <alignment vertical="center"/>
    </xf>
    <xf numFmtId="49" fontId="20" fillId="0" borderId="0" xfId="0" applyNumberFormat="1" applyFont="1"/>
    <xf numFmtId="0" fontId="20" fillId="10" borderId="0" xfId="0" applyFont="1" applyFill="1" applyAlignment="1">
      <alignment horizontal="center" vertical="center"/>
    </xf>
    <xf numFmtId="0" fontId="20" fillId="5" borderId="0" xfId="0" applyFont="1" applyFill="1" applyBorder="1" applyAlignment="1">
      <alignment horizontal="center" vertical="center"/>
    </xf>
    <xf numFmtId="0" fontId="20" fillId="30" borderId="0" xfId="0" applyFont="1" applyFill="1" applyBorder="1" applyAlignment="1">
      <alignment horizontal="center"/>
    </xf>
    <xf numFmtId="0" fontId="20" fillId="30" borderId="128" xfId="0" applyFont="1" applyFill="1" applyBorder="1" applyAlignment="1">
      <alignment horizontal="center"/>
    </xf>
    <xf numFmtId="0" fontId="20" fillId="18" borderId="127" xfId="0" applyFont="1" applyFill="1" applyBorder="1" applyAlignment="1">
      <alignment horizontal="center" vertical="center"/>
    </xf>
    <xf numFmtId="0" fontId="20" fillId="18" borderId="0" xfId="0" applyFont="1" applyFill="1" applyBorder="1" applyAlignment="1">
      <alignment horizontal="center" vertical="center"/>
    </xf>
    <xf numFmtId="0" fontId="20" fillId="18" borderId="128" xfId="0" applyFont="1" applyFill="1" applyBorder="1" applyAlignment="1">
      <alignment horizontal="center" vertical="center"/>
    </xf>
    <xf numFmtId="0" fontId="20" fillId="18" borderId="127" xfId="0" applyFont="1" applyFill="1" applyBorder="1" applyAlignment="1">
      <alignment horizontal="center"/>
    </xf>
    <xf numFmtId="0" fontId="20" fillId="18" borderId="0" xfId="0" applyFont="1" applyFill="1" applyBorder="1" applyAlignment="1">
      <alignment horizontal="center"/>
    </xf>
    <xf numFmtId="0" fontId="20" fillId="18" borderId="48" xfId="0" applyFont="1" applyFill="1" applyBorder="1" applyAlignment="1">
      <alignment horizontal="center"/>
    </xf>
    <xf numFmtId="0" fontId="20" fillId="18" borderId="287" xfId="0" applyFont="1" applyFill="1" applyBorder="1" applyAlignment="1">
      <alignment horizontal="center"/>
    </xf>
    <xf numFmtId="0" fontId="20" fillId="18" borderId="128" xfId="0" applyFont="1" applyFill="1" applyBorder="1" applyAlignment="1">
      <alignment horizontal="center"/>
    </xf>
    <xf numFmtId="3" fontId="20" fillId="18" borderId="0" xfId="0" applyNumberFormat="1" applyFont="1" applyFill="1" applyBorder="1" applyAlignment="1">
      <alignment horizontal="center"/>
    </xf>
    <xf numFmtId="0" fontId="20" fillId="18" borderId="154" xfId="0" applyFont="1" applyFill="1" applyBorder="1" applyAlignment="1">
      <alignment horizontal="center" vertical="center"/>
    </xf>
    <xf numFmtId="0" fontId="20" fillId="18" borderId="154" xfId="0" applyFont="1" applyFill="1" applyBorder="1" applyAlignment="1">
      <alignment horizontal="center"/>
    </xf>
    <xf numFmtId="0" fontId="20" fillId="18" borderId="47" xfId="0" applyFont="1" applyFill="1" applyBorder="1" applyAlignment="1">
      <alignment horizontal="center"/>
    </xf>
    <xf numFmtId="0" fontId="20" fillId="18" borderId="344" xfId="0" applyFont="1" applyFill="1" applyBorder="1" applyAlignment="1">
      <alignment horizontal="center"/>
    </xf>
    <xf numFmtId="0" fontId="20" fillId="18" borderId="247" xfId="0" applyFont="1" applyFill="1" applyBorder="1" applyAlignment="1">
      <alignment horizontal="center"/>
    </xf>
    <xf numFmtId="0" fontId="20" fillId="18" borderId="160" xfId="0" applyFont="1" applyFill="1" applyBorder="1" applyAlignment="1">
      <alignment horizontal="center"/>
    </xf>
    <xf numFmtId="0" fontId="20" fillId="18" borderId="161" xfId="0" applyFont="1" applyFill="1" applyBorder="1" applyAlignment="1">
      <alignment horizontal="center" vertical="center"/>
    </xf>
    <xf numFmtId="0" fontId="20" fillId="18" borderId="161" xfId="0" applyFont="1" applyFill="1" applyBorder="1" applyAlignment="1">
      <alignment horizontal="center"/>
    </xf>
    <xf numFmtId="0" fontId="20" fillId="34" borderId="0" xfId="0" applyFont="1" applyFill="1" applyBorder="1" applyAlignment="1">
      <alignment horizontal="center" vertical="center"/>
    </xf>
    <xf numFmtId="0" fontId="20" fillId="34" borderId="128" xfId="0" applyFont="1" applyFill="1" applyBorder="1" applyAlignment="1">
      <alignment horizontal="center" vertical="center"/>
    </xf>
    <xf numFmtId="0" fontId="20" fillId="10" borderId="0" xfId="0" applyFont="1" applyFill="1" applyBorder="1" applyAlignment="1">
      <alignment horizontal="center"/>
    </xf>
    <xf numFmtId="0" fontId="20" fillId="19" borderId="0" xfId="0" applyFont="1" applyFill="1" applyBorder="1" applyAlignment="1">
      <alignment horizontal="center" vertical="center"/>
    </xf>
    <xf numFmtId="0" fontId="20" fillId="10" borderId="203" xfId="0" applyFont="1" applyFill="1" applyBorder="1" applyAlignment="1">
      <alignment horizontal="center"/>
    </xf>
    <xf numFmtId="0" fontId="20" fillId="22" borderId="120" xfId="0" applyFont="1" applyFill="1" applyBorder="1" applyAlignment="1">
      <alignment horizontal="center"/>
    </xf>
    <xf numFmtId="0" fontId="20" fillId="22" borderId="0" xfId="0" applyFont="1" applyFill="1" applyBorder="1" applyAlignment="1">
      <alignment horizontal="center"/>
    </xf>
    <xf numFmtId="0" fontId="20" fillId="22" borderId="109" xfId="0" applyFont="1" applyFill="1" applyBorder="1" applyAlignment="1">
      <alignment horizontal="center"/>
    </xf>
    <xf numFmtId="0" fontId="20" fillId="20" borderId="120" xfId="0" applyFont="1" applyFill="1" applyBorder="1" applyAlignment="1">
      <alignment horizontal="center"/>
    </xf>
    <xf numFmtId="0" fontId="20" fillId="20" borderId="0" xfId="0" applyFont="1" applyFill="1" applyBorder="1" applyAlignment="1">
      <alignment horizontal="center"/>
    </xf>
    <xf numFmtId="0" fontId="20" fillId="20" borderId="109" xfId="0" applyFont="1" applyFill="1" applyBorder="1" applyAlignment="1">
      <alignment horizontal="center"/>
    </xf>
    <xf numFmtId="0" fontId="20" fillId="10" borderId="0" xfId="0" applyFont="1" applyFill="1" applyAlignment="1">
      <alignment horizontal="center"/>
    </xf>
    <xf numFmtId="0" fontId="20" fillId="34" borderId="161" xfId="0" applyFont="1" applyFill="1" applyBorder="1" applyAlignment="1">
      <alignment horizontal="center" vertical="center"/>
    </xf>
    <xf numFmtId="3" fontId="20" fillId="18" borderId="0" xfId="0" applyNumberFormat="1" applyFont="1" applyFill="1" applyBorder="1" applyAlignment="1">
      <alignment horizontal="left"/>
    </xf>
    <xf numFmtId="0" fontId="20" fillId="18" borderId="299" xfId="0" applyFont="1" applyFill="1" applyBorder="1" applyAlignment="1">
      <alignment horizontal="center"/>
    </xf>
    <xf numFmtId="0" fontId="20" fillId="22" borderId="0" xfId="0" applyFont="1" applyFill="1" applyAlignment="1">
      <alignment horizontal="center"/>
    </xf>
    <xf numFmtId="0" fontId="20" fillId="14" borderId="0" xfId="0" applyFont="1" applyFill="1" applyAlignment="1">
      <alignment horizontal="center" vertical="center"/>
    </xf>
    <xf numFmtId="0" fontId="20" fillId="20" borderId="0" xfId="0" applyFont="1" applyFill="1" applyBorder="1" applyAlignment="1">
      <alignment horizontal="center" wrapText="1"/>
    </xf>
    <xf numFmtId="0" fontId="31" fillId="0" borderId="0" xfId="0" applyFont="1" applyAlignment="1">
      <alignment horizontal="center"/>
    </xf>
    <xf numFmtId="0" fontId="20" fillId="18" borderId="150" xfId="0" applyFont="1" applyFill="1" applyBorder="1" applyAlignment="1">
      <alignment horizontal="center"/>
    </xf>
    <xf numFmtId="0" fontId="20" fillId="9" borderId="0" xfId="0" applyFont="1" applyFill="1" applyAlignment="1">
      <alignment horizontal="center"/>
    </xf>
    <xf numFmtId="0" fontId="20" fillId="9" borderId="0" xfId="0" applyFont="1" applyFill="1" applyAlignment="1">
      <alignment horizontal="center" vertical="center"/>
    </xf>
    <xf numFmtId="0" fontId="20" fillId="9" borderId="0" xfId="0" applyFont="1" applyFill="1" applyBorder="1" applyAlignment="1">
      <alignment horizontal="center"/>
    </xf>
    <xf numFmtId="0" fontId="20" fillId="24" borderId="84" xfId="0" applyFont="1" applyFill="1" applyBorder="1" applyAlignment="1">
      <alignment horizontal="center"/>
    </xf>
    <xf numFmtId="0" fontId="20" fillId="10" borderId="269" xfId="0" applyFont="1" applyFill="1" applyBorder="1" applyAlignment="1">
      <alignment horizontal="center"/>
    </xf>
    <xf numFmtId="0" fontId="20" fillId="14" borderId="0" xfId="0" applyFont="1" applyFill="1" applyBorder="1" applyAlignment="1">
      <alignment horizontal="center" vertical="center"/>
    </xf>
    <xf numFmtId="0" fontId="29" fillId="18" borderId="0" xfId="0" applyFont="1" applyFill="1" applyBorder="1" applyAlignment="1">
      <alignment horizontal="center"/>
    </xf>
    <xf numFmtId="0" fontId="29" fillId="18" borderId="47" xfId="0" applyFont="1" applyFill="1" applyBorder="1" applyAlignment="1">
      <alignment horizontal="center"/>
    </xf>
    <xf numFmtId="0" fontId="29" fillId="18" borderId="48" xfId="0" applyFont="1" applyFill="1" applyBorder="1" applyAlignment="1">
      <alignment horizontal="center"/>
    </xf>
    <xf numFmtId="0" fontId="29" fillId="18" borderId="104" xfId="0" applyFont="1" applyFill="1" applyBorder="1" applyAlignment="1">
      <alignment horizontal="center"/>
    </xf>
    <xf numFmtId="0" fontId="20" fillId="18" borderId="103" xfId="0" applyFont="1" applyFill="1" applyBorder="1" applyAlignment="1">
      <alignment horizontal="center"/>
    </xf>
    <xf numFmtId="0" fontId="20" fillId="18" borderId="104" xfId="0" applyFont="1" applyFill="1" applyBorder="1" applyAlignment="1">
      <alignment horizontal="center"/>
    </xf>
    <xf numFmtId="0" fontId="28" fillId="22" borderId="0" xfId="0" applyFont="1" applyFill="1" applyBorder="1" applyAlignment="1">
      <alignment horizontal="center"/>
    </xf>
    <xf numFmtId="0" fontId="29" fillId="18" borderId="0" xfId="0" applyFont="1" applyFill="1" applyBorder="1" applyAlignment="1">
      <alignment horizontal="center" vertical="center"/>
    </xf>
    <xf numFmtId="3" fontId="28" fillId="18" borderId="0" xfId="0" applyNumberFormat="1" applyFont="1" applyFill="1" applyBorder="1" applyAlignment="1">
      <alignment horizontal="center"/>
    </xf>
    <xf numFmtId="3" fontId="20" fillId="37" borderId="120" xfId="0" applyNumberFormat="1" applyFont="1" applyFill="1" applyBorder="1" applyAlignment="1">
      <alignment horizontal="center"/>
    </xf>
    <xf numFmtId="3" fontId="20" fillId="37" borderId="0" xfId="0" applyNumberFormat="1" applyFont="1" applyFill="1" applyBorder="1" applyAlignment="1">
      <alignment horizontal="center"/>
    </xf>
    <xf numFmtId="0" fontId="20" fillId="18" borderId="527" xfId="0" applyFont="1" applyFill="1" applyBorder="1"/>
    <xf numFmtId="0" fontId="20" fillId="18" borderId="528" xfId="0" applyFont="1" applyFill="1" applyBorder="1" applyAlignment="1">
      <alignment horizontal="center" vertical="top"/>
    </xf>
    <xf numFmtId="0" fontId="20" fillId="18" borderId="302" xfId="0" applyFont="1" applyFill="1" applyBorder="1" applyAlignment="1">
      <alignment horizontal="center" vertical="top"/>
    </xf>
    <xf numFmtId="0" fontId="20" fillId="18" borderId="298" xfId="0" applyFont="1" applyFill="1" applyBorder="1"/>
    <xf numFmtId="0" fontId="20" fillId="18" borderId="529" xfId="0" applyFont="1" applyFill="1" applyBorder="1"/>
    <xf numFmtId="0" fontId="20" fillId="31" borderId="530" xfId="0" applyFont="1" applyFill="1" applyBorder="1"/>
    <xf numFmtId="0" fontId="20" fillId="31" borderId="531" xfId="0" applyFont="1" applyFill="1" applyBorder="1"/>
    <xf numFmtId="0" fontId="20" fillId="31" borderId="532" xfId="0" applyFont="1" applyFill="1" applyBorder="1"/>
    <xf numFmtId="0" fontId="20" fillId="31" borderId="533" xfId="0" applyFont="1" applyFill="1" applyBorder="1"/>
    <xf numFmtId="0" fontId="20" fillId="31" borderId="534" xfId="0" applyFont="1" applyFill="1" applyBorder="1"/>
    <xf numFmtId="164" fontId="20" fillId="0" borderId="0" xfId="1" applyNumberFormat="1" applyFont="1" applyFill="1" applyAlignment="1"/>
    <xf numFmtId="0" fontId="20" fillId="0" borderId="535" xfId="0" applyFont="1" applyBorder="1"/>
    <xf numFmtId="0" fontId="20" fillId="31" borderId="536" xfId="0" applyFont="1" applyFill="1" applyBorder="1"/>
    <xf numFmtId="0" fontId="20" fillId="18" borderId="537" xfId="0" applyFont="1" applyFill="1" applyBorder="1"/>
    <xf numFmtId="0" fontId="20" fillId="18" borderId="538" xfId="0" applyFont="1" applyFill="1" applyBorder="1" applyAlignment="1">
      <alignment horizontal="center"/>
    </xf>
    <xf numFmtId="0" fontId="20" fillId="18" borderId="539" xfId="0" applyFont="1" applyFill="1" applyBorder="1"/>
    <xf numFmtId="0" fontId="20" fillId="31" borderId="540" xfId="0" applyFont="1" applyFill="1" applyBorder="1"/>
    <xf numFmtId="0" fontId="20" fillId="18" borderId="538" xfId="0" applyFont="1" applyFill="1" applyBorder="1"/>
    <xf numFmtId="0" fontId="20" fillId="31" borderId="543" xfId="0" applyFont="1" applyFill="1" applyBorder="1"/>
    <xf numFmtId="0" fontId="20" fillId="31" borderId="155" xfId="0" applyFont="1" applyFill="1" applyBorder="1" applyAlignment="1">
      <alignment horizontal="center"/>
    </xf>
    <xf numFmtId="0" fontId="20" fillId="18" borderId="396" xfId="0" applyFont="1" applyFill="1" applyBorder="1" applyAlignment="1">
      <alignment horizontal="center" vertical="center"/>
    </xf>
    <xf numFmtId="0" fontId="20" fillId="18" borderId="395" xfId="0" applyFont="1" applyFill="1" applyBorder="1" applyAlignment="1">
      <alignment horizontal="center" vertical="center"/>
    </xf>
    <xf numFmtId="0" fontId="20" fillId="18" borderId="397" xfId="0" applyFont="1" applyFill="1" applyBorder="1" applyAlignment="1">
      <alignment horizontal="center" vertical="center"/>
    </xf>
    <xf numFmtId="0" fontId="20" fillId="18" borderId="550" xfId="0" applyFont="1" applyFill="1" applyBorder="1" applyAlignment="1">
      <alignment horizontal="center" vertical="center"/>
    </xf>
    <xf numFmtId="0" fontId="20" fillId="18" borderId="554" xfId="0" applyFont="1" applyFill="1" applyBorder="1" applyAlignment="1">
      <alignment horizontal="center" vertical="center"/>
    </xf>
    <xf numFmtId="0" fontId="20" fillId="5" borderId="150" xfId="0" applyFont="1" applyFill="1" applyBorder="1" applyAlignment="1">
      <alignment vertical="center"/>
    </xf>
    <xf numFmtId="0" fontId="20" fillId="18" borderId="556" xfId="0" applyFont="1" applyFill="1" applyBorder="1"/>
    <xf numFmtId="0" fontId="20" fillId="18" borderId="555" xfId="0" applyFont="1" applyFill="1" applyBorder="1"/>
    <xf numFmtId="0" fontId="20" fillId="18" borderId="557" xfId="0" applyFont="1" applyFill="1" applyBorder="1"/>
    <xf numFmtId="0" fontId="20" fillId="18" borderId="396" xfId="0" applyFont="1" applyFill="1" applyBorder="1" applyAlignment="1">
      <alignment horizontal="center"/>
    </xf>
    <xf numFmtId="0" fontId="20" fillId="31" borderId="562" xfId="0" applyFont="1" applyFill="1" applyBorder="1"/>
    <xf numFmtId="0" fontId="20" fillId="31" borderId="563" xfId="0" applyFont="1" applyFill="1" applyBorder="1"/>
    <xf numFmtId="0" fontId="20" fillId="31" borderId="564" xfId="0" applyFont="1" applyFill="1" applyBorder="1" applyAlignment="1">
      <alignment vertical="center"/>
    </xf>
    <xf numFmtId="0" fontId="20" fillId="31" borderId="128" xfId="0" applyFont="1" applyFill="1" applyBorder="1"/>
    <xf numFmtId="0" fontId="20" fillId="31" borderId="125" xfId="0" applyFont="1" applyFill="1" applyBorder="1"/>
    <xf numFmtId="0" fontId="20" fillId="31" borderId="155" xfId="0" applyFont="1" applyFill="1" applyBorder="1" applyAlignment="1">
      <alignment vertical="center"/>
    </xf>
    <xf numFmtId="0" fontId="20" fillId="31" borderId="175" xfId="0" applyFont="1" applyFill="1" applyBorder="1" applyAlignment="1">
      <alignment vertical="center"/>
    </xf>
    <xf numFmtId="0" fontId="20" fillId="18" borderId="152" xfId="0" applyFont="1" applyFill="1" applyBorder="1" applyAlignment="1">
      <alignment horizontal="center" vertical="center" textRotation="90" wrapText="1"/>
    </xf>
    <xf numFmtId="0" fontId="20" fillId="18" borderId="155" xfId="0" applyFont="1" applyFill="1" applyBorder="1" applyAlignment="1">
      <alignment horizontal="center" vertical="center" textRotation="90" wrapText="1"/>
    </xf>
    <xf numFmtId="0" fontId="20" fillId="18" borderId="394" xfId="0" applyFont="1" applyFill="1" applyBorder="1" applyAlignment="1">
      <alignment horizontal="center" vertical="center" textRotation="90" wrapText="1"/>
    </xf>
    <xf numFmtId="0" fontId="20" fillId="18" borderId="344" xfId="0" applyFont="1" applyFill="1" applyBorder="1" applyAlignment="1">
      <alignment horizontal="center" vertical="center" textRotation="90" wrapText="1"/>
    </xf>
    <xf numFmtId="0" fontId="20" fillId="18" borderId="397" xfId="0" applyFont="1" applyFill="1" applyBorder="1" applyAlignment="1">
      <alignment horizontal="center" vertical="center" textRotation="90" wrapText="1"/>
    </xf>
    <xf numFmtId="0" fontId="20" fillId="18" borderId="151" xfId="0" applyFont="1" applyFill="1" applyBorder="1" applyAlignment="1">
      <alignment vertical="center" wrapText="1"/>
    </xf>
    <xf numFmtId="0" fontId="20" fillId="18" borderId="152" xfId="0" applyFont="1" applyFill="1" applyBorder="1" applyAlignment="1">
      <alignment vertical="center" wrapText="1"/>
    </xf>
    <xf numFmtId="0" fontId="20" fillId="18" borderId="154" xfId="0" applyFont="1" applyFill="1" applyBorder="1" applyAlignment="1">
      <alignment vertical="center" wrapText="1"/>
    </xf>
    <xf numFmtId="0" fontId="20" fillId="18" borderId="392" xfId="0" applyFont="1" applyFill="1" applyBorder="1"/>
    <xf numFmtId="0" fontId="20" fillId="5" borderId="544" xfId="0" applyFont="1" applyFill="1" applyBorder="1" applyAlignment="1">
      <alignment horizontal="center" vertical="center" textRotation="90" wrapText="1"/>
    </xf>
    <xf numFmtId="0" fontId="20" fillId="31" borderId="252" xfId="0" applyFont="1" applyFill="1" applyBorder="1" applyAlignment="1">
      <alignment vertical="center"/>
    </xf>
    <xf numFmtId="0" fontId="20" fillId="18" borderId="0" xfId="0" applyFont="1" applyFill="1" applyBorder="1" applyAlignment="1">
      <alignment horizontal="center"/>
    </xf>
    <xf numFmtId="0" fontId="20" fillId="18" borderId="48" xfId="0" applyFont="1" applyFill="1" applyBorder="1" applyAlignment="1">
      <alignment horizontal="center"/>
    </xf>
    <xf numFmtId="0" fontId="20" fillId="18" borderId="47" xfId="0" applyFont="1" applyFill="1" applyBorder="1" applyAlignment="1">
      <alignment horizontal="center"/>
    </xf>
    <xf numFmtId="0" fontId="20" fillId="18" borderId="344" xfId="0" applyFont="1" applyFill="1" applyBorder="1" applyAlignment="1">
      <alignment horizontal="center"/>
    </xf>
    <xf numFmtId="0" fontId="20" fillId="18" borderId="247" xfId="0" applyFont="1" applyFill="1" applyBorder="1" applyAlignment="1">
      <alignment horizontal="center"/>
    </xf>
    <xf numFmtId="0" fontId="20" fillId="18" borderId="51" xfId="0" applyFont="1" applyFill="1" applyBorder="1" applyAlignment="1">
      <alignment horizontal="center"/>
    </xf>
    <xf numFmtId="0" fontId="20" fillId="18" borderId="154" xfId="0" applyFont="1" applyFill="1" applyBorder="1" applyAlignment="1">
      <alignment horizontal="center"/>
    </xf>
    <xf numFmtId="0" fontId="20" fillId="18" borderId="393" xfId="0" applyFont="1" applyFill="1" applyBorder="1" applyAlignment="1">
      <alignment horizontal="center"/>
    </xf>
    <xf numFmtId="0" fontId="20" fillId="18" borderId="46" xfId="0" applyFont="1" applyFill="1" applyBorder="1" applyAlignment="1">
      <alignment horizontal="center"/>
    </xf>
    <xf numFmtId="0" fontId="20" fillId="18" borderId="302" xfId="0" applyFont="1" applyFill="1" applyBorder="1" applyAlignment="1">
      <alignment horizontal="center"/>
    </xf>
    <xf numFmtId="0" fontId="20" fillId="30" borderId="0" xfId="0" applyFont="1" applyFill="1" applyBorder="1" applyAlignment="1">
      <alignment horizontal="center"/>
    </xf>
    <xf numFmtId="0" fontId="20" fillId="30" borderId="128" xfId="0" applyFont="1" applyFill="1" applyBorder="1" applyAlignment="1">
      <alignment horizontal="center"/>
    </xf>
    <xf numFmtId="0" fontId="20" fillId="18" borderId="128" xfId="0" applyFont="1" applyFill="1" applyBorder="1" applyAlignment="1">
      <alignment horizontal="center" vertical="center"/>
    </xf>
    <xf numFmtId="0" fontId="20" fillId="30" borderId="144" xfId="0" applyFont="1" applyFill="1" applyBorder="1" applyAlignment="1">
      <alignment horizontal="center"/>
    </xf>
    <xf numFmtId="0" fontId="20" fillId="18" borderId="0" xfId="0" applyFont="1" applyFill="1" applyBorder="1" applyAlignment="1">
      <alignment horizontal="center"/>
    </xf>
    <xf numFmtId="0" fontId="20" fillId="18" borderId="48" xfId="0" applyFont="1" applyFill="1" applyBorder="1" applyAlignment="1">
      <alignment horizontal="center"/>
    </xf>
    <xf numFmtId="0" fontId="20" fillId="18" borderId="287" xfId="0" applyFont="1" applyFill="1" applyBorder="1" applyAlignment="1">
      <alignment horizontal="center"/>
    </xf>
    <xf numFmtId="0" fontId="20" fillId="18" borderId="128" xfId="0" applyFont="1" applyFill="1" applyBorder="1" applyAlignment="1">
      <alignment horizontal="center"/>
    </xf>
    <xf numFmtId="0" fontId="20" fillId="18" borderId="47" xfId="0" applyFont="1" applyFill="1" applyBorder="1" applyAlignment="1">
      <alignment horizontal="center"/>
    </xf>
    <xf numFmtId="0" fontId="20" fillId="18" borderId="46" xfId="0" applyFont="1" applyFill="1" applyBorder="1" applyAlignment="1">
      <alignment horizontal="center"/>
    </xf>
    <xf numFmtId="0" fontId="20" fillId="18" borderId="0" xfId="0" applyFont="1" applyFill="1" applyBorder="1" applyAlignment="1">
      <alignment horizontal="center" vertical="top"/>
    </xf>
    <xf numFmtId="0" fontId="20" fillId="18" borderId="393" xfId="0" applyFont="1" applyFill="1" applyBorder="1" applyAlignment="1">
      <alignment horizontal="center"/>
    </xf>
    <xf numFmtId="0" fontId="20" fillId="18" borderId="344" xfId="0" applyFont="1" applyFill="1" applyBorder="1" applyAlignment="1">
      <alignment horizontal="center"/>
    </xf>
    <xf numFmtId="0" fontId="20" fillId="18" borderId="298" xfId="0" applyFont="1" applyFill="1" applyBorder="1" applyAlignment="1">
      <alignment horizontal="center"/>
    </xf>
    <xf numFmtId="0" fontId="20" fillId="18" borderId="302" xfId="0" applyFont="1" applyFill="1" applyBorder="1" applyAlignment="1">
      <alignment horizontal="center"/>
    </xf>
    <xf numFmtId="0" fontId="20" fillId="18" borderId="396" xfId="0" applyFont="1" applyFill="1" applyBorder="1" applyAlignment="1">
      <alignment horizontal="center" vertical="top"/>
    </xf>
    <xf numFmtId="0" fontId="20" fillId="5" borderId="546" xfId="0" applyFont="1" applyFill="1" applyBorder="1" applyAlignment="1">
      <alignment horizontal="center" vertical="center" textRotation="90" wrapText="1"/>
    </xf>
    <xf numFmtId="0" fontId="20" fillId="0" borderId="0" xfId="0" applyFont="1" applyAlignment="1">
      <alignment horizontal="left"/>
    </xf>
    <xf numFmtId="0" fontId="25" fillId="0" borderId="0" xfId="0" applyFont="1"/>
    <xf numFmtId="0" fontId="20" fillId="0" borderId="0" xfId="0" applyFont="1" applyAlignment="1">
      <alignment vertical="center" wrapText="1"/>
    </xf>
    <xf numFmtId="3" fontId="20" fillId="0" borderId="0" xfId="0" applyNumberFormat="1" applyFont="1" applyAlignment="1">
      <alignment horizontal="left" indent="2"/>
    </xf>
    <xf numFmtId="3" fontId="20" fillId="0" borderId="0" xfId="0" applyNumberFormat="1" applyFont="1"/>
    <xf numFmtId="0" fontId="20" fillId="0" borderId="0" xfId="0" applyFont="1" applyAlignment="1">
      <alignment horizontal="left" indent="2"/>
    </xf>
    <xf numFmtId="0" fontId="20" fillId="0" borderId="0" xfId="0" applyFont="1" applyAlignment="1">
      <alignment horizontal="left" vertical="center" indent="2"/>
    </xf>
    <xf numFmtId="0" fontId="20" fillId="0" borderId="0" xfId="0" applyFont="1" applyAlignment="1">
      <alignment horizontal="left" vertical="top" indent="2"/>
    </xf>
    <xf numFmtId="0" fontId="20" fillId="0" borderId="154" xfId="0" applyFont="1" applyBorder="1"/>
    <xf numFmtId="0" fontId="20" fillId="18" borderId="0" xfId="0" applyFont="1" applyFill="1" applyAlignment="1">
      <alignment horizontal="center" vertical="center" textRotation="90" wrapText="1"/>
    </xf>
    <xf numFmtId="0" fontId="20" fillId="18" borderId="398" xfId="0" applyFont="1" applyFill="1" applyBorder="1" applyAlignment="1">
      <alignment horizontal="center" vertical="center" textRotation="90" wrapText="1"/>
    </xf>
    <xf numFmtId="3" fontId="20" fillId="18" borderId="0" xfId="0" applyNumberFormat="1" applyFont="1" applyFill="1" applyAlignment="1">
      <alignment horizontal="center"/>
    </xf>
    <xf numFmtId="0" fontId="20" fillId="31" borderId="0" xfId="0" applyFont="1" applyFill="1" applyAlignment="1">
      <alignment horizontal="center"/>
    </xf>
    <xf numFmtId="0" fontId="20" fillId="18" borderId="0" xfId="0" applyFont="1" applyFill="1" applyAlignment="1">
      <alignment horizontal="center"/>
    </xf>
    <xf numFmtId="0" fontId="20" fillId="18" borderId="508" xfId="0" applyFont="1" applyFill="1" applyBorder="1" applyAlignment="1">
      <alignment horizontal="center"/>
    </xf>
    <xf numFmtId="0" fontId="20" fillId="18" borderId="569" xfId="0" applyFont="1" applyFill="1" applyBorder="1" applyAlignment="1">
      <alignment horizontal="center"/>
    </xf>
    <xf numFmtId="0" fontId="20" fillId="5" borderId="567" xfId="0" applyFont="1" applyFill="1" applyBorder="1" applyAlignment="1">
      <alignment horizontal="center" vertical="center" textRotation="90" wrapText="1"/>
    </xf>
    <xf numFmtId="0" fontId="20" fillId="31" borderId="0" xfId="0" applyFont="1" applyFill="1" applyAlignment="1">
      <alignment horizontal="center" vertical="center"/>
    </xf>
    <xf numFmtId="0" fontId="20" fillId="5" borderId="571" xfId="0" applyFont="1" applyFill="1" applyBorder="1" applyAlignment="1">
      <alignment horizontal="center" vertical="center" textRotation="90" wrapText="1"/>
    </xf>
    <xf numFmtId="0" fontId="34" fillId="18" borderId="0" xfId="0" applyFont="1" applyFill="1" applyAlignment="1">
      <alignment vertical="center" textRotation="90" wrapText="1"/>
    </xf>
    <xf numFmtId="0" fontId="34" fillId="18" borderId="555" xfId="0" applyFont="1" applyFill="1" applyBorder="1" applyAlignment="1">
      <alignment vertical="center" textRotation="90" wrapText="1"/>
    </xf>
    <xf numFmtId="0" fontId="34" fillId="18" borderId="398" xfId="0" applyFont="1" applyFill="1" applyBorder="1" applyAlignment="1">
      <alignment horizontal="center" vertical="center" textRotation="90" wrapText="1"/>
    </xf>
    <xf numFmtId="0" fontId="20" fillId="31" borderId="0" xfId="0" applyFont="1" applyFill="1" applyAlignment="1">
      <alignment horizontal="center" vertical="center" wrapText="1"/>
    </xf>
    <xf numFmtId="0" fontId="20" fillId="18" borderId="302" xfId="0" applyFont="1" applyFill="1" applyBorder="1"/>
    <xf numFmtId="0" fontId="20" fillId="18" borderId="548" xfId="0" applyFont="1" applyFill="1" applyBorder="1" applyAlignment="1">
      <alignment horizontal="center" vertical="center" textRotation="90" wrapText="1"/>
    </xf>
    <xf numFmtId="0" fontId="20" fillId="18" borderId="575" xfId="0" applyFont="1" applyFill="1" applyBorder="1" applyAlignment="1">
      <alignment horizontal="center"/>
    </xf>
    <xf numFmtId="0" fontId="20" fillId="18" borderId="508" xfId="0" applyFont="1" applyFill="1" applyBorder="1" applyAlignment="1">
      <alignment horizontal="center"/>
    </xf>
    <xf numFmtId="0" fontId="20" fillId="0" borderId="154" xfId="0" applyFont="1" applyBorder="1" applyAlignment="1">
      <alignment horizontal="center"/>
    </xf>
    <xf numFmtId="0" fontId="20" fillId="18" borderId="549" xfId="0" applyFont="1" applyFill="1" applyBorder="1" applyAlignment="1">
      <alignment horizontal="center" vertical="center" textRotation="90" wrapText="1"/>
    </xf>
    <xf numFmtId="0" fontId="20" fillId="18" borderId="393" xfId="0" applyFont="1" applyFill="1" applyBorder="1"/>
    <xf numFmtId="0" fontId="37" fillId="0" borderId="0" xfId="0" applyFont="1"/>
    <xf numFmtId="0" fontId="38" fillId="0" borderId="0" xfId="0" applyFont="1"/>
    <xf numFmtId="0" fontId="20" fillId="18" borderId="553" xfId="0" applyFont="1" applyFill="1" applyBorder="1"/>
    <xf numFmtId="0" fontId="20" fillId="18" borderId="396" xfId="0" applyFont="1" applyFill="1" applyBorder="1" applyAlignment="1">
      <alignment horizontal="center"/>
    </xf>
    <xf numFmtId="0" fontId="20" fillId="18" borderId="579" xfId="0" applyFont="1" applyFill="1" applyBorder="1" applyAlignment="1">
      <alignment horizontal="center" vertical="center" textRotation="90" wrapText="1"/>
    </xf>
    <xf numFmtId="0" fontId="20" fillId="5" borderId="0" xfId="0" applyFont="1" applyFill="1" applyAlignment="1">
      <alignment horizontal="center" vertical="center" textRotation="90" wrapText="1"/>
    </xf>
    <xf numFmtId="0" fontId="20" fillId="18" borderId="0" xfId="0" applyFont="1" applyFill="1" applyAlignment="1">
      <alignment horizontal="center" vertical="center"/>
    </xf>
    <xf numFmtId="0" fontId="20" fillId="5" borderId="580" xfId="0" applyFont="1" applyFill="1" applyBorder="1" applyAlignment="1">
      <alignment horizontal="center" vertical="center" textRotation="90" wrapText="1"/>
    </xf>
    <xf numFmtId="0" fontId="20" fillId="5" borderId="0" xfId="0" applyFont="1" applyFill="1" applyAlignment="1">
      <alignment vertical="center"/>
    </xf>
    <xf numFmtId="0" fontId="20" fillId="5" borderId="581" xfId="0" applyFont="1" applyFill="1" applyBorder="1" applyAlignment="1">
      <alignment horizontal="center" vertical="center" textRotation="90" wrapText="1"/>
    </xf>
    <xf numFmtId="0" fontId="20" fillId="18" borderId="582" xfId="0" applyFont="1" applyFill="1" applyBorder="1"/>
    <xf numFmtId="0" fontId="20" fillId="18" borderId="547" xfId="0" applyFont="1" applyFill="1" applyBorder="1"/>
    <xf numFmtId="0" fontId="20" fillId="18" borderId="554" xfId="0" applyFont="1" applyFill="1" applyBorder="1" applyAlignment="1">
      <alignment horizontal="center"/>
    </xf>
    <xf numFmtId="0" fontId="20" fillId="18" borderId="0" xfId="0" applyFont="1" applyFill="1" applyAlignment="1">
      <alignment horizontal="center" vertical="top"/>
    </xf>
    <xf numFmtId="0" fontId="20" fillId="18" borderId="583" xfId="0" applyFont="1" applyFill="1" applyBorder="1"/>
    <xf numFmtId="0" fontId="39" fillId="2" borderId="0" xfId="0" applyFont="1" applyFill="1"/>
    <xf numFmtId="0" fontId="39" fillId="2" borderId="0" xfId="0" applyFont="1" applyFill="1" applyAlignment="1">
      <alignment horizontal="center" vertical="center"/>
    </xf>
    <xf numFmtId="0" fontId="39" fillId="2" borderId="0" xfId="0" applyFont="1" applyFill="1" applyAlignment="1">
      <alignment horizontal="center" vertical="top"/>
    </xf>
    <xf numFmtId="0" fontId="21" fillId="30" borderId="127" xfId="0" applyFont="1" applyFill="1" applyBorder="1"/>
    <xf numFmtId="164" fontId="20" fillId="0" borderId="0" xfId="1" applyNumberFormat="1" applyFont="1" applyFill="1" applyBorder="1" applyAlignment="1">
      <alignment horizontal="right"/>
    </xf>
    <xf numFmtId="0" fontId="20" fillId="18" borderId="584" xfId="0" applyFont="1" applyFill="1" applyBorder="1"/>
    <xf numFmtId="0" fontId="20" fillId="18" borderId="486" xfId="0" applyFont="1" applyFill="1" applyBorder="1" applyAlignment="1">
      <alignment horizontal="center"/>
    </xf>
    <xf numFmtId="0" fontId="20" fillId="18" borderId="585" xfId="0" applyFont="1" applyFill="1" applyBorder="1"/>
    <xf numFmtId="0" fontId="20" fillId="18" borderId="586" xfId="0" applyFont="1" applyFill="1" applyBorder="1"/>
    <xf numFmtId="0" fontId="20" fillId="18" borderId="587" xfId="0" applyFont="1" applyFill="1" applyBorder="1"/>
    <xf numFmtId="0" fontId="20" fillId="18" borderId="588" xfId="0" applyFont="1" applyFill="1" applyBorder="1"/>
    <xf numFmtId="0" fontId="20" fillId="18" borderId="589" xfId="0" applyFont="1" applyFill="1" applyBorder="1"/>
    <xf numFmtId="0" fontId="20" fillId="18" borderId="590" xfId="0" applyFont="1" applyFill="1" applyBorder="1"/>
    <xf numFmtId="0" fontId="20" fillId="18" borderId="47" xfId="0" applyFont="1" applyFill="1" applyBorder="1" applyAlignment="1">
      <alignment horizontal="center"/>
    </xf>
    <xf numFmtId="0" fontId="20" fillId="18" borderId="344" xfId="0" applyFont="1" applyFill="1" applyBorder="1" applyAlignment="1">
      <alignment horizontal="center"/>
    </xf>
    <xf numFmtId="3" fontId="20" fillId="18" borderId="0" xfId="0" applyNumberFormat="1" applyFont="1" applyFill="1" applyAlignment="1"/>
    <xf numFmtId="3" fontId="20" fillId="18" borderId="247" xfId="0" applyNumberFormat="1" applyFont="1" applyFill="1" applyBorder="1" applyAlignment="1"/>
    <xf numFmtId="0" fontId="20" fillId="30" borderId="173" xfId="0" applyFont="1" applyFill="1" applyBorder="1"/>
    <xf numFmtId="0" fontId="20" fillId="30" borderId="150" xfId="0" applyFont="1" applyFill="1" applyBorder="1" applyAlignment="1">
      <alignment vertical="center"/>
    </xf>
    <xf numFmtId="0" fontId="20" fillId="30" borderId="150" xfId="0" applyFont="1" applyFill="1" applyBorder="1"/>
    <xf numFmtId="0" fontId="20" fillId="30" borderId="531" xfId="0" applyFont="1" applyFill="1" applyBorder="1"/>
    <xf numFmtId="0" fontId="20" fillId="30" borderId="155" xfId="0" applyFont="1" applyFill="1" applyBorder="1"/>
    <xf numFmtId="0" fontId="20" fillId="30" borderId="591" xfId="0" applyFont="1" applyFill="1" applyBorder="1"/>
    <xf numFmtId="0" fontId="20" fillId="30" borderId="592" xfId="0" applyFont="1" applyFill="1" applyBorder="1"/>
    <xf numFmtId="0" fontId="20" fillId="0" borderId="125" xfId="0" applyFont="1" applyFill="1" applyBorder="1"/>
    <xf numFmtId="0" fontId="20" fillId="30" borderId="168" xfId="0" applyFont="1" applyFill="1" applyBorder="1" applyAlignment="1">
      <alignment vertical="center"/>
    </xf>
    <xf numFmtId="0" fontId="20" fillId="30" borderId="144" xfId="0" applyFont="1" applyFill="1" applyBorder="1" applyAlignment="1">
      <alignment vertical="center"/>
    </xf>
    <xf numFmtId="0" fontId="20" fillId="30" borderId="207" xfId="0" applyFont="1" applyFill="1" applyBorder="1" applyAlignment="1">
      <alignment vertical="center"/>
    </xf>
    <xf numFmtId="0" fontId="20" fillId="30" borderId="242" xfId="0" applyFont="1" applyFill="1" applyBorder="1" applyAlignment="1">
      <alignment vertical="center"/>
    </xf>
    <xf numFmtId="0" fontId="20" fillId="30" borderId="243" xfId="0" applyFont="1" applyFill="1" applyBorder="1" applyAlignment="1">
      <alignment vertical="center"/>
    </xf>
    <xf numFmtId="0" fontId="20" fillId="30" borderId="129" xfId="0" applyFont="1" applyFill="1" applyBorder="1" applyAlignment="1">
      <alignment horizontal="center"/>
    </xf>
    <xf numFmtId="0" fontId="20" fillId="30" borderId="124" xfId="0" applyFont="1" applyFill="1" applyBorder="1" applyAlignment="1">
      <alignment horizontal="center"/>
    </xf>
    <xf numFmtId="0" fontId="20" fillId="30" borderId="155" xfId="0" applyFont="1" applyFill="1" applyBorder="1" applyAlignment="1">
      <alignment horizontal="center"/>
    </xf>
    <xf numFmtId="0" fontId="20" fillId="30" borderId="593" xfId="0" applyFont="1" applyFill="1" applyBorder="1"/>
    <xf numFmtId="0" fontId="20" fillId="18" borderId="594" xfId="0" applyFont="1" applyFill="1" applyBorder="1"/>
    <xf numFmtId="0" fontId="20" fillId="30" borderId="595" xfId="0" applyFont="1" applyFill="1" applyBorder="1"/>
    <xf numFmtId="0" fontId="20" fillId="30" borderId="596" xfId="0" applyFont="1" applyFill="1" applyBorder="1"/>
    <xf numFmtId="0" fontId="20" fillId="30" borderId="597" xfId="0" applyFont="1" applyFill="1" applyBorder="1"/>
    <xf numFmtId="0" fontId="20" fillId="30" borderId="598" xfId="0" applyFont="1" applyFill="1" applyBorder="1"/>
    <xf numFmtId="0" fontId="20" fillId="30" borderId="599" xfId="0" applyFont="1" applyFill="1" applyBorder="1"/>
    <xf numFmtId="0" fontId="20" fillId="18" borderId="600" xfId="0" applyFont="1" applyFill="1" applyBorder="1"/>
    <xf numFmtId="0" fontId="20" fillId="0" borderId="0" xfId="0" applyFont="1" applyFill="1" applyAlignment="1">
      <alignment horizontal="center"/>
    </xf>
    <xf numFmtId="0" fontId="20" fillId="0" borderId="0" xfId="0" applyFont="1" applyBorder="1" applyAlignment="1">
      <alignment vertical="center"/>
    </xf>
    <xf numFmtId="0" fontId="20" fillId="0" borderId="0" xfId="0" applyFont="1" applyBorder="1" applyAlignment="1">
      <alignment vertical="center" wrapText="1"/>
    </xf>
    <xf numFmtId="0" fontId="25" fillId="0" borderId="0" xfId="0" applyFont="1" applyBorder="1"/>
    <xf numFmtId="0" fontId="20" fillId="0" borderId="0" xfId="0" applyFont="1" applyBorder="1" applyAlignment="1">
      <alignment horizontal="left" indent="2"/>
    </xf>
    <xf numFmtId="0" fontId="20" fillId="30" borderId="126" xfId="0" applyFont="1" applyFill="1" applyBorder="1" applyAlignment="1">
      <alignment horizontal="center" vertical="center" wrapText="1"/>
    </xf>
    <xf numFmtId="0" fontId="20" fillId="30" borderId="128" xfId="0" applyFont="1" applyFill="1" applyBorder="1" applyAlignment="1">
      <alignment horizontal="center" vertical="center" wrapText="1"/>
    </xf>
    <xf numFmtId="0" fontId="20" fillId="18" borderId="603" xfId="0" applyFont="1" applyFill="1" applyBorder="1" applyAlignment="1">
      <alignment vertical="center"/>
    </xf>
    <xf numFmtId="0" fontId="20" fillId="18" borderId="604" xfId="0" applyFont="1" applyFill="1" applyBorder="1"/>
    <xf numFmtId="0" fontId="20" fillId="18" borderId="542" xfId="0" applyFont="1" applyFill="1" applyBorder="1"/>
    <xf numFmtId="0" fontId="20" fillId="18" borderId="605" xfId="0" applyFont="1" applyFill="1" applyBorder="1" applyAlignment="1">
      <alignment horizontal="center"/>
    </xf>
    <xf numFmtId="0" fontId="20" fillId="18" borderId="0" xfId="0" applyFont="1" applyFill="1" applyBorder="1" applyAlignment="1">
      <alignment horizontal="center" vertical="center" textRotation="90" wrapText="1"/>
    </xf>
    <xf numFmtId="0" fontId="20" fillId="18" borderId="554" xfId="0" applyFont="1" applyFill="1" applyBorder="1"/>
    <xf numFmtId="0" fontId="20" fillId="30" borderId="191" xfId="0" applyFont="1" applyFill="1" applyBorder="1" applyAlignment="1">
      <alignment vertical="center"/>
    </xf>
    <xf numFmtId="0" fontId="20" fillId="18" borderId="130" xfId="0" applyFont="1" applyFill="1" applyBorder="1" applyAlignment="1">
      <alignment horizontal="center" vertical="center" textRotation="90" wrapText="1"/>
    </xf>
    <xf numFmtId="0" fontId="20" fillId="18" borderId="607" xfId="0" applyFont="1" applyFill="1" applyBorder="1"/>
    <xf numFmtId="3" fontId="20" fillId="0" borderId="130" xfId="0" applyNumberFormat="1" applyFont="1" applyBorder="1"/>
    <xf numFmtId="0" fontId="20" fillId="30" borderId="608" xfId="0" applyFont="1" applyFill="1" applyBorder="1"/>
    <xf numFmtId="3" fontId="20" fillId="0" borderId="0" xfId="0" applyNumberFormat="1" applyFont="1" applyBorder="1"/>
    <xf numFmtId="0" fontId="20" fillId="18" borderId="612" xfId="0" applyFont="1" applyFill="1" applyBorder="1" applyAlignment="1">
      <alignment horizontal="center"/>
    </xf>
    <xf numFmtId="0" fontId="20" fillId="18" borderId="615" xfId="0" applyFont="1" applyFill="1" applyBorder="1"/>
    <xf numFmtId="0" fontId="20" fillId="18" borderId="616" xfId="0" applyFont="1" applyFill="1" applyBorder="1" applyAlignment="1">
      <alignment horizontal="center" vertical="center" textRotation="90" wrapText="1"/>
    </xf>
    <xf numFmtId="0" fontId="20" fillId="18" borderId="393" xfId="0" applyFont="1" applyFill="1" applyBorder="1" applyAlignment="1">
      <alignment vertical="center"/>
    </xf>
    <xf numFmtId="0" fontId="34" fillId="18" borderId="396" xfId="0" applyFont="1" applyFill="1" applyBorder="1" applyAlignment="1">
      <alignment vertical="center" textRotation="90" wrapText="1"/>
    </xf>
    <xf numFmtId="0" fontId="20" fillId="18" borderId="617" xfId="0" applyFont="1" applyFill="1" applyBorder="1"/>
    <xf numFmtId="0" fontId="20" fillId="18" borderId="609" xfId="0" applyFont="1" applyFill="1" applyBorder="1" applyAlignment="1">
      <alignment vertical="center"/>
    </xf>
    <xf numFmtId="0" fontId="20" fillId="18" borderId="618" xfId="0" applyFont="1" applyFill="1" applyBorder="1"/>
    <xf numFmtId="0" fontId="20" fillId="18" borderId="203" xfId="0" applyFont="1" applyFill="1" applyBorder="1"/>
    <xf numFmtId="0" fontId="20" fillId="18" borderId="619" xfId="0" applyFont="1" applyFill="1" applyBorder="1"/>
    <xf numFmtId="0" fontId="20" fillId="18" borderId="203" xfId="0" applyFont="1" applyFill="1" applyBorder="1" applyAlignment="1">
      <alignment vertical="center"/>
    </xf>
    <xf numFmtId="0" fontId="20" fillId="18" borderId="620" xfId="0" applyFont="1" applyFill="1" applyBorder="1"/>
    <xf numFmtId="0" fontId="20" fillId="18" borderId="398" xfId="0" applyFont="1" applyFill="1" applyBorder="1"/>
    <xf numFmtId="0" fontId="20" fillId="18" borderId="622" xfId="0" applyFont="1" applyFill="1" applyBorder="1"/>
    <xf numFmtId="0" fontId="20" fillId="18" borderId="623" xfId="0" applyFont="1" applyFill="1" applyBorder="1"/>
    <xf numFmtId="0" fontId="20" fillId="18" borderId="287" xfId="0" applyFont="1" applyFill="1" applyBorder="1"/>
    <xf numFmtId="0" fontId="20" fillId="18" borderId="625" xfId="0" applyFont="1" applyFill="1" applyBorder="1"/>
    <xf numFmtId="0" fontId="20" fillId="30" borderId="207" xfId="0" applyFont="1" applyFill="1" applyBorder="1" applyAlignment="1">
      <alignment horizontal="center" vertical="center"/>
    </xf>
    <xf numFmtId="0" fontId="20" fillId="18" borderId="627" xfId="0" applyFont="1" applyFill="1" applyBorder="1"/>
    <xf numFmtId="0" fontId="20" fillId="18" borderId="628" xfId="0" applyFont="1" applyFill="1" applyBorder="1"/>
    <xf numFmtId="0" fontId="20" fillId="30" borderId="601" xfId="0" applyFont="1" applyFill="1" applyBorder="1" applyAlignment="1">
      <alignment horizontal="center" vertical="center"/>
    </xf>
    <xf numFmtId="0" fontId="20" fillId="18" borderId="629" xfId="0" applyFont="1" applyFill="1" applyBorder="1" applyAlignment="1">
      <alignment horizontal="center"/>
    </xf>
    <xf numFmtId="0" fontId="20" fillId="18" borderId="630" xfId="0" applyFont="1" applyFill="1" applyBorder="1" applyAlignment="1">
      <alignment horizontal="center"/>
    </xf>
    <xf numFmtId="0" fontId="20" fillId="18" borderId="632" xfId="0" applyFont="1" applyFill="1" applyBorder="1"/>
    <xf numFmtId="0" fontId="20" fillId="18" borderId="633" xfId="0" applyFont="1" applyFill="1" applyBorder="1" applyAlignment="1">
      <alignment horizontal="center" vertical="center"/>
    </xf>
    <xf numFmtId="0" fontId="20" fillId="18" borderId="634" xfId="0" applyFont="1" applyFill="1" applyBorder="1" applyAlignment="1">
      <alignment horizontal="center" vertical="center" textRotation="90" wrapText="1"/>
    </xf>
    <xf numFmtId="0" fontId="20" fillId="5" borderId="209" xfId="0" applyFont="1" applyFill="1" applyBorder="1" applyAlignment="1">
      <alignment vertical="center" textRotation="90" wrapText="1"/>
    </xf>
    <xf numFmtId="0" fontId="20" fillId="5" borderId="546" xfId="0" applyFont="1" applyFill="1" applyBorder="1" applyAlignment="1">
      <alignment vertical="center" textRotation="90" wrapText="1"/>
    </xf>
    <xf numFmtId="0" fontId="20" fillId="18" borderId="130" xfId="0" applyFont="1" applyFill="1" applyBorder="1" applyAlignment="1">
      <alignment horizontal="center"/>
    </xf>
    <xf numFmtId="0" fontId="20" fillId="5" borderId="210" xfId="0" applyFont="1" applyFill="1" applyBorder="1" applyAlignment="1">
      <alignment vertical="center" textRotation="90" wrapText="1"/>
    </xf>
    <xf numFmtId="0" fontId="20" fillId="18" borderId="284" xfId="0" applyFont="1" applyFill="1" applyBorder="1" applyAlignment="1">
      <alignment horizontal="center" vertical="center" textRotation="90" wrapText="1"/>
    </xf>
    <xf numFmtId="0" fontId="20" fillId="30" borderId="130" xfId="0" applyFont="1" applyFill="1" applyBorder="1" applyAlignment="1">
      <alignment vertical="center" textRotation="90" wrapText="1"/>
    </xf>
    <xf numFmtId="0" fontId="20" fillId="30" borderId="145" xfId="0" applyFont="1" applyFill="1" applyBorder="1" applyAlignment="1">
      <alignment horizontal="center" vertical="center" textRotation="90" wrapText="1"/>
    </xf>
    <xf numFmtId="0" fontId="20" fillId="30" borderId="144" xfId="0" applyFont="1" applyFill="1" applyBorder="1" applyAlignment="1">
      <alignment horizontal="center" vertical="center" textRotation="90" wrapText="1"/>
    </xf>
    <xf numFmtId="0" fontId="20" fillId="18" borderId="636" xfId="0" applyFont="1" applyFill="1" applyBorder="1"/>
    <xf numFmtId="0" fontId="34" fillId="18" borderId="0" xfId="0" applyFont="1" applyFill="1" applyBorder="1" applyAlignment="1">
      <alignment vertical="center" textRotation="90" wrapText="1"/>
    </xf>
    <xf numFmtId="0" fontId="20" fillId="18" borderId="299" xfId="0" applyFont="1" applyFill="1" applyBorder="1"/>
    <xf numFmtId="0" fontId="20" fillId="18" borderId="637" xfId="0" applyFont="1" applyFill="1" applyBorder="1"/>
    <xf numFmtId="0" fontId="21" fillId="0" borderId="0" xfId="0" applyFont="1" applyBorder="1" applyAlignment="1">
      <alignment horizontal="left"/>
    </xf>
    <xf numFmtId="0" fontId="40" fillId="0" borderId="0" xfId="0" applyFont="1"/>
    <xf numFmtId="0" fontId="41" fillId="0" borderId="0" xfId="0" applyFont="1"/>
    <xf numFmtId="0" fontId="0" fillId="5" borderId="4" xfId="0" applyFill="1" applyBorder="1" applyAlignment="1">
      <alignment horizontal="center"/>
    </xf>
    <xf numFmtId="0" fontId="0" fillId="0" borderId="0" xfId="0" applyAlignment="1">
      <alignment horizontal="left"/>
    </xf>
    <xf numFmtId="0" fontId="0" fillId="5" borderId="23" xfId="0" applyFill="1" applyBorder="1"/>
    <xf numFmtId="0" fontId="0" fillId="5" borderId="24" xfId="0" applyFill="1" applyBorder="1"/>
    <xf numFmtId="3" fontId="0" fillId="5" borderId="24" xfId="0" applyNumberFormat="1" applyFill="1" applyBorder="1" applyAlignment="1">
      <alignment horizontal="center"/>
    </xf>
    <xf numFmtId="0" fontId="0" fillId="5" borderId="25" xfId="0" applyFill="1" applyBorder="1"/>
    <xf numFmtId="0" fontId="0" fillId="15" borderId="9" xfId="0" applyFill="1" applyBorder="1"/>
    <xf numFmtId="0" fontId="0" fillId="15" borderId="0" xfId="0" applyFill="1" applyAlignment="1">
      <alignment horizontal="center"/>
    </xf>
    <xf numFmtId="3" fontId="0" fillId="15" borderId="10" xfId="0" applyNumberFormat="1" applyFill="1" applyBorder="1" applyAlignment="1">
      <alignment horizontal="center"/>
    </xf>
    <xf numFmtId="0" fontId="0" fillId="6" borderId="19" xfId="0" applyFill="1" applyBorder="1"/>
    <xf numFmtId="0" fontId="0" fillId="6" borderId="3" xfId="0" applyFill="1" applyBorder="1"/>
    <xf numFmtId="0" fontId="0" fillId="6" borderId="14" xfId="0" applyFill="1" applyBorder="1"/>
    <xf numFmtId="0" fontId="0" fillId="6" borderId="5" xfId="0" applyFill="1" applyBorder="1"/>
    <xf numFmtId="0" fontId="0" fillId="6" borderId="14" xfId="0" applyFill="1" applyBorder="1" applyAlignment="1">
      <alignment horizontal="center"/>
    </xf>
    <xf numFmtId="0" fontId="0" fillId="6" borderId="5" xfId="0" applyFill="1" applyBorder="1" applyAlignment="1">
      <alignment horizontal="center"/>
    </xf>
    <xf numFmtId="3" fontId="0" fillId="6" borderId="14" xfId="0" applyNumberFormat="1" applyFill="1" applyBorder="1" applyAlignment="1">
      <alignment horizontal="center"/>
    </xf>
    <xf numFmtId="3" fontId="0" fillId="6" borderId="5" xfId="0" applyNumberFormat="1" applyFill="1" applyBorder="1" applyAlignment="1">
      <alignment horizontal="center"/>
    </xf>
    <xf numFmtId="0" fontId="0" fillId="6" borderId="13" xfId="0" applyFill="1" applyBorder="1"/>
    <xf numFmtId="0" fontId="0" fillId="6" borderId="8" xfId="0" applyFill="1" applyBorder="1"/>
    <xf numFmtId="0" fontId="0" fillId="5" borderId="638" xfId="0" applyFill="1" applyBorder="1" applyAlignment="1">
      <alignment horizontal="center"/>
    </xf>
    <xf numFmtId="0" fontId="0" fillId="16" borderId="0" xfId="0" applyFill="1"/>
    <xf numFmtId="3" fontId="0" fillId="16" borderId="0" xfId="0" applyNumberFormat="1" applyFill="1"/>
    <xf numFmtId="0" fontId="0" fillId="6" borderId="21" xfId="0" applyFill="1" applyBorder="1"/>
    <xf numFmtId="3" fontId="0" fillId="6" borderId="21" xfId="0" applyNumberFormat="1" applyFill="1" applyBorder="1"/>
    <xf numFmtId="0" fontId="6" fillId="7" borderId="0" xfId="0" applyFont="1" applyFill="1" applyAlignment="1">
      <alignment horizontal="center" vertical="center" wrapText="1"/>
    </xf>
    <xf numFmtId="0" fontId="6" fillId="7" borderId="36" xfId="0" applyFont="1" applyFill="1" applyBorder="1" applyAlignment="1">
      <alignment horizontal="center" vertical="center" wrapText="1"/>
    </xf>
    <xf numFmtId="0" fontId="6" fillId="5" borderId="38" xfId="0" applyFont="1" applyFill="1" applyBorder="1" applyAlignment="1">
      <alignment horizontal="center" vertical="center"/>
    </xf>
    <xf numFmtId="0" fontId="6" fillId="5" borderId="0" xfId="0" applyFont="1" applyFill="1" applyAlignment="1">
      <alignment horizontal="center" vertical="center"/>
    </xf>
    <xf numFmtId="0" fontId="6" fillId="5" borderId="39" xfId="0" applyFont="1" applyFill="1" applyBorder="1" applyAlignment="1">
      <alignment horizontal="center" vertical="center"/>
    </xf>
    <xf numFmtId="0" fontId="6" fillId="7" borderId="38" xfId="0" applyFont="1" applyFill="1" applyBorder="1" applyAlignment="1">
      <alignment horizontal="center" vertical="center" wrapText="1"/>
    </xf>
    <xf numFmtId="0" fontId="6" fillId="7" borderId="43" xfId="0" applyFont="1" applyFill="1" applyBorder="1" applyAlignment="1">
      <alignment horizontal="center" vertical="center" wrapText="1"/>
    </xf>
    <xf numFmtId="0" fontId="6" fillId="7" borderId="40" xfId="0" applyFont="1" applyFill="1" applyBorder="1" applyAlignment="1">
      <alignment horizontal="center" vertical="center" wrapText="1"/>
    </xf>
    <xf numFmtId="0" fontId="6" fillId="7" borderId="41" xfId="0" applyFont="1" applyFill="1" applyBorder="1" applyAlignment="1">
      <alignment horizontal="center" vertical="center" wrapText="1"/>
    </xf>
    <xf numFmtId="0" fontId="3" fillId="16" borderId="198" xfId="0" applyFont="1" applyFill="1" applyBorder="1" applyAlignment="1">
      <alignment horizontal="center" vertical="center" wrapText="1"/>
    </xf>
    <xf numFmtId="0" fontId="3" fillId="16" borderId="36" xfId="0" applyFont="1" applyFill="1" applyBorder="1" applyAlignment="1">
      <alignment horizontal="center" vertical="center" wrapText="1"/>
    </xf>
    <xf numFmtId="0" fontId="3" fillId="16" borderId="54" xfId="0" applyFont="1" applyFill="1" applyBorder="1" applyAlignment="1">
      <alignment horizontal="center" vertical="center" wrapText="1"/>
    </xf>
    <xf numFmtId="0" fontId="6" fillId="39" borderId="38" xfId="0" applyFont="1" applyFill="1" applyBorder="1" applyAlignment="1">
      <alignment horizontal="center" vertical="center" wrapText="1"/>
    </xf>
    <xf numFmtId="0" fontId="6" fillId="16" borderId="199" xfId="0" applyFont="1" applyFill="1" applyBorder="1" applyAlignment="1">
      <alignment horizontal="center" vertical="center" wrapText="1"/>
    </xf>
    <xf numFmtId="0" fontId="6" fillId="16" borderId="38" xfId="0" applyFont="1" applyFill="1" applyBorder="1" applyAlignment="1">
      <alignment horizontal="center" vertical="center" wrapText="1"/>
    </xf>
    <xf numFmtId="0" fontId="6" fillId="16" borderId="197" xfId="0" applyFont="1" applyFill="1" applyBorder="1" applyAlignment="1">
      <alignment horizontal="center" vertical="center" wrapText="1"/>
    </xf>
    <xf numFmtId="0" fontId="6" fillId="17" borderId="0" xfId="0" applyFont="1" applyFill="1" applyAlignment="1">
      <alignment horizontal="center" vertical="center"/>
    </xf>
    <xf numFmtId="0" fontId="6" fillId="5" borderId="42" xfId="0" applyFont="1" applyFill="1" applyBorder="1" applyAlignment="1">
      <alignment horizontal="center" vertical="center"/>
    </xf>
    <xf numFmtId="0" fontId="3" fillId="6" borderId="52" xfId="0" applyFont="1" applyFill="1" applyBorder="1" applyAlignment="1">
      <alignment horizontal="center" vertical="center" wrapText="1"/>
    </xf>
    <xf numFmtId="0" fontId="3" fillId="6" borderId="36" xfId="0" applyFont="1" applyFill="1" applyBorder="1" applyAlignment="1">
      <alignment horizontal="center" vertical="center" wrapText="1"/>
    </xf>
    <xf numFmtId="0" fontId="3" fillId="6" borderId="54" xfId="0" applyFont="1" applyFill="1" applyBorder="1" applyAlignment="1">
      <alignment horizontal="center" vertical="center" wrapText="1"/>
    </xf>
    <xf numFmtId="0" fontId="6" fillId="6" borderId="196"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197" xfId="0" applyFont="1" applyFill="1" applyBorder="1" applyAlignment="1">
      <alignment horizontal="center" vertical="center"/>
    </xf>
    <xf numFmtId="0" fontId="20" fillId="31" borderId="172" xfId="0" applyFont="1" applyFill="1" applyBorder="1" applyAlignment="1">
      <alignment horizontal="center"/>
    </xf>
    <xf numFmtId="0" fontId="20" fillId="31" borderId="173" xfId="0" applyFont="1" applyFill="1" applyBorder="1" applyAlignment="1">
      <alignment horizontal="center"/>
    </xf>
    <xf numFmtId="0" fontId="20" fillId="18" borderId="300" xfId="0" applyFont="1" applyFill="1" applyBorder="1" applyAlignment="1">
      <alignment horizontal="center"/>
    </xf>
    <xf numFmtId="0" fontId="20" fillId="18" borderId="0" xfId="0" applyFont="1" applyFill="1" applyBorder="1" applyAlignment="1">
      <alignment horizontal="center"/>
    </xf>
    <xf numFmtId="0" fontId="20" fillId="18" borderId="344" xfId="0" applyFont="1" applyFill="1" applyBorder="1" applyAlignment="1">
      <alignment horizontal="center"/>
    </xf>
    <xf numFmtId="0" fontId="20" fillId="18" borderId="48" xfId="0" applyFont="1" applyFill="1" applyBorder="1" applyAlignment="1">
      <alignment horizontal="center"/>
    </xf>
    <xf numFmtId="0" fontId="20" fillId="18" borderId="0" xfId="0" applyFont="1" applyFill="1" applyAlignment="1">
      <alignment horizontal="center"/>
    </xf>
    <xf numFmtId="3" fontId="20" fillId="18" borderId="154" xfId="0" applyNumberFormat="1" applyFont="1" applyFill="1" applyBorder="1" applyAlignment="1">
      <alignment horizontal="center"/>
    </xf>
    <xf numFmtId="3" fontId="20" fillId="18" borderId="0" xfId="0" applyNumberFormat="1" applyFont="1" applyFill="1" applyAlignment="1">
      <alignment horizontal="center"/>
    </xf>
    <xf numFmtId="3" fontId="20" fillId="18" borderId="247" xfId="0" applyNumberFormat="1" applyFont="1" applyFill="1" applyBorder="1" applyAlignment="1">
      <alignment horizontal="center"/>
    </xf>
    <xf numFmtId="0" fontId="20" fillId="18" borderId="247" xfId="0" applyFont="1" applyFill="1" applyBorder="1" applyAlignment="1">
      <alignment horizontal="center"/>
    </xf>
    <xf numFmtId="0" fontId="20" fillId="18" borderId="154" xfId="0" applyFont="1" applyFill="1" applyBorder="1" applyAlignment="1">
      <alignment horizontal="center"/>
    </xf>
    <xf numFmtId="3" fontId="20" fillId="18" borderId="344" xfId="0" applyNumberFormat="1" applyFont="1" applyFill="1" applyBorder="1" applyAlignment="1">
      <alignment horizontal="center"/>
    </xf>
    <xf numFmtId="0" fontId="20" fillId="18" borderId="151" xfId="0" applyFont="1" applyFill="1" applyBorder="1" applyAlignment="1">
      <alignment horizontal="center" vertical="center"/>
    </xf>
    <xf numFmtId="0" fontId="20" fillId="18" borderId="152" xfId="0" applyFont="1" applyFill="1" applyBorder="1" applyAlignment="1">
      <alignment horizontal="center" vertical="center"/>
    </xf>
    <xf numFmtId="0" fontId="20" fillId="18" borderId="153" xfId="0" applyFont="1" applyFill="1" applyBorder="1" applyAlignment="1">
      <alignment horizontal="center" vertical="center"/>
    </xf>
    <xf numFmtId="0" fontId="20" fillId="18" borderId="154" xfId="0" applyFont="1" applyFill="1" applyBorder="1" applyAlignment="1">
      <alignment horizontal="center" vertical="center"/>
    </xf>
    <xf numFmtId="0" fontId="20" fillId="18" borderId="0" xfId="0" applyFont="1" applyFill="1" applyAlignment="1">
      <alignment horizontal="center" vertical="center"/>
    </xf>
    <xf numFmtId="0" fontId="20" fillId="18" borderId="150" xfId="0" applyFont="1" applyFill="1" applyBorder="1" applyAlignment="1">
      <alignment horizontal="center" vertical="center"/>
    </xf>
    <xf numFmtId="0" fontId="20" fillId="18" borderId="175" xfId="0" applyFont="1" applyFill="1" applyBorder="1" applyAlignment="1">
      <alignment horizontal="center" vertical="center"/>
    </xf>
    <xf numFmtId="0" fontId="20" fillId="18" borderId="155" xfId="0" applyFont="1" applyFill="1" applyBorder="1" applyAlignment="1">
      <alignment horizontal="center" vertical="center"/>
    </xf>
    <xf numFmtId="0" fontId="20" fillId="18" borderId="156" xfId="0" applyFont="1" applyFill="1" applyBorder="1" applyAlignment="1">
      <alignment horizontal="center" vertical="center"/>
    </xf>
    <xf numFmtId="0" fontId="20" fillId="18" borderId="287" xfId="0" applyFont="1" applyFill="1" applyBorder="1" applyAlignment="1">
      <alignment horizontal="center"/>
    </xf>
    <xf numFmtId="0" fontId="20" fillId="18" borderId="392" xfId="0" applyFont="1" applyFill="1" applyBorder="1" applyAlignment="1">
      <alignment horizontal="center" vertical="center" wrapText="1"/>
    </xf>
    <xf numFmtId="0" fontId="20" fillId="18" borderId="393" xfId="0" applyFont="1" applyFill="1" applyBorder="1" applyAlignment="1">
      <alignment horizontal="center" vertical="center" wrapText="1"/>
    </xf>
    <xf numFmtId="0" fontId="20" fillId="18" borderId="569" xfId="0" applyFont="1" applyFill="1" applyBorder="1" applyAlignment="1">
      <alignment horizontal="center"/>
    </xf>
    <xf numFmtId="0" fontId="20" fillId="18" borderId="393" xfId="0" applyFont="1" applyFill="1" applyBorder="1" applyAlignment="1">
      <alignment horizontal="center"/>
    </xf>
    <xf numFmtId="0" fontId="20" fillId="18" borderId="560" xfId="0" applyFont="1" applyFill="1" applyBorder="1" applyAlignment="1">
      <alignment horizontal="center" vertical="top"/>
    </xf>
    <xf numFmtId="0" fontId="20" fillId="18" borderId="396" xfId="0" applyFont="1" applyFill="1" applyBorder="1" applyAlignment="1">
      <alignment horizontal="center" vertical="top"/>
    </xf>
    <xf numFmtId="0" fontId="20" fillId="18" borderId="175" xfId="0" applyFont="1" applyFill="1" applyBorder="1" applyAlignment="1">
      <alignment horizontal="center"/>
    </xf>
    <xf numFmtId="0" fontId="20" fillId="18" borderId="155" xfId="0" applyFont="1" applyFill="1" applyBorder="1" applyAlignment="1">
      <alignment horizontal="center"/>
    </xf>
    <xf numFmtId="0" fontId="20" fillId="18" borderId="541" xfId="0" applyFont="1" applyFill="1" applyBorder="1" applyAlignment="1">
      <alignment horizontal="center"/>
    </xf>
    <xf numFmtId="0" fontId="20" fillId="18" borderId="542" xfId="0" applyFont="1" applyFill="1" applyBorder="1" applyAlignment="1">
      <alignment horizontal="center"/>
    </xf>
    <xf numFmtId="0" fontId="20" fillId="18" borderId="437" xfId="0" applyFont="1" applyFill="1" applyBorder="1" applyAlignment="1">
      <alignment horizontal="center"/>
    </xf>
    <xf numFmtId="0" fontId="20" fillId="18" borderId="51" xfId="0" applyFont="1" applyFill="1" applyBorder="1" applyAlignment="1">
      <alignment horizontal="center"/>
    </xf>
    <xf numFmtId="0" fontId="20" fillId="18" borderId="154" xfId="0" applyFont="1" applyFill="1" applyBorder="1" applyAlignment="1">
      <alignment horizontal="center" vertical="top"/>
    </xf>
    <xf numFmtId="0" fontId="20" fillId="18" borderId="0" xfId="0" applyFont="1" applyFill="1" applyAlignment="1">
      <alignment horizontal="center" vertical="top"/>
    </xf>
    <xf numFmtId="0" fontId="20" fillId="18" borderId="576" xfId="0" applyFont="1" applyFill="1" applyBorder="1" applyAlignment="1">
      <alignment horizontal="center"/>
    </xf>
    <xf numFmtId="0" fontId="20" fillId="18" borderId="508" xfId="0" applyFont="1" applyFill="1" applyBorder="1" applyAlignment="1">
      <alignment horizontal="center"/>
    </xf>
    <xf numFmtId="0" fontId="20" fillId="18" borderId="565" xfId="0" applyFont="1" applyFill="1" applyBorder="1" applyAlignment="1">
      <alignment horizontal="center"/>
    </xf>
    <xf numFmtId="0" fontId="20" fillId="18" borderId="566" xfId="0" applyFont="1" applyFill="1" applyBorder="1" applyAlignment="1">
      <alignment horizontal="center"/>
    </xf>
    <xf numFmtId="0" fontId="20" fillId="5" borderId="567" xfId="0" applyFont="1" applyFill="1" applyBorder="1" applyAlignment="1">
      <alignment horizontal="center" vertical="center"/>
    </xf>
    <xf numFmtId="0" fontId="20" fillId="5" borderId="568" xfId="0" applyFont="1" applyFill="1" applyBorder="1" applyAlignment="1">
      <alignment horizontal="center" vertical="center"/>
    </xf>
    <xf numFmtId="0" fontId="20" fillId="5" borderId="555" xfId="0" applyFont="1" applyFill="1" applyBorder="1" applyAlignment="1">
      <alignment horizontal="center" vertical="center"/>
    </xf>
    <xf numFmtId="0" fontId="20" fillId="5" borderId="570" xfId="0" applyFont="1" applyFill="1" applyBorder="1" applyAlignment="1">
      <alignment horizontal="center" vertical="center"/>
    </xf>
    <xf numFmtId="0" fontId="20" fillId="5" borderId="217" xfId="0" applyFont="1" applyFill="1" applyBorder="1" applyAlignment="1">
      <alignment horizontal="center" vertical="center" textRotation="90" wrapText="1"/>
    </xf>
    <xf numFmtId="0" fontId="20" fillId="5" borderId="559" xfId="0" applyFont="1" applyFill="1" applyBorder="1" applyAlignment="1">
      <alignment horizontal="center" vertical="center" textRotation="90" wrapText="1"/>
    </xf>
    <xf numFmtId="0" fontId="20" fillId="5" borderId="398" xfId="0" applyFont="1" applyFill="1" applyBorder="1" applyAlignment="1">
      <alignment horizontal="center" vertical="center" textRotation="90" wrapText="1"/>
    </xf>
    <xf numFmtId="0" fontId="20" fillId="5" borderId="546" xfId="0" applyFont="1" applyFill="1" applyBorder="1" applyAlignment="1">
      <alignment horizontal="center" vertical="center" textRotation="90" wrapText="1"/>
    </xf>
    <xf numFmtId="0" fontId="20" fillId="5" borderId="219" xfId="0" applyFont="1" applyFill="1" applyBorder="1" applyAlignment="1">
      <alignment horizontal="center" vertical="center" textRotation="90" wrapText="1"/>
    </xf>
    <xf numFmtId="0" fontId="20" fillId="5" borderId="553" xfId="0" applyFont="1" applyFill="1" applyBorder="1" applyAlignment="1">
      <alignment horizontal="center" vertical="center" textRotation="90" wrapText="1"/>
    </xf>
    <xf numFmtId="0" fontId="34" fillId="18" borderId="574" xfId="0" applyFont="1" applyFill="1" applyBorder="1" applyAlignment="1">
      <alignment horizontal="center" vertical="center" textRotation="90" wrapText="1"/>
    </xf>
    <xf numFmtId="0" fontId="34" fillId="18" borderId="398" xfId="0" applyFont="1" applyFill="1" applyBorder="1" applyAlignment="1">
      <alignment horizontal="center" vertical="center" textRotation="90" wrapText="1"/>
    </xf>
    <xf numFmtId="0" fontId="20" fillId="5" borderId="154" xfId="0" applyFont="1" applyFill="1" applyBorder="1" applyAlignment="1">
      <alignment horizontal="center" vertical="center"/>
    </xf>
    <xf numFmtId="0" fontId="20" fillId="5" borderId="0" xfId="0" applyFont="1" applyFill="1" applyAlignment="1">
      <alignment horizontal="center" vertical="center"/>
    </xf>
    <xf numFmtId="0" fontId="34" fillId="18" borderId="0" xfId="0" applyFont="1" applyFill="1" applyAlignment="1">
      <alignment horizontal="center" vertical="center" textRotation="90" wrapText="1"/>
    </xf>
    <xf numFmtId="0" fontId="20" fillId="18" borderId="150" xfId="0" applyFont="1" applyFill="1" applyBorder="1" applyAlignment="1">
      <alignment horizontal="center"/>
    </xf>
    <xf numFmtId="0" fontId="20" fillId="18" borderId="528" xfId="0" applyFont="1" applyFill="1" applyBorder="1" applyAlignment="1">
      <alignment horizontal="center"/>
    </xf>
    <xf numFmtId="0" fontId="20" fillId="18" borderId="302" xfId="0" applyFont="1" applyFill="1" applyBorder="1" applyAlignment="1">
      <alignment horizontal="center"/>
    </xf>
    <xf numFmtId="3" fontId="20" fillId="18" borderId="287" xfId="0" applyNumberFormat="1" applyFont="1" applyFill="1" applyBorder="1" applyAlignment="1">
      <alignment horizontal="center"/>
    </xf>
    <xf numFmtId="3" fontId="20" fillId="18" borderId="150" xfId="0" applyNumberFormat="1" applyFont="1" applyFill="1" applyBorder="1" applyAlignment="1">
      <alignment horizontal="center"/>
    </xf>
    <xf numFmtId="0" fontId="20" fillId="5" borderId="545" xfId="0" applyFont="1" applyFill="1" applyBorder="1" applyAlignment="1">
      <alignment horizontal="center" vertical="center"/>
    </xf>
    <xf numFmtId="0" fontId="20" fillId="5" borderId="558" xfId="0" applyFont="1" applyFill="1" applyBorder="1" applyAlignment="1">
      <alignment horizontal="center" vertical="center"/>
    </xf>
    <xf numFmtId="0" fontId="20" fillId="5" borderId="551" xfId="0" applyFont="1" applyFill="1" applyBorder="1" applyAlignment="1">
      <alignment horizontal="center" vertical="center"/>
    </xf>
    <xf numFmtId="0" fontId="20" fillId="5" borderId="547" xfId="0" applyFont="1" applyFill="1" applyBorder="1" applyAlignment="1">
      <alignment horizontal="center" vertical="center"/>
    </xf>
    <xf numFmtId="0" fontId="20" fillId="5" borderId="552" xfId="0" applyFont="1" applyFill="1" applyBorder="1" applyAlignment="1">
      <alignment horizontal="center" vertical="center"/>
    </xf>
    <xf numFmtId="0" fontId="20" fillId="18" borderId="561" xfId="0" applyFont="1" applyFill="1" applyBorder="1" applyAlignment="1">
      <alignment horizontal="center"/>
    </xf>
    <xf numFmtId="0" fontId="20" fillId="18" borderId="507" xfId="0" applyFont="1" applyFill="1" applyBorder="1" applyAlignment="1">
      <alignment horizontal="center"/>
    </xf>
    <xf numFmtId="0" fontId="20" fillId="18" borderId="569" xfId="0" applyFont="1" applyFill="1" applyBorder="1" applyAlignment="1">
      <alignment horizontal="center" vertical="top"/>
    </xf>
    <xf numFmtId="0" fontId="20" fillId="18" borderId="393" xfId="0" applyFont="1" applyFill="1" applyBorder="1" applyAlignment="1">
      <alignment horizontal="center" vertical="top"/>
    </xf>
    <xf numFmtId="0" fontId="20" fillId="5" borderId="152" xfId="0" applyFont="1" applyFill="1" applyBorder="1" applyAlignment="1">
      <alignment horizontal="center" vertical="center" textRotation="90" wrapText="1"/>
    </xf>
    <xf numFmtId="0" fontId="20" fillId="5" borderId="0" xfId="0" applyFont="1" applyFill="1" applyAlignment="1">
      <alignment horizontal="center" vertical="center" textRotation="90" wrapText="1"/>
    </xf>
    <xf numFmtId="0" fontId="20" fillId="5" borderId="155" xfId="0" applyFont="1" applyFill="1" applyBorder="1" applyAlignment="1">
      <alignment horizontal="center" vertical="center" textRotation="90" wrapText="1"/>
    </xf>
    <xf numFmtId="0" fontId="20" fillId="18" borderId="436" xfId="0" applyFont="1" applyFill="1" applyBorder="1" applyAlignment="1">
      <alignment horizontal="center" vertical="top"/>
    </xf>
    <xf numFmtId="0" fontId="20" fillId="18" borderId="46" xfId="0" applyFont="1" applyFill="1" applyBorder="1" applyAlignment="1">
      <alignment horizontal="center" vertical="top"/>
    </xf>
    <xf numFmtId="0" fontId="20" fillId="18" borderId="436" xfId="0" applyFont="1" applyFill="1" applyBorder="1" applyAlignment="1">
      <alignment horizontal="center"/>
    </xf>
    <xf numFmtId="0" fontId="20" fillId="18" borderId="46" xfId="0" applyFont="1" applyFill="1" applyBorder="1" applyAlignment="1">
      <alignment horizontal="center"/>
    </xf>
    <xf numFmtId="0" fontId="20" fillId="18" borderId="560" xfId="0" applyFont="1" applyFill="1" applyBorder="1" applyAlignment="1">
      <alignment horizontal="center"/>
    </xf>
    <xf numFmtId="0" fontId="20" fillId="18" borderId="396" xfId="0" applyFont="1" applyFill="1" applyBorder="1" applyAlignment="1">
      <alignment horizontal="center"/>
    </xf>
    <xf numFmtId="0" fontId="20" fillId="18" borderId="151" xfId="0" applyFont="1" applyFill="1" applyBorder="1" applyAlignment="1">
      <alignment horizontal="center"/>
    </xf>
    <xf numFmtId="0" fontId="20" fillId="18" borderId="152" xfId="0" applyFont="1" applyFill="1" applyBorder="1" applyAlignment="1">
      <alignment horizontal="center"/>
    </xf>
    <xf numFmtId="0" fontId="20" fillId="10" borderId="577" xfId="0" applyFont="1" applyFill="1" applyBorder="1" applyAlignment="1">
      <alignment horizontal="center" textRotation="90"/>
    </xf>
    <xf numFmtId="0" fontId="20" fillId="10" borderId="573" xfId="0" applyFont="1" applyFill="1" applyBorder="1" applyAlignment="1">
      <alignment horizontal="center" textRotation="90"/>
    </xf>
    <xf numFmtId="0" fontId="20" fillId="10" borderId="572" xfId="0" applyFont="1" applyFill="1" applyBorder="1" applyAlignment="1">
      <alignment horizontal="center" textRotation="90"/>
    </xf>
    <xf numFmtId="0" fontId="20" fillId="18" borderId="583" xfId="0" applyFont="1" applyFill="1" applyBorder="1" applyAlignment="1">
      <alignment horizontal="center" textRotation="90"/>
    </xf>
    <xf numFmtId="0" fontId="20" fillId="18" borderId="554" xfId="0" applyFont="1" applyFill="1" applyBorder="1" applyAlignment="1">
      <alignment horizontal="center" textRotation="90"/>
    </xf>
    <xf numFmtId="0" fontId="20" fillId="18" borderId="344" xfId="0" applyFont="1" applyFill="1" applyBorder="1" applyAlignment="1">
      <alignment horizontal="center" textRotation="90"/>
    </xf>
    <xf numFmtId="0" fontId="20" fillId="10" borderId="152" xfId="0" applyFont="1" applyFill="1" applyBorder="1" applyAlignment="1">
      <alignment horizontal="center" textRotation="90"/>
    </xf>
    <xf numFmtId="0" fontId="20" fillId="10" borderId="0" xfId="0" applyFont="1" applyFill="1" applyAlignment="1">
      <alignment horizontal="center" textRotation="90"/>
    </xf>
    <xf numFmtId="0" fontId="20" fillId="10" borderId="583" xfId="0" applyFont="1" applyFill="1" applyBorder="1" applyAlignment="1">
      <alignment horizontal="center" textRotation="90"/>
    </xf>
    <xf numFmtId="0" fontId="20" fillId="10" borderId="554" xfId="0" applyFont="1" applyFill="1" applyBorder="1" applyAlignment="1">
      <alignment horizontal="center" textRotation="90"/>
    </xf>
    <xf numFmtId="0" fontId="20" fillId="10" borderId="582" xfId="0" applyFont="1" applyFill="1" applyBorder="1" applyAlignment="1">
      <alignment horizontal="center" textRotation="90"/>
    </xf>
    <xf numFmtId="0" fontId="20" fillId="18" borderId="392" xfId="0" applyFont="1" applyFill="1" applyBorder="1" applyAlignment="1">
      <alignment horizontal="center"/>
    </xf>
    <xf numFmtId="0" fontId="20" fillId="18" borderId="578" xfId="0" applyFont="1" applyFill="1" applyBorder="1" applyAlignment="1">
      <alignment horizontal="center"/>
    </xf>
    <xf numFmtId="0" fontId="20" fillId="18" borderId="524" xfId="0" applyFont="1" applyFill="1" applyBorder="1" applyAlignment="1">
      <alignment horizontal="center"/>
    </xf>
    <xf numFmtId="0" fontId="20" fillId="18" borderId="298" xfId="0" applyFont="1" applyFill="1" applyBorder="1" applyAlignment="1">
      <alignment horizontal="center"/>
    </xf>
    <xf numFmtId="0" fontId="20" fillId="31" borderId="211" xfId="0" applyFont="1" applyFill="1" applyBorder="1" applyAlignment="1">
      <alignment horizontal="center"/>
    </xf>
    <xf numFmtId="0" fontId="20" fillId="31" borderId="212" xfId="0" applyFont="1" applyFill="1" applyBorder="1" applyAlignment="1">
      <alignment horizontal="center"/>
    </xf>
    <xf numFmtId="0" fontId="20" fillId="31" borderId="213" xfId="0" applyFont="1" applyFill="1" applyBorder="1" applyAlignment="1">
      <alignment horizontal="center"/>
    </xf>
    <xf numFmtId="0" fontId="20" fillId="18" borderId="124" xfId="0" applyFont="1" applyFill="1" applyBorder="1" applyAlignment="1">
      <alignment horizontal="center" vertical="center"/>
    </xf>
    <xf numFmtId="0" fontId="20" fillId="18" borderId="125" xfId="0" applyFont="1" applyFill="1" applyBorder="1" applyAlignment="1">
      <alignment horizontal="center" vertical="center"/>
    </xf>
    <xf numFmtId="0" fontId="20" fillId="18" borderId="126" xfId="0" applyFont="1" applyFill="1" applyBorder="1" applyAlignment="1">
      <alignment horizontal="center" vertical="center"/>
    </xf>
    <xf numFmtId="0" fontId="20" fillId="18" borderId="127" xfId="0" applyFont="1" applyFill="1" applyBorder="1" applyAlignment="1">
      <alignment horizontal="center" vertical="center"/>
    </xf>
    <xf numFmtId="0" fontId="20" fillId="18" borderId="0" xfId="0" applyFont="1" applyFill="1" applyBorder="1" applyAlignment="1">
      <alignment horizontal="center" vertical="center"/>
    </xf>
    <xf numFmtId="0" fontId="20" fillId="18" borderId="128" xfId="0" applyFont="1" applyFill="1" applyBorder="1" applyAlignment="1">
      <alignment horizontal="center" vertical="center"/>
    </xf>
    <xf numFmtId="0" fontId="20" fillId="18" borderId="129" xfId="0" applyFont="1" applyFill="1" applyBorder="1" applyAlignment="1">
      <alignment horizontal="center" vertical="center"/>
    </xf>
    <xf numFmtId="0" fontId="20" fillId="18" borderId="130" xfId="0" applyFont="1" applyFill="1" applyBorder="1" applyAlignment="1">
      <alignment horizontal="center" vertical="center"/>
    </xf>
    <xf numFmtId="0" fontId="20" fillId="18" borderId="131" xfId="0" applyFont="1" applyFill="1" applyBorder="1" applyAlignment="1">
      <alignment horizontal="center" vertical="center"/>
    </xf>
    <xf numFmtId="3" fontId="20" fillId="18" borderId="0" xfId="0" applyNumberFormat="1" applyFont="1" applyFill="1" applyBorder="1" applyAlignment="1">
      <alignment horizontal="center"/>
    </xf>
    <xf numFmtId="0" fontId="20" fillId="30" borderId="126" xfId="0" applyFont="1" applyFill="1" applyBorder="1" applyAlignment="1">
      <alignment horizontal="center"/>
    </xf>
    <xf numFmtId="0" fontId="20" fillId="30" borderId="128" xfId="0" applyFont="1" applyFill="1" applyBorder="1" applyAlignment="1">
      <alignment horizontal="center"/>
    </xf>
    <xf numFmtId="0" fontId="20" fillId="18" borderId="602" xfId="0" applyFont="1" applyFill="1" applyBorder="1" applyAlignment="1">
      <alignment horizontal="center"/>
    </xf>
    <xf numFmtId="0" fontId="20" fillId="18" borderId="613" xfId="0" applyFont="1" applyFill="1" applyBorder="1" applyAlignment="1">
      <alignment horizontal="center"/>
    </xf>
    <xf numFmtId="0" fontId="20" fillId="18" borderId="614" xfId="0" applyFont="1" applyFill="1" applyBorder="1" applyAlignment="1">
      <alignment horizontal="center"/>
    </xf>
    <xf numFmtId="0" fontId="20" fillId="5" borderId="0" xfId="0" applyFont="1" applyFill="1" applyBorder="1" applyAlignment="1">
      <alignment horizontal="center" vertical="center" textRotation="90" wrapText="1"/>
    </xf>
    <xf numFmtId="0" fontId="20" fillId="5" borderId="547" xfId="0" applyFont="1" applyFill="1" applyBorder="1" applyAlignment="1">
      <alignment horizontal="center" vertical="center" wrapText="1"/>
    </xf>
    <xf numFmtId="0" fontId="20" fillId="5" borderId="555" xfId="0" applyFont="1" applyFill="1" applyBorder="1" applyAlignment="1">
      <alignment horizontal="center" vertical="center" wrapText="1"/>
    </xf>
    <xf numFmtId="0" fontId="20" fillId="5" borderId="610" xfId="0" applyFont="1" applyFill="1" applyBorder="1" applyAlignment="1">
      <alignment horizontal="center" vertical="center" wrapText="1"/>
    </xf>
    <xf numFmtId="3" fontId="20" fillId="18" borderId="300" xfId="0" applyNumberFormat="1" applyFont="1" applyFill="1" applyBorder="1" applyAlignment="1">
      <alignment horizontal="center"/>
    </xf>
    <xf numFmtId="0" fontId="20" fillId="18" borderId="128" xfId="0" applyFont="1" applyFill="1" applyBorder="1" applyAlignment="1">
      <alignment horizontal="center"/>
    </xf>
    <xf numFmtId="3" fontId="20" fillId="18" borderId="127" xfId="0" applyNumberFormat="1" applyFont="1" applyFill="1" applyBorder="1" applyAlignment="1">
      <alignment horizontal="center"/>
    </xf>
    <xf numFmtId="0" fontId="20" fillId="10" borderId="125" xfId="0" applyFont="1" applyFill="1" applyBorder="1" applyAlignment="1">
      <alignment horizontal="center" textRotation="90" wrapText="1"/>
    </xf>
    <xf numFmtId="0" fontId="20" fillId="10" borderId="0" xfId="0" applyFont="1" applyFill="1" applyBorder="1" applyAlignment="1">
      <alignment horizontal="center" textRotation="90" wrapText="1"/>
    </xf>
    <xf numFmtId="3" fontId="20" fillId="18" borderId="128" xfId="0" applyNumberFormat="1" applyFont="1" applyFill="1" applyBorder="1" applyAlignment="1">
      <alignment horizontal="center"/>
    </xf>
    <xf numFmtId="3" fontId="20" fillId="18" borderId="288" xfId="0" applyNumberFormat="1" applyFont="1" applyFill="1" applyBorder="1" applyAlignment="1">
      <alignment horizontal="center"/>
    </xf>
    <xf numFmtId="3" fontId="20" fillId="18" borderId="130" xfId="0" applyNumberFormat="1" applyFont="1" applyFill="1" applyBorder="1" applyAlignment="1">
      <alignment horizontal="center"/>
    </xf>
    <xf numFmtId="0" fontId="20" fillId="5" borderId="0" xfId="0" applyFont="1" applyFill="1" applyBorder="1" applyAlignment="1">
      <alignment horizontal="center" vertical="center"/>
    </xf>
    <xf numFmtId="3" fontId="20" fillId="18" borderId="51" xfId="0" applyNumberFormat="1" applyFont="1" applyFill="1" applyBorder="1" applyAlignment="1">
      <alignment horizontal="center"/>
    </xf>
    <xf numFmtId="0" fontId="20" fillId="10" borderId="621" xfId="0" applyFont="1" applyFill="1" applyBorder="1" applyAlignment="1">
      <alignment horizontal="center" vertical="center" textRotation="90"/>
    </xf>
    <xf numFmtId="0" fontId="20" fillId="10" borderId="573" xfId="0" applyFont="1" applyFill="1" applyBorder="1" applyAlignment="1">
      <alignment horizontal="center" vertical="center" textRotation="90"/>
    </xf>
    <xf numFmtId="0" fontId="20" fillId="10" borderId="572" xfId="0" applyFont="1" applyFill="1" applyBorder="1" applyAlignment="1">
      <alignment horizontal="center" vertical="center" textRotation="90"/>
    </xf>
    <xf numFmtId="0" fontId="20" fillId="18" borderId="631" xfId="0" applyFont="1" applyFill="1" applyBorder="1" applyAlignment="1">
      <alignment horizontal="center" vertical="center" wrapText="1"/>
    </xf>
    <xf numFmtId="0" fontId="20" fillId="18" borderId="508" xfId="0" applyFont="1" applyFill="1" applyBorder="1" applyAlignment="1">
      <alignment horizontal="center" vertical="center" wrapText="1"/>
    </xf>
    <xf numFmtId="0" fontId="20" fillId="18" borderId="611" xfId="0" applyFont="1" applyFill="1" applyBorder="1" applyAlignment="1">
      <alignment horizontal="center" vertical="top"/>
    </xf>
    <xf numFmtId="0" fontId="20" fillId="18" borderId="298" xfId="0" applyFont="1" applyFill="1" applyBorder="1" applyAlignment="1">
      <alignment horizontal="center" vertical="top"/>
    </xf>
    <xf numFmtId="0" fontId="20" fillId="5" borderId="204" xfId="0" applyFont="1" applyFill="1" applyBorder="1" applyAlignment="1">
      <alignment horizontal="center" vertical="center" textRotation="90" wrapText="1"/>
    </xf>
    <xf numFmtId="0" fontId="20" fillId="5" borderId="205" xfId="0" applyFont="1" applyFill="1" applyBorder="1" applyAlignment="1">
      <alignment horizontal="center" vertical="center" textRotation="90" wrapText="1"/>
    </xf>
    <xf numFmtId="0" fontId="20" fillId="5" borderId="626" xfId="0" applyFont="1" applyFill="1" applyBorder="1" applyAlignment="1">
      <alignment horizontal="center" vertical="center"/>
    </xf>
    <xf numFmtId="0" fontId="20" fillId="18" borderId="344" xfId="0" applyFont="1" applyFill="1" applyBorder="1" applyAlignment="1">
      <alignment horizontal="center" vertical="center"/>
    </xf>
    <xf numFmtId="0" fontId="20" fillId="18" borderId="0" xfId="0" applyFont="1" applyFill="1" applyBorder="1" applyAlignment="1">
      <alignment horizontal="center" vertical="top"/>
    </xf>
    <xf numFmtId="0" fontId="20" fillId="18" borderId="609" xfId="0" applyFont="1" applyFill="1" applyBorder="1" applyAlignment="1">
      <alignment horizontal="center"/>
    </xf>
    <xf numFmtId="0" fontId="20" fillId="18" borderId="127" xfId="0" applyFont="1" applyFill="1" applyBorder="1" applyAlignment="1">
      <alignment horizontal="center"/>
    </xf>
    <xf numFmtId="0" fontId="20" fillId="18" borderId="140" xfId="0" applyFont="1" applyFill="1" applyBorder="1" applyAlignment="1">
      <alignment horizontal="center"/>
    </xf>
    <xf numFmtId="0" fontId="20" fillId="18" borderId="606" xfId="0" applyFont="1" applyFill="1" applyBorder="1" applyAlignment="1">
      <alignment horizontal="center"/>
    </xf>
    <xf numFmtId="0" fontId="20" fillId="5" borderId="567" xfId="0" applyFont="1" applyFill="1" applyBorder="1" applyAlignment="1">
      <alignment horizontal="center" vertical="center" wrapText="1"/>
    </xf>
    <xf numFmtId="0" fontId="20" fillId="5" borderId="568" xfId="0" applyFont="1" applyFill="1" applyBorder="1" applyAlignment="1">
      <alignment horizontal="center" vertical="center" wrapText="1"/>
    </xf>
    <xf numFmtId="0" fontId="20" fillId="5" borderId="635" xfId="0" applyFont="1" applyFill="1" applyBorder="1" applyAlignment="1">
      <alignment horizontal="center" vertical="center" wrapText="1"/>
    </xf>
    <xf numFmtId="0" fontId="20" fillId="10" borderId="621" xfId="0" applyFont="1" applyFill="1" applyBorder="1" applyAlignment="1">
      <alignment horizontal="center" vertical="center" textRotation="90" wrapText="1"/>
    </xf>
    <xf numFmtId="0" fontId="20" fillId="10" borderId="573" xfId="0" applyFont="1" applyFill="1" applyBorder="1" applyAlignment="1">
      <alignment horizontal="center" vertical="center" textRotation="90" wrapText="1"/>
    </xf>
    <xf numFmtId="0" fontId="20" fillId="10" borderId="572" xfId="0" applyFont="1" applyFill="1" applyBorder="1" applyAlignment="1">
      <alignment horizontal="center" vertical="center" textRotation="90" wrapText="1"/>
    </xf>
    <xf numFmtId="0" fontId="20" fillId="18" borderId="287" xfId="0" applyFont="1" applyFill="1" applyBorder="1" applyAlignment="1">
      <alignment horizontal="center" vertical="center"/>
    </xf>
    <xf numFmtId="0" fontId="20" fillId="18" borderId="48" xfId="0" applyFont="1" applyFill="1" applyBorder="1" applyAlignment="1">
      <alignment horizontal="center" vertical="center"/>
    </xf>
    <xf numFmtId="0" fontId="20" fillId="18" borderId="624" xfId="0" applyFont="1" applyFill="1" applyBorder="1" applyAlignment="1">
      <alignment horizontal="center"/>
    </xf>
    <xf numFmtId="0" fontId="20" fillId="10" borderId="0" xfId="0" applyFont="1" applyFill="1" applyAlignment="1">
      <alignment horizontal="center" vertical="center"/>
    </xf>
    <xf numFmtId="0" fontId="20" fillId="10" borderId="63" xfId="0" applyFont="1" applyFill="1" applyBorder="1" applyAlignment="1">
      <alignment horizontal="center" vertical="center"/>
    </xf>
    <xf numFmtId="0" fontId="20" fillId="5" borderId="398" xfId="0" applyFont="1" applyFill="1" applyBorder="1" applyAlignment="1">
      <alignment horizontal="center" vertical="center"/>
    </xf>
    <xf numFmtId="0" fontId="20" fillId="5" borderId="58" xfId="0" applyFont="1" applyFill="1" applyBorder="1" applyAlignment="1">
      <alignment horizontal="center" vertical="center"/>
    </xf>
    <xf numFmtId="3" fontId="20" fillId="18" borderId="160" xfId="0" applyNumberFormat="1" applyFont="1" applyFill="1" applyBorder="1" applyAlignment="1">
      <alignment horizontal="center"/>
    </xf>
    <xf numFmtId="3" fontId="20" fillId="18" borderId="48" xfId="0" applyNumberFormat="1" applyFont="1" applyFill="1" applyBorder="1" applyAlignment="1">
      <alignment horizontal="center"/>
    </xf>
    <xf numFmtId="0" fontId="20" fillId="18" borderId="47" xfId="0" applyFont="1" applyFill="1" applyBorder="1" applyAlignment="1">
      <alignment horizontal="center"/>
    </xf>
    <xf numFmtId="3" fontId="20" fillId="18" borderId="161" xfId="0" applyNumberFormat="1" applyFont="1" applyFill="1" applyBorder="1" applyAlignment="1">
      <alignment horizontal="center"/>
    </xf>
    <xf numFmtId="0" fontId="20" fillId="18" borderId="160" xfId="0" applyFont="1" applyFill="1" applyBorder="1" applyAlignment="1">
      <alignment horizontal="center"/>
    </xf>
    <xf numFmtId="0" fontId="20" fillId="18" borderId="157" xfId="0" applyFont="1" applyFill="1" applyBorder="1" applyAlignment="1">
      <alignment horizontal="center" vertical="center"/>
    </xf>
    <xf numFmtId="0" fontId="20" fillId="18" borderId="158" xfId="0" applyFont="1" applyFill="1" applyBorder="1" applyAlignment="1">
      <alignment horizontal="center" vertical="center"/>
    </xf>
    <xf numFmtId="0" fontId="20" fillId="18" borderId="159" xfId="0" applyFont="1" applyFill="1" applyBorder="1" applyAlignment="1">
      <alignment horizontal="center" vertical="center"/>
    </xf>
    <xf numFmtId="0" fontId="20" fillId="18" borderId="160" xfId="0" applyFont="1" applyFill="1" applyBorder="1" applyAlignment="1">
      <alignment horizontal="center" vertical="center"/>
    </xf>
    <xf numFmtId="0" fontId="20" fillId="18" borderId="161" xfId="0" applyFont="1" applyFill="1" applyBorder="1" applyAlignment="1">
      <alignment horizontal="center" vertical="center"/>
    </xf>
    <xf numFmtId="0" fontId="20" fillId="18" borderId="162" xfId="0" applyFont="1" applyFill="1" applyBorder="1" applyAlignment="1">
      <alignment horizontal="center" vertical="center"/>
    </xf>
    <xf numFmtId="0" fontId="20" fillId="18" borderId="163" xfId="0" applyFont="1" applyFill="1" applyBorder="1" applyAlignment="1">
      <alignment horizontal="center" vertical="center"/>
    </xf>
    <xf numFmtId="0" fontId="20" fillId="18" borderId="165" xfId="0" applyFont="1" applyFill="1" applyBorder="1" applyAlignment="1">
      <alignment horizontal="center" vertical="center"/>
    </xf>
    <xf numFmtId="0" fontId="20" fillId="18" borderId="161" xfId="0" applyFont="1" applyFill="1" applyBorder="1" applyAlignment="1">
      <alignment horizontal="center"/>
    </xf>
    <xf numFmtId="0" fontId="20" fillId="5" borderId="437" xfId="0" applyFont="1" applyFill="1" applyBorder="1" applyAlignment="1">
      <alignment horizontal="center" vertical="center"/>
    </xf>
    <xf numFmtId="0" fontId="20" fillId="5" borderId="51" xfId="0" applyFont="1" applyFill="1" applyBorder="1" applyAlignment="1">
      <alignment horizontal="center" vertical="center"/>
    </xf>
    <xf numFmtId="0" fontId="20" fillId="5" borderId="436" xfId="0" applyFont="1" applyFill="1" applyBorder="1" applyAlignment="1">
      <alignment horizontal="center" vertical="center"/>
    </xf>
    <xf numFmtId="0" fontId="20" fillId="5" borderId="46" xfId="0" applyFont="1" applyFill="1" applyBorder="1" applyAlignment="1">
      <alignment horizontal="center" vertical="center"/>
    </xf>
    <xf numFmtId="0" fontId="20" fillId="5" borderId="189" xfId="0" applyFont="1" applyFill="1" applyBorder="1" applyAlignment="1">
      <alignment horizontal="center" vertical="center" wrapText="1"/>
    </xf>
    <xf numFmtId="0" fontId="20" fillId="5" borderId="48" xfId="0" applyFont="1" applyFill="1" applyBorder="1" applyAlignment="1">
      <alignment horizontal="center" vertical="center" wrapText="1"/>
    </xf>
    <xf numFmtId="0" fontId="20" fillId="5" borderId="184" xfId="0" applyFont="1" applyFill="1" applyBorder="1" applyAlignment="1">
      <alignment horizontal="center" vertical="center" wrapText="1"/>
    </xf>
    <xf numFmtId="0" fontId="20" fillId="18" borderId="394" xfId="0" applyFont="1" applyFill="1" applyBorder="1" applyAlignment="1">
      <alignment horizontal="center"/>
    </xf>
    <xf numFmtId="3" fontId="20" fillId="18" borderId="47" xfId="0" applyNumberFormat="1" applyFont="1" applyFill="1" applyBorder="1" applyAlignment="1">
      <alignment horizontal="center"/>
    </xf>
    <xf numFmtId="0" fontId="20" fillId="5" borderId="0" xfId="0" applyFont="1" applyFill="1" applyBorder="1" applyAlignment="1">
      <alignment horizontal="center" vertical="center" wrapText="1"/>
    </xf>
    <xf numFmtId="0" fontId="20" fillId="5" borderId="488" xfId="0" applyFont="1" applyFill="1" applyBorder="1" applyAlignment="1">
      <alignment horizontal="center" vertical="center"/>
    </xf>
    <xf numFmtId="0" fontId="20" fillId="5" borderId="439" xfId="0" applyFont="1" applyFill="1" applyBorder="1" applyAlignment="1">
      <alignment horizontal="center" vertical="center"/>
    </xf>
    <xf numFmtId="0" fontId="20" fillId="5" borderId="448" xfId="0" applyFont="1" applyFill="1" applyBorder="1" applyAlignment="1">
      <alignment horizontal="center" vertical="center"/>
    </xf>
    <xf numFmtId="0" fontId="20" fillId="5" borderId="150" xfId="0" applyFont="1" applyFill="1" applyBorder="1" applyAlignment="1">
      <alignment horizontal="center" vertical="center"/>
    </xf>
    <xf numFmtId="0" fontId="20" fillId="30" borderId="0" xfId="0" applyFont="1" applyFill="1" applyBorder="1" applyAlignment="1">
      <alignment horizontal="center"/>
    </xf>
    <xf numFmtId="0" fontId="20" fillId="30" borderId="145" xfId="0" applyFont="1" applyFill="1" applyBorder="1" applyAlignment="1">
      <alignment horizontal="center"/>
    </xf>
    <xf numFmtId="0" fontId="20" fillId="30" borderId="168" xfId="0" applyFont="1" applyFill="1" applyBorder="1" applyAlignment="1">
      <alignment horizontal="center"/>
    </xf>
    <xf numFmtId="0" fontId="20" fillId="30" borderId="144" xfId="0" applyFont="1" applyFill="1" applyBorder="1" applyAlignment="1">
      <alignment horizontal="center"/>
    </xf>
    <xf numFmtId="0" fontId="20" fillId="34" borderId="127" xfId="0" applyFont="1" applyFill="1" applyBorder="1" applyAlignment="1">
      <alignment horizontal="center" vertical="center"/>
    </xf>
    <xf numFmtId="0" fontId="20" fillId="34" borderId="0" xfId="0" applyFont="1" applyFill="1" applyBorder="1" applyAlignment="1">
      <alignment horizontal="center" vertical="center"/>
    </xf>
    <xf numFmtId="0" fontId="20" fillId="34" borderId="128" xfId="0" applyFont="1" applyFill="1" applyBorder="1" applyAlignment="1">
      <alignment horizontal="center" vertical="center"/>
    </xf>
    <xf numFmtId="0" fontId="20" fillId="10" borderId="0" xfId="0" applyFont="1" applyFill="1" applyBorder="1" applyAlignment="1">
      <alignment horizontal="center"/>
    </xf>
    <xf numFmtId="0" fontId="20" fillId="5" borderId="217" xfId="0" applyFont="1" applyFill="1" applyBorder="1" applyAlignment="1">
      <alignment horizontal="center" vertical="center"/>
    </xf>
    <xf numFmtId="0" fontId="20" fillId="5" borderId="152" xfId="0" applyFont="1" applyFill="1" applyBorder="1" applyAlignment="1">
      <alignment horizontal="center" vertical="center"/>
    </xf>
    <xf numFmtId="0" fontId="20" fillId="5" borderId="218" xfId="0" applyFont="1" applyFill="1" applyBorder="1" applyAlignment="1">
      <alignment horizontal="center" vertical="center"/>
    </xf>
    <xf numFmtId="0" fontId="20" fillId="5" borderId="219" xfId="0" applyFont="1" applyFill="1" applyBorder="1" applyAlignment="1">
      <alignment horizontal="center" vertical="center"/>
    </xf>
    <xf numFmtId="0" fontId="20" fillId="5" borderId="155" xfId="0" applyFont="1" applyFill="1" applyBorder="1" applyAlignment="1">
      <alignment horizontal="center" vertical="center"/>
    </xf>
    <xf numFmtId="0" fontId="20" fillId="5" borderId="220" xfId="0" applyFont="1" applyFill="1" applyBorder="1" applyAlignment="1">
      <alignment horizontal="center" vertical="center"/>
    </xf>
    <xf numFmtId="0" fontId="20" fillId="5" borderId="222" xfId="0" applyFont="1" applyFill="1" applyBorder="1" applyAlignment="1">
      <alignment horizontal="center" vertical="center"/>
    </xf>
    <xf numFmtId="0" fontId="20" fillId="5" borderId="114" xfId="0" applyFont="1" applyFill="1" applyBorder="1" applyAlignment="1">
      <alignment horizontal="center" vertical="center"/>
    </xf>
    <xf numFmtId="0" fontId="20" fillId="5" borderId="119" xfId="0" applyFont="1" applyFill="1" applyBorder="1" applyAlignment="1">
      <alignment horizontal="center" vertical="center"/>
    </xf>
    <xf numFmtId="0" fontId="20" fillId="19" borderId="0" xfId="0" applyFont="1" applyFill="1" applyBorder="1" applyAlignment="1">
      <alignment horizontal="center" vertical="center"/>
    </xf>
    <xf numFmtId="0" fontId="20" fillId="19" borderId="150" xfId="0" applyFont="1" applyFill="1" applyBorder="1" applyAlignment="1">
      <alignment horizontal="center" vertical="center"/>
    </xf>
    <xf numFmtId="0" fontId="20" fillId="34" borderId="154" xfId="0" applyFont="1" applyFill="1" applyBorder="1" applyAlignment="1">
      <alignment horizontal="center" vertical="center"/>
    </xf>
    <xf numFmtId="0" fontId="20" fillId="34" borderId="150" xfId="0" applyFont="1" applyFill="1" applyBorder="1" applyAlignment="1">
      <alignment horizontal="center" vertical="center"/>
    </xf>
    <xf numFmtId="0" fontId="20" fillId="20" borderId="120" xfId="0" applyFont="1" applyFill="1" applyBorder="1" applyAlignment="1">
      <alignment horizontal="center"/>
    </xf>
    <xf numFmtId="0" fontId="20" fillId="20" borderId="0" xfId="0" applyFont="1" applyFill="1" applyBorder="1" applyAlignment="1">
      <alignment horizontal="center"/>
    </xf>
    <xf numFmtId="0" fontId="20" fillId="20" borderId="109" xfId="0" applyFont="1" applyFill="1" applyBorder="1" applyAlignment="1">
      <alignment horizontal="center"/>
    </xf>
    <xf numFmtId="0" fontId="20" fillId="10" borderId="120" xfId="0" applyFont="1" applyFill="1" applyBorder="1" applyAlignment="1">
      <alignment horizontal="center"/>
    </xf>
    <xf numFmtId="0" fontId="20" fillId="10" borderId="203" xfId="0" applyFont="1" applyFill="1" applyBorder="1" applyAlignment="1">
      <alignment horizontal="center"/>
    </xf>
    <xf numFmtId="0" fontId="20" fillId="22" borderId="120" xfId="0" applyFont="1" applyFill="1" applyBorder="1" applyAlignment="1">
      <alignment horizontal="center"/>
    </xf>
    <xf numFmtId="0" fontId="20" fillId="22" borderId="0" xfId="0" applyFont="1" applyFill="1" applyBorder="1" applyAlignment="1">
      <alignment horizontal="center"/>
    </xf>
    <xf numFmtId="0" fontId="20" fillId="22" borderId="109" xfId="0" applyFont="1" applyFill="1" applyBorder="1" applyAlignment="1">
      <alignment horizontal="center"/>
    </xf>
    <xf numFmtId="0" fontId="20" fillId="5" borderId="204" xfId="0" applyFont="1" applyFill="1" applyBorder="1" applyAlignment="1">
      <alignment horizontal="center" vertical="center"/>
    </xf>
    <xf numFmtId="0" fontId="20" fillId="5" borderId="125" xfId="0" applyFont="1" applyFill="1" applyBorder="1" applyAlignment="1">
      <alignment horizontal="center" vertical="center"/>
    </xf>
    <xf numFmtId="0" fontId="20" fillId="5" borderId="201" xfId="0" applyFont="1" applyFill="1" applyBorder="1" applyAlignment="1">
      <alignment horizontal="center" vertical="center"/>
    </xf>
    <xf numFmtId="0" fontId="20" fillId="5" borderId="205" xfId="0" applyFont="1" applyFill="1" applyBorder="1" applyAlignment="1">
      <alignment horizontal="center" vertical="center"/>
    </xf>
    <xf numFmtId="0" fontId="20" fillId="5" borderId="130" xfId="0" applyFont="1" applyFill="1" applyBorder="1" applyAlignment="1">
      <alignment horizontal="center" vertical="center"/>
    </xf>
    <xf numFmtId="0" fontId="20" fillId="5" borderId="206" xfId="0" applyFont="1" applyFill="1" applyBorder="1" applyAlignment="1">
      <alignment horizontal="center" vertical="center"/>
    </xf>
    <xf numFmtId="0" fontId="20" fillId="5" borderId="63" xfId="0" applyFont="1" applyFill="1" applyBorder="1" applyAlignment="1">
      <alignment horizontal="center" vertical="center"/>
    </xf>
    <xf numFmtId="0" fontId="20" fillId="19" borderId="224" xfId="0" applyFont="1" applyFill="1" applyBorder="1" applyAlignment="1">
      <alignment horizontal="center" vertical="center"/>
    </xf>
    <xf numFmtId="0" fontId="20" fillId="5" borderId="117" xfId="0" applyFont="1" applyFill="1" applyBorder="1" applyAlignment="1">
      <alignment horizontal="center" vertical="center"/>
    </xf>
    <xf numFmtId="0" fontId="20" fillId="34" borderId="160" xfId="0" applyFont="1" applyFill="1" applyBorder="1" applyAlignment="1">
      <alignment horizontal="center" vertical="center"/>
    </xf>
    <xf numFmtId="0" fontId="20" fillId="34" borderId="161" xfId="0" applyFont="1" applyFill="1" applyBorder="1" applyAlignment="1">
      <alignment horizontal="center" vertical="center"/>
    </xf>
    <xf numFmtId="0" fontId="20" fillId="5" borderId="517" xfId="0" applyFont="1" applyFill="1" applyBorder="1" applyAlignment="1">
      <alignment horizontal="center" vertical="center"/>
    </xf>
    <xf numFmtId="0" fontId="20" fillId="5" borderId="518" xfId="0" applyFont="1" applyFill="1" applyBorder="1" applyAlignment="1">
      <alignment horizontal="center" vertical="center"/>
    </xf>
    <xf numFmtId="0" fontId="20" fillId="5" borderId="179" xfId="0" applyFont="1" applyFill="1" applyBorder="1" applyAlignment="1">
      <alignment horizontal="center" vertical="center"/>
    </xf>
    <xf numFmtId="0" fontId="20" fillId="19" borderId="101" xfId="0" applyFont="1" applyFill="1" applyBorder="1" applyAlignment="1">
      <alignment horizontal="center" vertical="center"/>
    </xf>
    <xf numFmtId="0" fontId="20" fillId="5" borderId="163" xfId="0" applyFont="1" applyFill="1" applyBorder="1" applyAlignment="1">
      <alignment horizontal="center" vertical="center"/>
    </xf>
    <xf numFmtId="0" fontId="20" fillId="5" borderId="235" xfId="0" applyFont="1" applyFill="1" applyBorder="1" applyAlignment="1">
      <alignment horizontal="center" vertical="center"/>
    </xf>
    <xf numFmtId="0" fontId="20" fillId="18" borderId="101" xfId="0" applyFont="1" applyFill="1" applyBorder="1" applyAlignment="1">
      <alignment horizontal="center"/>
    </xf>
    <xf numFmtId="0" fontId="20" fillId="5" borderId="236" xfId="0" applyFont="1" applyFill="1" applyBorder="1" applyAlignment="1">
      <alignment horizontal="center" vertical="center"/>
    </xf>
    <xf numFmtId="0" fontId="20" fillId="5" borderId="245" xfId="0" applyFont="1" applyFill="1" applyBorder="1" applyAlignment="1">
      <alignment horizontal="center" vertical="center"/>
    </xf>
    <xf numFmtId="0" fontId="20" fillId="5" borderId="237" xfId="0" applyFont="1" applyFill="1" applyBorder="1" applyAlignment="1">
      <alignment horizontal="center" vertical="center"/>
    </xf>
    <xf numFmtId="0" fontId="20" fillId="5" borderId="244" xfId="0" applyFont="1" applyFill="1" applyBorder="1" applyAlignment="1">
      <alignment horizontal="center" vertical="center"/>
    </xf>
    <xf numFmtId="0" fontId="20" fillId="5" borderId="101" xfId="0" applyFont="1" applyFill="1" applyBorder="1" applyAlignment="1">
      <alignment horizontal="center" vertical="center"/>
    </xf>
    <xf numFmtId="3" fontId="20" fillId="18" borderId="0" xfId="0" applyNumberFormat="1" applyFont="1" applyFill="1" applyBorder="1" applyAlignment="1">
      <alignment horizontal="left"/>
    </xf>
    <xf numFmtId="0" fontId="20" fillId="18" borderId="63" xfId="0" applyFont="1" applyFill="1" applyBorder="1" applyAlignment="1">
      <alignment horizontal="center"/>
    </xf>
    <xf numFmtId="0" fontId="20" fillId="18" borderId="62" xfId="0" applyFont="1" applyFill="1" applyBorder="1" applyAlignment="1">
      <alignment horizontal="center"/>
    </xf>
    <xf numFmtId="0" fontId="20" fillId="19" borderId="374" xfId="0" applyFont="1" applyFill="1" applyBorder="1" applyAlignment="1">
      <alignment horizontal="center" vertical="center"/>
    </xf>
    <xf numFmtId="0" fontId="20" fillId="18" borderId="297" xfId="0" applyFont="1" applyFill="1" applyBorder="1" applyAlignment="1">
      <alignment horizontal="center"/>
    </xf>
    <xf numFmtId="0" fontId="20" fillId="18" borderId="299" xfId="0" applyFont="1" applyFill="1" applyBorder="1" applyAlignment="1">
      <alignment horizontal="center"/>
    </xf>
    <xf numFmtId="0" fontId="20" fillId="10" borderId="0" xfId="0" applyFont="1" applyFill="1" applyAlignment="1">
      <alignment horizontal="center"/>
    </xf>
    <xf numFmtId="0" fontId="20" fillId="22" borderId="0" xfId="0" applyFont="1" applyFill="1" applyAlignment="1">
      <alignment horizontal="center"/>
    </xf>
    <xf numFmtId="0" fontId="20" fillId="18" borderId="301" xfId="0" applyFont="1" applyFill="1" applyBorder="1" applyAlignment="1">
      <alignment horizontal="center"/>
    </xf>
    <xf numFmtId="0" fontId="20" fillId="18" borderId="303" xfId="0" applyFont="1" applyFill="1" applyBorder="1" applyAlignment="1">
      <alignment horizontal="center"/>
    </xf>
    <xf numFmtId="0" fontId="20" fillId="14" borderId="0" xfId="0" applyFont="1" applyFill="1" applyAlignment="1">
      <alignment horizontal="center" vertical="center"/>
    </xf>
    <xf numFmtId="0" fontId="20" fillId="10" borderId="154" xfId="0" applyFont="1" applyFill="1" applyBorder="1" applyAlignment="1">
      <alignment horizontal="center"/>
    </xf>
    <xf numFmtId="3" fontId="20" fillId="20" borderId="0" xfId="0" applyNumberFormat="1" applyFont="1" applyFill="1" applyBorder="1" applyAlignment="1">
      <alignment horizontal="center" wrapText="1"/>
    </xf>
    <xf numFmtId="0" fontId="20" fillId="19" borderId="514" xfId="0" applyFont="1" applyFill="1" applyBorder="1" applyAlignment="1">
      <alignment horizontal="center" vertical="center"/>
    </xf>
    <xf numFmtId="0" fontId="20" fillId="19" borderId="154" xfId="0" applyFont="1" applyFill="1" applyBorder="1" applyAlignment="1">
      <alignment horizontal="center" vertical="center"/>
    </xf>
    <xf numFmtId="0" fontId="20" fillId="5" borderId="189" xfId="0" applyFont="1" applyFill="1" applyBorder="1" applyAlignment="1">
      <alignment horizontal="center" vertical="center"/>
    </xf>
    <xf numFmtId="0" fontId="20" fillId="5" borderId="184" xfId="0" applyFont="1" applyFill="1" applyBorder="1" applyAlignment="1">
      <alignment horizontal="center" vertical="center"/>
    </xf>
    <xf numFmtId="3" fontId="20" fillId="18" borderId="297" xfId="0" applyNumberFormat="1" applyFont="1" applyFill="1" applyBorder="1" applyAlignment="1">
      <alignment horizontal="center"/>
    </xf>
    <xf numFmtId="3" fontId="20" fillId="18" borderId="298" xfId="0" applyNumberFormat="1" applyFont="1" applyFill="1" applyBorder="1" applyAlignment="1">
      <alignment horizontal="center"/>
    </xf>
    <xf numFmtId="3" fontId="20" fillId="18" borderId="299" xfId="0" applyNumberFormat="1" applyFont="1" applyFill="1" applyBorder="1" applyAlignment="1">
      <alignment horizontal="center"/>
    </xf>
    <xf numFmtId="0" fontId="31" fillId="0" borderId="0" xfId="0" applyFont="1" applyAlignment="1">
      <alignment horizontal="center"/>
    </xf>
    <xf numFmtId="0" fontId="20" fillId="5" borderId="253" xfId="0" applyFont="1" applyFill="1" applyBorder="1" applyAlignment="1">
      <alignment horizontal="center" vertical="center"/>
    </xf>
    <xf numFmtId="0" fontId="20" fillId="5" borderId="254" xfId="0" applyFont="1" applyFill="1" applyBorder="1" applyAlignment="1">
      <alignment horizontal="center" vertical="center"/>
    </xf>
    <xf numFmtId="0" fontId="20" fillId="5" borderId="255" xfId="0" applyFont="1" applyFill="1" applyBorder="1" applyAlignment="1">
      <alignment horizontal="center" vertical="center"/>
    </xf>
    <xf numFmtId="0" fontId="34" fillId="5" borderId="218" xfId="0" applyFont="1" applyFill="1" applyBorder="1" applyAlignment="1">
      <alignment horizontal="center" vertical="center" wrapText="1"/>
    </xf>
    <xf numFmtId="0" fontId="34" fillId="5" borderId="63" xfId="0" applyFont="1" applyFill="1" applyBorder="1" applyAlignment="1">
      <alignment horizontal="center" vertical="center" wrapText="1"/>
    </xf>
    <xf numFmtId="0" fontId="34" fillId="5" borderId="220" xfId="0" applyFont="1" applyFill="1" applyBorder="1" applyAlignment="1">
      <alignment horizontal="center" vertical="center" wrapText="1"/>
    </xf>
    <xf numFmtId="0" fontId="34" fillId="5" borderId="189" xfId="0" applyFont="1" applyFill="1" applyBorder="1" applyAlignment="1">
      <alignment horizontal="center" vertical="center" wrapText="1"/>
    </xf>
    <xf numFmtId="0" fontId="34" fillId="5" borderId="48" xfId="0" applyFont="1" applyFill="1" applyBorder="1" applyAlignment="1">
      <alignment horizontal="center" vertical="center" wrapText="1"/>
    </xf>
    <xf numFmtId="0" fontId="34" fillId="5" borderId="184" xfId="0" applyFont="1" applyFill="1" applyBorder="1" applyAlignment="1">
      <alignment horizontal="center" vertical="center" wrapText="1"/>
    </xf>
    <xf numFmtId="0" fontId="20" fillId="18" borderId="153" xfId="0" applyFont="1" applyFill="1" applyBorder="1" applyAlignment="1">
      <alignment horizontal="center"/>
    </xf>
    <xf numFmtId="0" fontId="20" fillId="18" borderId="438" xfId="0" applyFont="1" applyFill="1" applyBorder="1" applyAlignment="1">
      <alignment horizontal="center"/>
    </xf>
    <xf numFmtId="0" fontId="20" fillId="18" borderId="439" xfId="0" applyFont="1" applyFill="1" applyBorder="1" applyAlignment="1">
      <alignment horizontal="center"/>
    </xf>
    <xf numFmtId="0" fontId="20" fillId="5" borderId="419" xfId="0" applyFont="1" applyFill="1" applyBorder="1" applyAlignment="1">
      <alignment horizontal="center" vertical="center"/>
    </xf>
    <xf numFmtId="0" fontId="20" fillId="5" borderId="433" xfId="0" applyFont="1" applyFill="1" applyBorder="1" applyAlignment="1">
      <alignment horizontal="center" vertical="center"/>
    </xf>
    <xf numFmtId="0" fontId="20" fillId="18" borderId="504" xfId="0" applyFont="1" applyFill="1" applyBorder="1" applyAlignment="1">
      <alignment horizontal="center"/>
    </xf>
    <xf numFmtId="0" fontId="20" fillId="18" borderId="526" xfId="0" applyFont="1" applyFill="1" applyBorder="1" applyAlignment="1">
      <alignment horizontal="center"/>
    </xf>
    <xf numFmtId="0" fontId="20" fillId="18" borderId="525" xfId="0" applyFont="1" applyFill="1" applyBorder="1" applyAlignment="1">
      <alignment horizontal="center"/>
    </xf>
    <xf numFmtId="0" fontId="20" fillId="18" borderId="493" xfId="0" applyFont="1" applyFill="1" applyBorder="1" applyAlignment="1">
      <alignment horizontal="center"/>
    </xf>
    <xf numFmtId="0" fontId="20" fillId="18" borderId="156" xfId="0" applyFont="1" applyFill="1" applyBorder="1" applyAlignment="1">
      <alignment horizontal="center"/>
    </xf>
    <xf numFmtId="0" fontId="34" fillId="5" borderId="50" xfId="0" applyFont="1" applyFill="1" applyBorder="1" applyAlignment="1">
      <alignment horizontal="center" vertical="center" wrapText="1"/>
    </xf>
    <xf numFmtId="0" fontId="34" fillId="5" borderId="45" xfId="0" applyFont="1" applyFill="1" applyBorder="1" applyAlignment="1">
      <alignment horizontal="center" vertical="center" wrapText="1"/>
    </xf>
    <xf numFmtId="0" fontId="34" fillId="5" borderId="51" xfId="0" applyFont="1" applyFill="1" applyBorder="1" applyAlignment="1">
      <alignment horizontal="center" vertical="center" wrapText="1"/>
    </xf>
    <xf numFmtId="0" fontId="34" fillId="5" borderId="0" xfId="0" applyFont="1" applyFill="1" applyBorder="1" applyAlignment="1">
      <alignment horizontal="center" vertical="center" wrapText="1"/>
    </xf>
    <xf numFmtId="0" fontId="34" fillId="5" borderId="46" xfId="0" applyFont="1" applyFill="1" applyBorder="1" applyAlignment="1">
      <alignment horizontal="center" vertical="center" wrapText="1"/>
    </xf>
    <xf numFmtId="0" fontId="20" fillId="9" borderId="0" xfId="0" applyFont="1" applyFill="1" applyAlignment="1">
      <alignment horizontal="center"/>
    </xf>
    <xf numFmtId="0" fontId="20" fillId="9" borderId="0" xfId="0" applyFont="1" applyFill="1" applyAlignment="1">
      <alignment horizontal="center" vertical="center"/>
    </xf>
    <xf numFmtId="0" fontId="20" fillId="9" borderId="160" xfId="0" applyFont="1" applyFill="1" applyBorder="1" applyAlignment="1">
      <alignment horizontal="center"/>
    </xf>
    <xf numFmtId="0" fontId="20" fillId="9" borderId="0" xfId="0" applyFont="1" applyFill="1" applyBorder="1" applyAlignment="1">
      <alignment horizontal="center"/>
    </xf>
    <xf numFmtId="0" fontId="20" fillId="9" borderId="161" xfId="0" applyFont="1" applyFill="1" applyBorder="1" applyAlignment="1">
      <alignment horizontal="center"/>
    </xf>
    <xf numFmtId="0" fontId="20" fillId="23" borderId="520" xfId="0" applyFont="1" applyFill="1" applyBorder="1" applyAlignment="1">
      <alignment horizontal="center"/>
    </xf>
    <xf numFmtId="0" fontId="20" fillId="23" borderId="0" xfId="0" applyFont="1" applyFill="1" applyBorder="1" applyAlignment="1">
      <alignment horizontal="center"/>
    </xf>
    <xf numFmtId="0" fontId="20" fillId="23" borderId="90" xfId="0" applyFont="1" applyFill="1" applyBorder="1" applyAlignment="1">
      <alignment horizontal="center"/>
    </xf>
    <xf numFmtId="0" fontId="33" fillId="5" borderId="435" xfId="0" applyFont="1" applyFill="1" applyBorder="1" applyAlignment="1">
      <alignment horizontal="center" vertical="center" wrapText="1"/>
    </xf>
    <xf numFmtId="0" fontId="33" fillId="5" borderId="0" xfId="0" applyFont="1" applyFill="1" applyBorder="1" applyAlignment="1">
      <alignment horizontal="center" vertical="center" wrapText="1"/>
    </xf>
    <xf numFmtId="0" fontId="33" fillId="5" borderId="434" xfId="0" applyFont="1" applyFill="1" applyBorder="1" applyAlignment="1">
      <alignment horizontal="center" vertical="center" wrapText="1"/>
    </xf>
    <xf numFmtId="0" fontId="20" fillId="15" borderId="160" xfId="0" applyFont="1" applyFill="1" applyBorder="1" applyAlignment="1">
      <alignment horizontal="center"/>
    </xf>
    <xf numFmtId="0" fontId="20" fillId="15" borderId="0" xfId="0" applyFont="1" applyFill="1" applyBorder="1" applyAlignment="1">
      <alignment horizontal="center"/>
    </xf>
    <xf numFmtId="0" fontId="20" fillId="15" borderId="73" xfId="0" applyFont="1" applyFill="1" applyBorder="1" applyAlignment="1">
      <alignment horizontal="center"/>
    </xf>
    <xf numFmtId="0" fontId="20" fillId="24" borderId="523" xfId="0" applyFont="1" applyFill="1" applyBorder="1" applyAlignment="1">
      <alignment horizontal="center"/>
    </xf>
    <xf numFmtId="0" fontId="20" fillId="24" borderId="0" xfId="0" applyFont="1" applyFill="1" applyBorder="1" applyAlignment="1">
      <alignment horizontal="center"/>
    </xf>
    <xf numFmtId="0" fontId="20" fillId="24" borderId="84" xfId="0" applyFont="1" applyFill="1" applyBorder="1" applyAlignment="1">
      <alignment horizontal="center"/>
    </xf>
    <xf numFmtId="0" fontId="20" fillId="10" borderId="269" xfId="0" applyFont="1" applyFill="1" applyBorder="1" applyAlignment="1">
      <alignment horizontal="center"/>
    </xf>
    <xf numFmtId="0" fontId="20" fillId="5" borderId="160" xfId="0" applyFont="1" applyFill="1" applyBorder="1" applyAlignment="1">
      <alignment horizontal="center" vertical="center"/>
    </xf>
    <xf numFmtId="0" fontId="20" fillId="14" borderId="521" xfId="0" applyFont="1" applyFill="1" applyBorder="1" applyAlignment="1">
      <alignment horizontal="center" vertical="center"/>
    </xf>
    <xf numFmtId="0" fontId="20" fillId="14" borderId="522" xfId="0" applyFont="1" applyFill="1" applyBorder="1" applyAlignment="1">
      <alignment horizontal="center" vertical="center"/>
    </xf>
    <xf numFmtId="0" fontId="29" fillId="18" borderId="0" xfId="0" applyFont="1" applyFill="1" applyBorder="1" applyAlignment="1">
      <alignment horizontal="center"/>
    </xf>
    <xf numFmtId="0" fontId="29" fillId="18" borderId="344" xfId="0" applyFont="1" applyFill="1" applyBorder="1" applyAlignment="1">
      <alignment horizontal="center"/>
    </xf>
    <xf numFmtId="0" fontId="29" fillId="18" borderId="47" xfId="0" applyFont="1" applyFill="1" applyBorder="1" applyAlignment="1">
      <alignment horizontal="center"/>
    </xf>
    <xf numFmtId="0" fontId="29" fillId="18" borderId="48" xfId="0" applyFont="1" applyFill="1" applyBorder="1" applyAlignment="1">
      <alignment horizontal="center"/>
    </xf>
    <xf numFmtId="0" fontId="29" fillId="18" borderId="287" xfId="0" applyFont="1" applyFill="1" applyBorder="1" applyAlignment="1">
      <alignment horizontal="center"/>
    </xf>
    <xf numFmtId="0" fontId="29" fillId="18" borderId="104" xfId="0" applyFont="1" applyFill="1" applyBorder="1" applyAlignment="1">
      <alignment horizontal="center"/>
    </xf>
    <xf numFmtId="0" fontId="29" fillId="18" borderId="127" xfId="0" applyFont="1" applyFill="1" applyBorder="1" applyAlignment="1">
      <alignment horizontal="center"/>
    </xf>
    <xf numFmtId="0" fontId="20" fillId="18" borderId="103" xfId="0" applyFont="1" applyFill="1" applyBorder="1" applyAlignment="1">
      <alignment horizontal="center"/>
    </xf>
    <xf numFmtId="0" fontId="20" fillId="18" borderId="104" xfId="0" applyFont="1" applyFill="1" applyBorder="1" applyAlignment="1">
      <alignment horizontal="center"/>
    </xf>
    <xf numFmtId="0" fontId="29" fillId="18" borderId="103" xfId="0" applyFont="1" applyFill="1" applyBorder="1" applyAlignment="1">
      <alignment horizontal="center"/>
    </xf>
    <xf numFmtId="0" fontId="20" fillId="23" borderId="520" xfId="0" applyFont="1" applyFill="1" applyBorder="1" applyAlignment="1">
      <alignment horizontal="center" vertical="center"/>
    </xf>
    <xf numFmtId="0" fontId="20" fillId="23" borderId="0" xfId="0" applyFont="1" applyFill="1" applyBorder="1" applyAlignment="1">
      <alignment horizontal="center" vertical="center"/>
    </xf>
    <xf numFmtId="0" fontId="20" fillId="23" borderId="90" xfId="0" applyFont="1" applyFill="1" applyBorder="1" applyAlignment="1">
      <alignment horizontal="center" vertical="center"/>
    </xf>
    <xf numFmtId="0" fontId="28" fillId="22" borderId="103" xfId="0" applyFont="1" applyFill="1" applyBorder="1" applyAlignment="1">
      <alignment horizontal="center"/>
    </xf>
    <xf numFmtId="0" fontId="28" fillId="22" borderId="0" xfId="0" applyFont="1" applyFill="1" applyBorder="1" applyAlignment="1">
      <alignment horizontal="center"/>
    </xf>
    <xf numFmtId="0" fontId="20" fillId="34" borderId="104" xfId="0" applyFont="1" applyFill="1" applyBorder="1" applyAlignment="1">
      <alignment horizontal="center" vertical="center"/>
    </xf>
    <xf numFmtId="0" fontId="20" fillId="34" borderId="130" xfId="0" applyFont="1" applyFill="1" applyBorder="1" applyAlignment="1">
      <alignment horizontal="center" vertical="center"/>
    </xf>
    <xf numFmtId="0" fontId="20" fillId="34" borderId="192" xfId="0" applyFont="1" applyFill="1" applyBorder="1" applyAlignment="1">
      <alignment horizontal="center" vertical="center"/>
    </xf>
    <xf numFmtId="0" fontId="20" fillId="5" borderId="103" xfId="0" applyFont="1" applyFill="1" applyBorder="1" applyAlignment="1">
      <alignment horizontal="center" vertical="center"/>
    </xf>
    <xf numFmtId="0" fontId="20" fillId="5" borderId="293" xfId="0" applyFont="1" applyFill="1" applyBorder="1" applyAlignment="1">
      <alignment horizontal="center" vertical="center"/>
    </xf>
    <xf numFmtId="0" fontId="20" fillId="5" borderId="105" xfId="0" applyFont="1" applyFill="1" applyBorder="1" applyAlignment="1">
      <alignment horizontal="center" vertical="center"/>
    </xf>
    <xf numFmtId="0" fontId="20" fillId="5" borderId="294" xfId="0" applyFont="1" applyFill="1" applyBorder="1" applyAlignment="1">
      <alignment horizontal="center" vertical="center"/>
    </xf>
    <xf numFmtId="0" fontId="20" fillId="19" borderId="104" xfId="0" applyFont="1" applyFill="1" applyBorder="1" applyAlignment="1">
      <alignment horizontal="center" vertical="center"/>
    </xf>
    <xf numFmtId="0" fontId="28" fillId="34" borderId="0" xfId="0" applyFont="1" applyFill="1" applyBorder="1" applyAlignment="1">
      <alignment horizontal="center" vertical="center"/>
    </xf>
    <xf numFmtId="0" fontId="28" fillId="34" borderId="128" xfId="0" applyFont="1" applyFill="1" applyBorder="1" applyAlignment="1">
      <alignment horizontal="center" vertical="center"/>
    </xf>
    <xf numFmtId="0" fontId="29" fillId="18" borderId="0" xfId="0" applyFont="1" applyFill="1" applyBorder="1" applyAlignment="1">
      <alignment horizontal="center" vertical="center"/>
    </xf>
    <xf numFmtId="0" fontId="29" fillId="18" borderId="344" xfId="0" applyFont="1" applyFill="1" applyBorder="1" applyAlignment="1">
      <alignment horizontal="center" vertical="center"/>
    </xf>
    <xf numFmtId="0" fontId="29" fillId="18" borderId="47" xfId="0" applyFont="1" applyFill="1" applyBorder="1" applyAlignment="1">
      <alignment horizontal="center" vertical="center"/>
    </xf>
    <xf numFmtId="0" fontId="29" fillId="18" borderId="48" xfId="0" applyFont="1" applyFill="1" applyBorder="1" applyAlignment="1">
      <alignment horizontal="center" vertical="center"/>
    </xf>
    <xf numFmtId="0" fontId="29" fillId="18" borderId="287" xfId="0" applyFont="1" applyFill="1" applyBorder="1" applyAlignment="1">
      <alignment horizontal="center" vertical="center"/>
    </xf>
    <xf numFmtId="0" fontId="29" fillId="18" borderId="104" xfId="0" applyFont="1" applyFill="1" applyBorder="1" applyAlignment="1">
      <alignment horizontal="center" vertical="center"/>
    </xf>
    <xf numFmtId="3" fontId="28" fillId="18" borderId="0" xfId="0" applyNumberFormat="1" applyFont="1" applyFill="1" applyBorder="1" applyAlignment="1">
      <alignment horizontal="center"/>
    </xf>
    <xf numFmtId="0" fontId="31" fillId="0" borderId="0" xfId="0" applyFont="1" applyFill="1" applyBorder="1" applyAlignment="1">
      <alignment horizontal="center"/>
    </xf>
    <xf numFmtId="3" fontId="29" fillId="18" borderId="47" xfId="0" applyNumberFormat="1" applyFont="1" applyFill="1" applyBorder="1" applyAlignment="1">
      <alignment horizontal="center" vertical="center"/>
    </xf>
    <xf numFmtId="3" fontId="29" fillId="18" borderId="0" xfId="0" applyNumberFormat="1" applyFont="1" applyFill="1" applyBorder="1" applyAlignment="1">
      <alignment horizontal="center" vertical="center"/>
    </xf>
    <xf numFmtId="3" fontId="29" fillId="18" borderId="48" xfId="0" applyNumberFormat="1" applyFont="1" applyFill="1" applyBorder="1" applyAlignment="1">
      <alignment horizontal="center" vertical="center"/>
    </xf>
    <xf numFmtId="3" fontId="20" fillId="18" borderId="103" xfId="0" applyNumberFormat="1" applyFont="1" applyFill="1" applyBorder="1" applyAlignment="1">
      <alignment horizontal="center"/>
    </xf>
    <xf numFmtId="3" fontId="20" fillId="18" borderId="104" xfId="0" applyNumberFormat="1" applyFont="1" applyFill="1" applyBorder="1" applyAlignment="1">
      <alignment horizontal="center"/>
    </xf>
    <xf numFmtId="0" fontId="20" fillId="19" borderId="117" xfId="0" applyFont="1" applyFill="1" applyBorder="1" applyAlignment="1">
      <alignment horizontal="center" vertical="center"/>
    </xf>
    <xf numFmtId="3" fontId="20" fillId="37" borderId="120" xfId="0" applyNumberFormat="1" applyFont="1" applyFill="1" applyBorder="1" applyAlignment="1">
      <alignment horizontal="center"/>
    </xf>
    <xf numFmtId="3" fontId="20" fillId="37" borderId="0" xfId="0" applyNumberFormat="1" applyFont="1" applyFill="1" applyBorder="1" applyAlignment="1">
      <alignment horizontal="center"/>
    </xf>
    <xf numFmtId="0" fontId="20" fillId="19" borderId="515" xfId="0" applyFont="1" applyFill="1" applyBorder="1" applyAlignment="1">
      <alignment horizontal="center" vertical="center"/>
    </xf>
    <xf numFmtId="0" fontId="20" fillId="19" borderId="519" xfId="0" applyFont="1" applyFill="1" applyBorder="1" applyAlignment="1">
      <alignment horizontal="center" vertical="center"/>
    </xf>
    <xf numFmtId="0" fontId="20" fillId="5" borderId="420" xfId="0" applyFont="1" applyFill="1" applyBorder="1" applyAlignment="1">
      <alignment horizontal="center" vertical="center"/>
    </xf>
    <xf numFmtId="0" fontId="20" fillId="19" borderId="516" xfId="0" applyFont="1" applyFill="1" applyBorder="1" applyAlignment="1">
      <alignment horizontal="center" vertical="center"/>
    </xf>
    <xf numFmtId="0" fontId="35" fillId="5" borderId="152" xfId="0" applyFont="1" applyFill="1" applyBorder="1" applyAlignment="1">
      <alignment horizontal="center" vertical="center" wrapText="1"/>
    </xf>
    <xf numFmtId="0" fontId="35" fillId="5" borderId="0" xfId="0" applyFont="1" applyFill="1" applyBorder="1" applyAlignment="1">
      <alignment horizontal="center" vertical="center" wrapText="1"/>
    </xf>
    <xf numFmtId="0" fontId="35" fillId="5" borderId="155" xfId="0" applyFont="1" applyFill="1" applyBorder="1" applyAlignment="1">
      <alignment horizontal="center" vertical="center" wrapText="1"/>
    </xf>
    <xf numFmtId="0" fontId="35" fillId="5" borderId="47" xfId="0" applyFont="1" applyFill="1" applyBorder="1" applyAlignment="1">
      <alignment horizontal="center" vertical="center" wrapText="1"/>
    </xf>
    <xf numFmtId="0" fontId="20" fillId="20" borderId="0" xfId="0" applyFont="1" applyFill="1" applyBorder="1" applyAlignment="1">
      <alignment horizontal="center" wrapText="1"/>
    </xf>
    <xf numFmtId="0" fontId="20" fillId="5" borderId="149" xfId="0" applyFont="1" applyFill="1" applyBorder="1" applyAlignment="1">
      <alignment horizontal="center" vertical="center"/>
    </xf>
    <xf numFmtId="0" fontId="20" fillId="5" borderId="270" xfId="0" applyFont="1" applyFill="1" applyBorder="1" applyAlignment="1">
      <alignment horizontal="center" vertical="center" wrapText="1"/>
    </xf>
    <xf numFmtId="0" fontId="20" fillId="5" borderId="434" xfId="0" applyFont="1" applyFill="1" applyBorder="1" applyAlignment="1">
      <alignment horizontal="center" vertical="center" wrapText="1"/>
    </xf>
    <xf numFmtId="0" fontId="20" fillId="14" borderId="272" xfId="0" applyFont="1" applyFill="1" applyBorder="1" applyAlignment="1">
      <alignment horizontal="center" vertical="center"/>
    </xf>
    <xf numFmtId="0" fontId="20" fillId="14" borderId="0" xfId="0" applyFont="1" applyFill="1" applyBorder="1" applyAlignment="1">
      <alignment horizontal="center" vertical="center"/>
    </xf>
    <xf numFmtId="0" fontId="34" fillId="5" borderId="422" xfId="0" applyFont="1" applyFill="1" applyBorder="1" applyAlignment="1">
      <alignment horizontal="center" vertical="center" wrapText="1"/>
    </xf>
    <xf numFmtId="0" fontId="34" fillId="5" borderId="70" xfId="0" applyFont="1" applyFill="1" applyBorder="1" applyAlignment="1">
      <alignment horizontal="center" vertical="center" wrapText="1"/>
    </xf>
    <xf numFmtId="0" fontId="34" fillId="5" borderId="47" xfId="0" applyFont="1" applyFill="1" applyBorder="1" applyAlignment="1">
      <alignment horizontal="center" vertical="center" wrapText="1"/>
    </xf>
    <xf numFmtId="0" fontId="34" fillId="5" borderId="423" xfId="0" applyFont="1" applyFill="1" applyBorder="1" applyAlignment="1">
      <alignment horizontal="center" vertical="center" wrapText="1"/>
    </xf>
    <xf numFmtId="0" fontId="34" fillId="5" borderId="479" xfId="0" applyFont="1" applyFill="1" applyBorder="1" applyAlignment="1">
      <alignment horizontal="center" vertical="center" wrapText="1"/>
    </xf>
    <xf numFmtId="3" fontId="0" fillId="18" borderId="47" xfId="0" applyNumberFormat="1" applyFill="1" applyBorder="1" applyAlignment="1">
      <alignment horizontal="center" vertical="center"/>
    </xf>
    <xf numFmtId="3" fontId="0" fillId="18" borderId="0" xfId="0" applyNumberFormat="1" applyFill="1" applyBorder="1" applyAlignment="1">
      <alignment horizontal="center" vertical="center"/>
    </xf>
    <xf numFmtId="3" fontId="8" fillId="18" borderId="0" xfId="0" applyNumberFormat="1" applyFont="1" applyFill="1" applyBorder="1" applyAlignment="1">
      <alignment horizontal="center" vertical="center"/>
    </xf>
    <xf numFmtId="0" fontId="0" fillId="18" borderId="47" xfId="0" applyFill="1" applyBorder="1" applyAlignment="1">
      <alignment horizontal="center"/>
    </xf>
    <xf numFmtId="0" fontId="0" fillId="18" borderId="0" xfId="0" applyFill="1" applyBorder="1" applyAlignment="1">
      <alignment horizontal="center"/>
    </xf>
    <xf numFmtId="0" fontId="0" fillId="18" borderId="48" xfId="0" applyFill="1" applyBorder="1" applyAlignment="1">
      <alignment horizontal="center"/>
    </xf>
    <xf numFmtId="3" fontId="0" fillId="18" borderId="47" xfId="0" applyNumberFormat="1" applyFill="1" applyBorder="1" applyAlignment="1">
      <alignment horizontal="center"/>
    </xf>
    <xf numFmtId="3" fontId="0" fillId="18" borderId="0" xfId="0" applyNumberFormat="1" applyFill="1" applyBorder="1" applyAlignment="1">
      <alignment horizontal="center"/>
    </xf>
    <xf numFmtId="3" fontId="0" fillId="18" borderId="48" xfId="0" applyNumberFormat="1" applyFill="1" applyBorder="1" applyAlignment="1">
      <alignment horizontal="center"/>
    </xf>
    <xf numFmtId="0" fontId="0" fillId="9" borderId="12" xfId="0" applyFill="1" applyBorder="1" applyAlignment="1">
      <alignment horizontal="center"/>
    </xf>
    <xf numFmtId="0" fontId="0" fillId="9" borderId="10" xfId="0" applyFill="1" applyBorder="1" applyAlignment="1">
      <alignment horizontal="center"/>
    </xf>
    <xf numFmtId="0" fontId="0" fillId="5" borderId="12" xfId="0" applyFill="1" applyBorder="1" applyAlignment="1">
      <alignment horizontal="center"/>
    </xf>
    <xf numFmtId="0" fontId="0" fillId="5" borderId="5" xfId="0" applyFill="1" applyBorder="1" applyAlignment="1">
      <alignment horizontal="center"/>
    </xf>
    <xf numFmtId="0" fontId="0" fillId="0" borderId="0" xfId="0" applyAlignment="1">
      <alignment horizontal="left"/>
    </xf>
    <xf numFmtId="0" fontId="0" fillId="7" borderId="4" xfId="0" applyFill="1" applyBorder="1" applyAlignment="1">
      <alignment horizontal="center"/>
    </xf>
    <xf numFmtId="0" fontId="0" fillId="7" borderId="10" xfId="0" applyFill="1" applyBorder="1" applyAlignment="1">
      <alignment horizontal="center"/>
    </xf>
    <xf numFmtId="0" fontId="0" fillId="12" borderId="12" xfId="0" applyFill="1" applyBorder="1" applyAlignment="1">
      <alignment horizontal="center"/>
    </xf>
    <xf numFmtId="0" fontId="0" fillId="12" borderId="10" xfId="0" applyFill="1" applyBorder="1" applyAlignment="1">
      <alignment horizontal="center"/>
    </xf>
    <xf numFmtId="3" fontId="0" fillId="12" borderId="12" xfId="0" applyNumberFormat="1" applyFill="1" applyBorder="1" applyAlignment="1">
      <alignment horizontal="center"/>
    </xf>
    <xf numFmtId="3" fontId="0" fillId="12" borderId="10" xfId="0" applyNumberFormat="1" applyFill="1" applyBorder="1" applyAlignment="1">
      <alignment horizontal="center"/>
    </xf>
    <xf numFmtId="0" fontId="0" fillId="12" borderId="4" xfId="0" applyFill="1" applyBorder="1" applyAlignment="1">
      <alignment horizontal="center"/>
    </xf>
    <xf numFmtId="0" fontId="0" fillId="12" borderId="0" xfId="0" applyFill="1" applyAlignment="1">
      <alignment horizontal="center"/>
    </xf>
    <xf numFmtId="3" fontId="0" fillId="12" borderId="4" xfId="0" applyNumberFormat="1" applyFill="1" applyBorder="1" applyAlignment="1">
      <alignment horizontal="center"/>
    </xf>
    <xf numFmtId="3" fontId="0" fillId="12" borderId="0" xfId="0" applyNumberFormat="1" applyFill="1" applyAlignment="1">
      <alignment horizontal="center"/>
    </xf>
    <xf numFmtId="0" fontId="0" fillId="11" borderId="0" xfId="0" applyFill="1" applyAlignment="1">
      <alignment horizontal="center"/>
    </xf>
    <xf numFmtId="3" fontId="0" fillId="11" borderId="0" xfId="0" applyNumberFormat="1" applyFill="1" applyAlignment="1">
      <alignment horizontal="center"/>
    </xf>
    <xf numFmtId="0" fontId="0" fillId="12" borderId="5" xfId="0" applyFill="1" applyBorder="1" applyAlignment="1">
      <alignment horizontal="center"/>
    </xf>
    <xf numFmtId="3" fontId="0" fillId="12" borderId="5" xfId="0" applyNumberFormat="1" applyFill="1" applyBorder="1" applyAlignment="1">
      <alignment horizontal="center"/>
    </xf>
    <xf numFmtId="0" fontId="0" fillId="5" borderId="208" xfId="0" applyFill="1" applyBorder="1" applyAlignment="1">
      <alignment horizontal="center"/>
    </xf>
    <xf numFmtId="0" fontId="0" fillId="5" borderId="0" xfId="0" applyFill="1" applyBorder="1" applyAlignment="1">
      <alignment horizontal="center"/>
    </xf>
    <xf numFmtId="0" fontId="0" fillId="5" borderId="312" xfId="0" applyFill="1" applyBorder="1" applyAlignment="1">
      <alignment horizontal="center"/>
    </xf>
    <xf numFmtId="0" fontId="0" fillId="0" borderId="0" xfId="0" applyAlignment="1">
      <alignment horizontal="left" vertical="top" wrapText="1"/>
    </xf>
    <xf numFmtId="0" fontId="0" fillId="0" borderId="0" xfId="0" applyAlignment="1">
      <alignment vertical="center" wrapText="1"/>
    </xf>
    <xf numFmtId="0" fontId="0" fillId="9" borderId="4" xfId="0" applyFill="1" applyBorder="1" applyAlignment="1">
      <alignment horizontal="center"/>
    </xf>
    <xf numFmtId="0" fontId="0" fillId="15" borderId="4" xfId="0" applyFill="1" applyBorder="1" applyAlignment="1">
      <alignment horizontal="center"/>
    </xf>
    <xf numFmtId="0" fontId="0" fillId="15" borderId="10" xfId="0" applyFill="1" applyBorder="1" applyAlignment="1">
      <alignment horizontal="center"/>
    </xf>
    <xf numFmtId="0" fontId="0" fillId="4" borderId="12" xfId="0" applyFill="1" applyBorder="1" applyAlignment="1">
      <alignment horizontal="center"/>
    </xf>
    <xf numFmtId="0" fontId="0" fillId="4" borderId="5" xfId="0" applyFill="1" applyBorder="1" applyAlignment="1">
      <alignment horizontal="center"/>
    </xf>
    <xf numFmtId="0" fontId="0" fillId="7" borderId="0" xfId="0" applyFill="1" applyAlignment="1">
      <alignment horizontal="center"/>
    </xf>
    <xf numFmtId="0" fontId="0" fillId="7" borderId="5" xfId="0"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5" xfId="0" applyFill="1" applyBorder="1" applyAlignment="1">
      <alignment horizontal="center"/>
    </xf>
    <xf numFmtId="3" fontId="0" fillId="3" borderId="4" xfId="0" applyNumberFormat="1" applyFill="1" applyBorder="1" applyAlignment="1">
      <alignment horizontal="center"/>
    </xf>
    <xf numFmtId="3" fontId="0" fillId="3" borderId="0" xfId="0" applyNumberFormat="1" applyFill="1" applyAlignment="1">
      <alignment horizontal="center"/>
    </xf>
    <xf numFmtId="3" fontId="0" fillId="3" borderId="5" xfId="0" applyNumberFormat="1" applyFill="1" applyBorder="1" applyAlignment="1">
      <alignment horizontal="center"/>
    </xf>
    <xf numFmtId="3" fontId="0" fillId="7" borderId="4" xfId="0" applyNumberFormat="1" applyFill="1" applyBorder="1" applyAlignment="1">
      <alignment horizontal="center"/>
    </xf>
    <xf numFmtId="3" fontId="0" fillId="7" borderId="10" xfId="0" applyNumberFormat="1" applyFill="1" applyBorder="1" applyAlignment="1">
      <alignment horizontal="center"/>
    </xf>
    <xf numFmtId="3" fontId="0" fillId="10" borderId="4" xfId="0" applyNumberFormat="1" applyFill="1" applyBorder="1" applyAlignment="1">
      <alignment horizontal="center"/>
    </xf>
    <xf numFmtId="3" fontId="0" fillId="10" borderId="0" xfId="0" applyNumberFormat="1" applyFill="1" applyAlignment="1">
      <alignment horizontal="center"/>
    </xf>
    <xf numFmtId="3" fontId="0" fillId="10" borderId="10" xfId="0" applyNumberFormat="1" applyFill="1" applyBorder="1" applyAlignment="1">
      <alignment horizontal="center"/>
    </xf>
    <xf numFmtId="0" fontId="0" fillId="10" borderId="4" xfId="0" applyFill="1" applyBorder="1" applyAlignment="1">
      <alignment horizontal="center"/>
    </xf>
    <xf numFmtId="0" fontId="0" fillId="10" borderId="0" xfId="0" applyFill="1" applyAlignment="1">
      <alignment horizontal="center"/>
    </xf>
    <xf numFmtId="0" fontId="0" fillId="10" borderId="10" xfId="0" applyFill="1" applyBorder="1" applyAlignment="1">
      <alignment horizontal="center"/>
    </xf>
    <xf numFmtId="0" fontId="0" fillId="14" borderId="4" xfId="0" applyFill="1" applyBorder="1" applyAlignment="1">
      <alignment horizontal="center"/>
    </xf>
    <xf numFmtId="0" fontId="0" fillId="14" borderId="0" xfId="0" applyFill="1" applyAlignment="1">
      <alignment horizontal="center"/>
    </xf>
    <xf numFmtId="0" fontId="0" fillId="14" borderId="10" xfId="0" applyFill="1" applyBorder="1" applyAlignment="1">
      <alignment horizontal="center"/>
    </xf>
    <xf numFmtId="3" fontId="0" fillId="14" borderId="4" xfId="0" applyNumberFormat="1" applyFill="1" applyBorder="1" applyAlignment="1">
      <alignment horizontal="center"/>
    </xf>
    <xf numFmtId="3" fontId="0" fillId="14" borderId="0" xfId="0" applyNumberFormat="1" applyFill="1" applyAlignment="1">
      <alignment horizontal="center"/>
    </xf>
    <xf numFmtId="3" fontId="0" fillId="14" borderId="10" xfId="0" applyNumberFormat="1" applyFill="1" applyBorder="1" applyAlignment="1">
      <alignment horizontal="center"/>
    </xf>
    <xf numFmtId="3" fontId="0" fillId="9" borderId="4" xfId="0" applyNumberFormat="1" applyFill="1" applyBorder="1" applyAlignment="1">
      <alignment horizontal="center"/>
    </xf>
    <xf numFmtId="3" fontId="0" fillId="9" borderId="10" xfId="0" applyNumberFormat="1" applyFill="1" applyBorder="1" applyAlignment="1">
      <alignment horizontal="center"/>
    </xf>
    <xf numFmtId="0" fontId="0" fillId="5" borderId="4" xfId="0" applyFill="1" applyBorder="1" applyAlignment="1">
      <alignment horizontal="center"/>
    </xf>
    <xf numFmtId="0" fontId="0" fillId="5" borderId="10" xfId="0" applyFill="1" applyBorder="1" applyAlignment="1">
      <alignment horizontal="center"/>
    </xf>
    <xf numFmtId="3" fontId="0" fillId="5" borderId="4" xfId="0" applyNumberFormat="1" applyFill="1" applyBorder="1" applyAlignment="1">
      <alignment horizontal="center"/>
    </xf>
    <xf numFmtId="3" fontId="0" fillId="3" borderId="10" xfId="0" applyNumberFormat="1" applyFill="1" applyBorder="1" applyAlignment="1">
      <alignment horizontal="center"/>
    </xf>
    <xf numFmtId="3" fontId="8" fillId="8" borderId="12" xfId="0" applyNumberFormat="1" applyFont="1" applyFill="1" applyBorder="1" applyAlignment="1">
      <alignment horizontal="center" vertical="center"/>
    </xf>
    <xf numFmtId="3" fontId="8" fillId="8" borderId="10" xfId="0" applyNumberFormat="1" applyFont="1" applyFill="1" applyBorder="1" applyAlignment="1">
      <alignment horizontal="center" vertical="center"/>
    </xf>
    <xf numFmtId="0" fontId="0" fillId="3" borderId="10" xfId="0" applyFill="1" applyBorder="1" applyAlignment="1">
      <alignment horizontal="center"/>
    </xf>
    <xf numFmtId="3" fontId="0" fillId="3" borderId="4" xfId="0" applyNumberFormat="1" applyFill="1" applyBorder="1" applyAlignment="1">
      <alignment horizontal="center" vertical="center"/>
    </xf>
    <xf numFmtId="3" fontId="0" fillId="3" borderId="10" xfId="0" applyNumberFormat="1" applyFill="1" applyBorder="1" applyAlignment="1">
      <alignment horizontal="center" vertical="center"/>
    </xf>
    <xf numFmtId="0" fontId="0" fillId="5" borderId="0" xfId="0" applyFill="1" applyAlignment="1">
      <alignment horizontal="center"/>
    </xf>
    <xf numFmtId="0" fontId="0" fillId="8" borderId="12" xfId="0" applyFill="1" applyBorder="1" applyAlignment="1">
      <alignment horizontal="center"/>
    </xf>
    <xf numFmtId="0" fontId="0" fillId="8" borderId="10" xfId="0" applyFill="1" applyBorder="1" applyAlignment="1">
      <alignment horizontal="center"/>
    </xf>
    <xf numFmtId="3" fontId="0" fillId="8" borderId="12" xfId="0" applyNumberFormat="1" applyFill="1" applyBorder="1" applyAlignment="1">
      <alignment horizontal="center"/>
    </xf>
    <xf numFmtId="3" fontId="0" fillId="8" borderId="10" xfId="0" applyNumberFormat="1" applyFill="1" applyBorder="1" applyAlignment="1">
      <alignment horizontal="center"/>
    </xf>
    <xf numFmtId="3" fontId="0" fillId="5" borderId="12" xfId="0" applyNumberFormat="1" applyFill="1" applyBorder="1" applyAlignment="1">
      <alignment horizontal="center"/>
    </xf>
    <xf numFmtId="3" fontId="0" fillId="5" borderId="0" xfId="0" applyNumberFormat="1" applyFill="1" applyAlignment="1">
      <alignment horizontal="center"/>
    </xf>
    <xf numFmtId="3" fontId="0" fillId="5" borderId="5" xfId="0" applyNumberFormat="1" applyFill="1" applyBorder="1" applyAlignment="1">
      <alignment horizontal="center"/>
    </xf>
    <xf numFmtId="3" fontId="0" fillId="6" borderId="12" xfId="0" applyNumberFormat="1" applyFill="1" applyBorder="1" applyAlignment="1">
      <alignment horizontal="center"/>
    </xf>
    <xf numFmtId="3" fontId="0" fillId="6" borderId="0" xfId="0" applyNumberFormat="1" applyFill="1" applyAlignment="1">
      <alignment horizontal="center"/>
    </xf>
    <xf numFmtId="3" fontId="0" fillId="6" borderId="10" xfId="0" applyNumberFormat="1" applyFill="1" applyBorder="1" applyAlignment="1">
      <alignment horizontal="center"/>
    </xf>
    <xf numFmtId="0" fontId="0" fillId="6" borderId="12" xfId="0" applyFill="1" applyBorder="1" applyAlignment="1">
      <alignment horizontal="center"/>
    </xf>
    <xf numFmtId="0" fontId="0" fillId="6" borderId="0" xfId="0" applyFill="1" applyAlignment="1">
      <alignment horizontal="center"/>
    </xf>
    <xf numFmtId="0" fontId="0" fillId="6" borderId="10" xfId="0" applyFill="1" applyBorder="1" applyAlignment="1">
      <alignment horizontal="center"/>
    </xf>
    <xf numFmtId="0" fontId="0" fillId="0" borderId="35" xfId="0" applyBorder="1" applyAlignment="1">
      <alignment horizontal="center" vertical="center"/>
    </xf>
    <xf numFmtId="0" fontId="0" fillId="0" borderId="34" xfId="0" applyBorder="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xf numFmtId="0" fontId="0" fillId="6" borderId="34" xfId="0" applyFill="1" applyBorder="1" applyAlignment="1">
      <alignment horizontal="center" vertical="center"/>
    </xf>
    <xf numFmtId="0" fontId="0" fillId="16" borderId="35" xfId="0" applyFill="1" applyBorder="1" applyAlignment="1">
      <alignment horizontal="center" vertical="center"/>
    </xf>
    <xf numFmtId="0" fontId="0" fillId="16" borderId="34" xfId="0" applyFill="1" applyBorder="1" applyAlignment="1">
      <alignment horizontal="center" vertical="center"/>
    </xf>
    <xf numFmtId="0" fontId="3" fillId="0" borderId="0" xfId="0" applyFont="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0" fillId="6" borderId="35" xfId="0" applyFill="1" applyBorder="1" applyAlignment="1">
      <alignment horizontal="center" vertical="center"/>
    </xf>
    <xf numFmtId="0" fontId="0" fillId="16" borderId="0" xfId="0" applyFill="1" applyAlignment="1">
      <alignment horizontal="center" vertical="center"/>
    </xf>
    <xf numFmtId="0" fontId="0" fillId="5" borderId="35" xfId="0" applyFill="1" applyBorder="1" applyAlignment="1">
      <alignment horizontal="center" vertical="center"/>
    </xf>
    <xf numFmtId="0" fontId="0" fillId="5" borderId="0" xfId="0" applyFill="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D8BFD8"/>
      <color rgb="FFF15F22"/>
      <color rgb="FFC3B1FF"/>
      <color rgb="FFD883FF"/>
      <color rgb="FFDDEEDD"/>
      <color rgb="FFE2EDD9"/>
      <color rgb="FFA4CD78"/>
      <color rgb="FF90EE90"/>
      <color rgb="FFDAE8D3"/>
      <color rgb="FFC3D7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3</xdr:col>
      <xdr:colOff>121394</xdr:colOff>
      <xdr:row>21</xdr:row>
      <xdr:rowOff>59375</xdr:rowOff>
    </xdr:from>
    <xdr:to>
      <xdr:col>3</xdr:col>
      <xdr:colOff>513939</xdr:colOff>
      <xdr:row>22</xdr:row>
      <xdr:rowOff>235362</xdr:rowOff>
    </xdr:to>
    <xdr:sp macro="" textlink="">
      <xdr:nvSpPr>
        <xdr:cNvPr id="17" name="Rectangle 16">
          <a:extLst>
            <a:ext uri="{FF2B5EF4-FFF2-40B4-BE49-F238E27FC236}">
              <a16:creationId xmlns:a16="http://schemas.microsoft.com/office/drawing/2014/main" id="{94CE032B-6B72-DC49-AF2B-ADEDB5AC87C0}"/>
            </a:ext>
          </a:extLst>
        </xdr:cNvPr>
        <xdr:cNvSpPr/>
      </xdr:nvSpPr>
      <xdr:spPr>
        <a:xfrm>
          <a:off x="2026394" y="6227946"/>
          <a:ext cx="392545" cy="411845"/>
        </a:xfrm>
        <a:prstGeom prst="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224807</xdr:colOff>
      <xdr:row>17</xdr:row>
      <xdr:rowOff>41234</xdr:rowOff>
    </xdr:from>
    <xdr:to>
      <xdr:col>11</xdr:col>
      <xdr:colOff>617352</xdr:colOff>
      <xdr:row>18</xdr:row>
      <xdr:rowOff>180935</xdr:rowOff>
    </xdr:to>
    <xdr:sp macro="" textlink="">
      <xdr:nvSpPr>
        <xdr:cNvPr id="19" name="Rectangle 18">
          <a:extLst>
            <a:ext uri="{FF2B5EF4-FFF2-40B4-BE49-F238E27FC236}">
              <a16:creationId xmlns:a16="http://schemas.microsoft.com/office/drawing/2014/main" id="{D59A41A3-85F4-6648-8981-D53D1C71725E}"/>
            </a:ext>
          </a:extLst>
        </xdr:cNvPr>
        <xdr:cNvSpPr/>
      </xdr:nvSpPr>
      <xdr:spPr>
        <a:xfrm>
          <a:off x="13015521" y="5266377"/>
          <a:ext cx="392545" cy="375558"/>
        </a:xfrm>
        <a:prstGeom prst="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591458</xdr:colOff>
      <xdr:row>16</xdr:row>
      <xdr:rowOff>234867</xdr:rowOff>
    </xdr:from>
    <xdr:to>
      <xdr:col>15</xdr:col>
      <xdr:colOff>230085</xdr:colOff>
      <xdr:row>18</xdr:row>
      <xdr:rowOff>200231</xdr:rowOff>
    </xdr:to>
    <xdr:sp macro="" textlink="">
      <xdr:nvSpPr>
        <xdr:cNvPr id="20" name="Triangle 19">
          <a:extLst>
            <a:ext uri="{FF2B5EF4-FFF2-40B4-BE49-F238E27FC236}">
              <a16:creationId xmlns:a16="http://schemas.microsoft.com/office/drawing/2014/main" id="{52010129-D235-A746-8EDE-FDB67770EC34}"/>
            </a:ext>
          </a:extLst>
        </xdr:cNvPr>
        <xdr:cNvSpPr/>
      </xdr:nvSpPr>
      <xdr:spPr>
        <a:xfrm>
          <a:off x="15885887" y="5224153"/>
          <a:ext cx="473198" cy="437078"/>
        </a:xfrm>
        <a:prstGeom prst="triangle">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350982</xdr:colOff>
      <xdr:row>23</xdr:row>
      <xdr:rowOff>28861</xdr:rowOff>
    </xdr:from>
    <xdr:to>
      <xdr:col>12</xdr:col>
      <xdr:colOff>698500</xdr:colOff>
      <xdr:row>24</xdr:row>
      <xdr:rowOff>165099</xdr:rowOff>
    </xdr:to>
    <xdr:sp macro="" textlink="">
      <xdr:nvSpPr>
        <xdr:cNvPr id="21" name="Oval 20">
          <a:extLst>
            <a:ext uri="{FF2B5EF4-FFF2-40B4-BE49-F238E27FC236}">
              <a16:creationId xmlns:a16="http://schemas.microsoft.com/office/drawing/2014/main" id="{6C07D710-7537-7C42-8EEA-3E6FA0B50A5F}"/>
            </a:ext>
          </a:extLst>
        </xdr:cNvPr>
        <xdr:cNvSpPr/>
      </xdr:nvSpPr>
      <xdr:spPr>
        <a:xfrm flipH="1" flipV="1">
          <a:off x="11628582" y="4092861"/>
          <a:ext cx="347518" cy="339438"/>
        </a:xfrm>
        <a:prstGeom prst="ellipse">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126010</xdr:colOff>
      <xdr:row>21</xdr:row>
      <xdr:rowOff>129017</xdr:rowOff>
    </xdr:from>
    <xdr:to>
      <xdr:col>4</xdr:col>
      <xdr:colOff>435428</xdr:colOff>
      <xdr:row>22</xdr:row>
      <xdr:rowOff>199570</xdr:rowOff>
    </xdr:to>
    <xdr:sp macro="" textlink="">
      <xdr:nvSpPr>
        <xdr:cNvPr id="22" name="Oval 21">
          <a:extLst>
            <a:ext uri="{FF2B5EF4-FFF2-40B4-BE49-F238E27FC236}">
              <a16:creationId xmlns:a16="http://schemas.microsoft.com/office/drawing/2014/main" id="{DE28341B-71A1-E74B-B0AC-E817B5704BAA}"/>
            </a:ext>
          </a:extLst>
        </xdr:cNvPr>
        <xdr:cNvSpPr/>
      </xdr:nvSpPr>
      <xdr:spPr>
        <a:xfrm flipH="1" flipV="1">
          <a:off x="2865581" y="6297588"/>
          <a:ext cx="309418" cy="306411"/>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296334</xdr:colOff>
      <xdr:row>21</xdr:row>
      <xdr:rowOff>127000</xdr:rowOff>
    </xdr:from>
    <xdr:to>
      <xdr:col>13</xdr:col>
      <xdr:colOff>605752</xdr:colOff>
      <xdr:row>22</xdr:row>
      <xdr:rowOff>197554</xdr:rowOff>
    </xdr:to>
    <xdr:sp macro="" textlink="">
      <xdr:nvSpPr>
        <xdr:cNvPr id="29" name="Oval 28">
          <a:extLst>
            <a:ext uri="{FF2B5EF4-FFF2-40B4-BE49-F238E27FC236}">
              <a16:creationId xmlns:a16="http://schemas.microsoft.com/office/drawing/2014/main" id="{30DF6015-7ABE-874D-BCFD-5F7B34E8C90F}"/>
            </a:ext>
          </a:extLst>
        </xdr:cNvPr>
        <xdr:cNvSpPr/>
      </xdr:nvSpPr>
      <xdr:spPr>
        <a:xfrm flipH="1" flipV="1">
          <a:off x="12399434" y="3784600"/>
          <a:ext cx="309418" cy="27375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385907</xdr:colOff>
      <xdr:row>31</xdr:row>
      <xdr:rowOff>155861</xdr:rowOff>
    </xdr:from>
    <xdr:to>
      <xdr:col>10</xdr:col>
      <xdr:colOff>733425</xdr:colOff>
      <xdr:row>32</xdr:row>
      <xdr:rowOff>292099</xdr:rowOff>
    </xdr:to>
    <xdr:sp macro="" textlink="">
      <xdr:nvSpPr>
        <xdr:cNvPr id="34" name="Oval 33">
          <a:extLst>
            <a:ext uri="{FF2B5EF4-FFF2-40B4-BE49-F238E27FC236}">
              <a16:creationId xmlns:a16="http://schemas.microsoft.com/office/drawing/2014/main" id="{CB81C129-71CE-8B47-84F9-24F9615F3EA1}"/>
            </a:ext>
          </a:extLst>
        </xdr:cNvPr>
        <xdr:cNvSpPr/>
      </xdr:nvSpPr>
      <xdr:spPr>
        <a:xfrm flipH="1" flipV="1">
          <a:off x="10291907" y="6924961"/>
          <a:ext cx="347518" cy="339438"/>
        </a:xfrm>
        <a:prstGeom prst="ellipse">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308264</xdr:colOff>
      <xdr:row>32</xdr:row>
      <xdr:rowOff>289791</xdr:rowOff>
    </xdr:from>
    <xdr:to>
      <xdr:col>1</xdr:col>
      <xdr:colOff>700809</xdr:colOff>
      <xdr:row>33</xdr:row>
      <xdr:rowOff>302492</xdr:rowOff>
    </xdr:to>
    <xdr:sp macro="" textlink="">
      <xdr:nvSpPr>
        <xdr:cNvPr id="35" name="Rectangle 34">
          <a:extLst>
            <a:ext uri="{FF2B5EF4-FFF2-40B4-BE49-F238E27FC236}">
              <a16:creationId xmlns:a16="http://schemas.microsoft.com/office/drawing/2014/main" id="{72EA72BF-DD08-3043-96C6-2C9E87B1DABB}"/>
            </a:ext>
          </a:extLst>
        </xdr:cNvPr>
        <xdr:cNvSpPr/>
      </xdr:nvSpPr>
      <xdr:spPr>
        <a:xfrm>
          <a:off x="549564" y="8214591"/>
          <a:ext cx="392545" cy="342901"/>
        </a:xfrm>
        <a:prstGeom prst="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359064</xdr:colOff>
      <xdr:row>33</xdr:row>
      <xdr:rowOff>327891</xdr:rowOff>
    </xdr:from>
    <xdr:to>
      <xdr:col>10</xdr:col>
      <xdr:colOff>751609</xdr:colOff>
      <xdr:row>35</xdr:row>
      <xdr:rowOff>10392</xdr:rowOff>
    </xdr:to>
    <xdr:sp macro="" textlink="">
      <xdr:nvSpPr>
        <xdr:cNvPr id="37" name="Rectangle 36">
          <a:extLst>
            <a:ext uri="{FF2B5EF4-FFF2-40B4-BE49-F238E27FC236}">
              <a16:creationId xmlns:a16="http://schemas.microsoft.com/office/drawing/2014/main" id="{3CB6777C-7A0B-C74F-AEE7-B607C9797551}"/>
            </a:ext>
          </a:extLst>
        </xdr:cNvPr>
        <xdr:cNvSpPr/>
      </xdr:nvSpPr>
      <xdr:spPr>
        <a:xfrm>
          <a:off x="10265064" y="7630391"/>
          <a:ext cx="392545" cy="342901"/>
        </a:xfrm>
        <a:prstGeom prst="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330201</xdr:colOff>
      <xdr:row>35</xdr:row>
      <xdr:rowOff>198581</xdr:rowOff>
    </xdr:from>
    <xdr:to>
      <xdr:col>10</xdr:col>
      <xdr:colOff>794328</xdr:colOff>
      <xdr:row>37</xdr:row>
      <xdr:rowOff>36945</xdr:rowOff>
    </xdr:to>
    <xdr:sp macro="" textlink="">
      <xdr:nvSpPr>
        <xdr:cNvPr id="38" name="Triangle 37">
          <a:extLst>
            <a:ext uri="{FF2B5EF4-FFF2-40B4-BE49-F238E27FC236}">
              <a16:creationId xmlns:a16="http://schemas.microsoft.com/office/drawing/2014/main" id="{C3EAE9ED-7068-E94F-B33A-69A4191176BB}"/>
            </a:ext>
          </a:extLst>
        </xdr:cNvPr>
        <xdr:cNvSpPr/>
      </xdr:nvSpPr>
      <xdr:spPr>
        <a:xfrm>
          <a:off x="9652001" y="9126681"/>
          <a:ext cx="464127" cy="371764"/>
        </a:xfrm>
        <a:prstGeom prst="triangle">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37</xdr:col>
      <xdr:colOff>635000</xdr:colOff>
      <xdr:row>16</xdr:row>
      <xdr:rowOff>158750</xdr:rowOff>
    </xdr:from>
    <xdr:to>
      <xdr:col>47</xdr:col>
      <xdr:colOff>1333500</xdr:colOff>
      <xdr:row>33</xdr:row>
      <xdr:rowOff>222250</xdr:rowOff>
    </xdr:to>
    <xdr:sp macro="" textlink="">
      <xdr:nvSpPr>
        <xdr:cNvPr id="2" name="Oval 1">
          <a:extLst>
            <a:ext uri="{FF2B5EF4-FFF2-40B4-BE49-F238E27FC236}">
              <a16:creationId xmlns:a16="http://schemas.microsoft.com/office/drawing/2014/main" id="{C02F19A7-5F45-5746-A127-8548800FD31D}"/>
            </a:ext>
          </a:extLst>
        </xdr:cNvPr>
        <xdr:cNvSpPr/>
      </xdr:nvSpPr>
      <xdr:spPr>
        <a:xfrm>
          <a:off x="60502800" y="19945350"/>
          <a:ext cx="17805400" cy="193167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1143000</xdr:colOff>
      <xdr:row>43</xdr:row>
      <xdr:rowOff>0</xdr:rowOff>
    </xdr:from>
    <xdr:to>
      <xdr:col>39</xdr:col>
      <xdr:colOff>1333500</xdr:colOff>
      <xdr:row>59</xdr:row>
      <xdr:rowOff>317500</xdr:rowOff>
    </xdr:to>
    <xdr:sp macro="" textlink="">
      <xdr:nvSpPr>
        <xdr:cNvPr id="3" name="Oval 2">
          <a:extLst>
            <a:ext uri="{FF2B5EF4-FFF2-40B4-BE49-F238E27FC236}">
              <a16:creationId xmlns:a16="http://schemas.microsoft.com/office/drawing/2014/main" id="{978EFC9C-191B-1F47-97AA-449689AADB65}"/>
            </a:ext>
          </a:extLst>
        </xdr:cNvPr>
        <xdr:cNvSpPr/>
      </xdr:nvSpPr>
      <xdr:spPr>
        <a:xfrm>
          <a:off x="48463200" y="48768000"/>
          <a:ext cx="15875000" cy="183007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1346200</xdr:colOff>
      <xdr:row>73</xdr:row>
      <xdr:rowOff>63500</xdr:rowOff>
    </xdr:from>
    <xdr:to>
      <xdr:col>45</xdr:col>
      <xdr:colOff>1238250</xdr:colOff>
      <xdr:row>89</xdr:row>
      <xdr:rowOff>469900</xdr:rowOff>
    </xdr:to>
    <xdr:sp macro="" textlink="">
      <xdr:nvSpPr>
        <xdr:cNvPr id="4" name="Oval 3">
          <a:extLst>
            <a:ext uri="{FF2B5EF4-FFF2-40B4-BE49-F238E27FC236}">
              <a16:creationId xmlns:a16="http://schemas.microsoft.com/office/drawing/2014/main" id="{BBF54602-3E15-994D-A640-185128500EA4}"/>
            </a:ext>
          </a:extLst>
        </xdr:cNvPr>
        <xdr:cNvSpPr/>
      </xdr:nvSpPr>
      <xdr:spPr>
        <a:xfrm>
          <a:off x="58077100" y="81648300"/>
          <a:ext cx="16998950" cy="184404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37</xdr:col>
      <xdr:colOff>635000</xdr:colOff>
      <xdr:row>16</xdr:row>
      <xdr:rowOff>158750</xdr:rowOff>
    </xdr:from>
    <xdr:to>
      <xdr:col>47</xdr:col>
      <xdr:colOff>1333500</xdr:colOff>
      <xdr:row>33</xdr:row>
      <xdr:rowOff>222250</xdr:rowOff>
    </xdr:to>
    <xdr:sp macro="" textlink="">
      <xdr:nvSpPr>
        <xdr:cNvPr id="2" name="Oval 1">
          <a:extLst>
            <a:ext uri="{FF2B5EF4-FFF2-40B4-BE49-F238E27FC236}">
              <a16:creationId xmlns:a16="http://schemas.microsoft.com/office/drawing/2014/main" id="{058E5E57-D2F7-5546-BD09-859ECCCC5575}"/>
            </a:ext>
          </a:extLst>
        </xdr:cNvPr>
        <xdr:cNvSpPr/>
      </xdr:nvSpPr>
      <xdr:spPr>
        <a:xfrm>
          <a:off x="44843700" y="192093850"/>
          <a:ext cx="13373100" cy="97917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1143000</xdr:colOff>
      <xdr:row>43</xdr:row>
      <xdr:rowOff>0</xdr:rowOff>
    </xdr:from>
    <xdr:to>
      <xdr:col>39</xdr:col>
      <xdr:colOff>1333500</xdr:colOff>
      <xdr:row>59</xdr:row>
      <xdr:rowOff>317500</xdr:rowOff>
    </xdr:to>
    <xdr:sp macro="" textlink="">
      <xdr:nvSpPr>
        <xdr:cNvPr id="3" name="Oval 2">
          <a:extLst>
            <a:ext uri="{FF2B5EF4-FFF2-40B4-BE49-F238E27FC236}">
              <a16:creationId xmlns:a16="http://schemas.microsoft.com/office/drawing/2014/main" id="{9AA9DB4D-08B8-674F-B890-C7E1EF056E26}"/>
            </a:ext>
          </a:extLst>
        </xdr:cNvPr>
        <xdr:cNvSpPr/>
      </xdr:nvSpPr>
      <xdr:spPr>
        <a:xfrm>
          <a:off x="35242500" y="208851500"/>
          <a:ext cx="12827000" cy="94107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1346200</xdr:colOff>
      <xdr:row>73</xdr:row>
      <xdr:rowOff>63500</xdr:rowOff>
    </xdr:from>
    <xdr:to>
      <xdr:col>45</xdr:col>
      <xdr:colOff>1238250</xdr:colOff>
      <xdr:row>89</xdr:row>
      <xdr:rowOff>469900</xdr:rowOff>
    </xdr:to>
    <xdr:sp macro="" textlink="">
      <xdr:nvSpPr>
        <xdr:cNvPr id="4" name="Oval 3">
          <a:extLst>
            <a:ext uri="{FF2B5EF4-FFF2-40B4-BE49-F238E27FC236}">
              <a16:creationId xmlns:a16="http://schemas.microsoft.com/office/drawing/2014/main" id="{27856ED5-83A4-7747-A89F-5A69B23D032B}"/>
            </a:ext>
          </a:extLst>
        </xdr:cNvPr>
        <xdr:cNvSpPr/>
      </xdr:nvSpPr>
      <xdr:spPr>
        <a:xfrm>
          <a:off x="43027600" y="226466400"/>
          <a:ext cx="12566650" cy="94996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teelcas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5892-7979-C14A-A749-FFDAB84C9650}">
  <sheetPr>
    <pageSetUpPr fitToPage="1"/>
  </sheetPr>
  <dimension ref="B2:AC44"/>
  <sheetViews>
    <sheetView tabSelected="1" zoomScale="70" zoomScaleNormal="70" zoomScaleSheetLayoutView="70" workbookViewId="0">
      <selection activeCell="B2" sqref="B2:Y43"/>
    </sheetView>
  </sheetViews>
  <sheetFormatPr baseColWidth="10" defaultRowHeight="16" x14ac:dyDescent="0.2"/>
  <cols>
    <col min="1" max="1" width="3.1640625" customWidth="1"/>
    <col min="5" max="5" width="10.83203125" customWidth="1"/>
    <col min="10" max="10" width="66.1640625" customWidth="1"/>
    <col min="12" max="16" width="11" customWidth="1"/>
    <col min="21" max="21" width="3.1640625" customWidth="1"/>
    <col min="24" max="24" width="1.6640625" customWidth="1"/>
    <col min="25" max="25" width="10.83203125" customWidth="1"/>
    <col min="26" max="29" width="0.1640625" customWidth="1"/>
  </cols>
  <sheetData>
    <row r="2" spans="2:29" s="275" customFormat="1" ht="26" x14ac:dyDescent="0.3">
      <c r="B2" s="297" t="s">
        <v>302</v>
      </c>
      <c r="C2" s="296"/>
      <c r="D2" s="296"/>
      <c r="E2" s="276"/>
      <c r="F2" s="276"/>
      <c r="G2" s="276"/>
      <c r="H2" s="276"/>
      <c r="I2" s="276"/>
      <c r="J2" s="276"/>
      <c r="K2" s="276"/>
      <c r="L2" s="276"/>
      <c r="M2" s="276"/>
      <c r="N2" s="276"/>
      <c r="O2" s="276"/>
      <c r="P2" s="276"/>
      <c r="Q2" s="276"/>
      <c r="R2" s="276"/>
      <c r="S2" s="276"/>
      <c r="T2" s="276"/>
      <c r="U2" s="276"/>
      <c r="V2" s="276"/>
      <c r="W2" s="276"/>
      <c r="X2" s="276"/>
      <c r="Y2" s="276"/>
      <c r="Z2" s="276"/>
      <c r="AA2" s="276"/>
      <c r="AB2" s="276"/>
    </row>
    <row r="3" spans="2:29" s="275" customFormat="1" ht="26" x14ac:dyDescent="0.3">
      <c r="B3" s="296" t="s">
        <v>23</v>
      </c>
      <c r="C3" s="296"/>
      <c r="D3" s="296"/>
      <c r="E3" s="276"/>
      <c r="F3" s="276"/>
      <c r="G3" s="276"/>
      <c r="H3" s="276"/>
      <c r="I3" s="276"/>
      <c r="J3" s="276"/>
      <c r="K3" s="276"/>
      <c r="L3" s="276"/>
      <c r="M3" s="276"/>
      <c r="N3" s="276"/>
      <c r="O3" s="276"/>
      <c r="P3" s="276"/>
      <c r="Q3" s="276"/>
      <c r="R3" s="276"/>
      <c r="S3" s="276"/>
      <c r="T3" s="276"/>
      <c r="U3" s="276"/>
      <c r="V3" s="276"/>
      <c r="W3" s="276"/>
      <c r="X3" s="276"/>
      <c r="Y3" s="276"/>
      <c r="Z3" s="276"/>
      <c r="AA3" s="276"/>
      <c r="AB3" s="276"/>
    </row>
    <row r="4" spans="2:29" s="275" customFormat="1" ht="26" x14ac:dyDescent="0.3">
      <c r="B4" s="296" t="s">
        <v>24</v>
      </c>
      <c r="C4" s="296"/>
      <c r="D4" s="296"/>
      <c r="E4" s="276"/>
      <c r="F4" s="276"/>
      <c r="G4" s="276"/>
      <c r="H4" s="276"/>
      <c r="I4" s="276"/>
      <c r="J4" s="276"/>
      <c r="K4" s="276"/>
      <c r="L4" s="276"/>
      <c r="M4" s="276"/>
      <c r="N4" s="276"/>
      <c r="O4" s="276"/>
      <c r="P4" s="276"/>
      <c r="Q4" s="276"/>
      <c r="R4" s="276"/>
      <c r="S4" s="276"/>
      <c r="T4" s="276"/>
      <c r="U4" s="276"/>
      <c r="V4" s="276"/>
      <c r="W4" s="276"/>
      <c r="X4" s="276"/>
      <c r="Y4" s="276"/>
      <c r="Z4" s="276"/>
      <c r="AA4" s="276"/>
      <c r="AB4" s="276"/>
    </row>
    <row r="5" spans="2:29" s="275" customFormat="1" ht="26" x14ac:dyDescent="0.3">
      <c r="B5" s="298" t="s">
        <v>368</v>
      </c>
      <c r="C5" s="296"/>
      <c r="D5" s="296"/>
      <c r="E5" s="276"/>
      <c r="F5" s="276"/>
      <c r="G5" s="276"/>
      <c r="H5" s="276"/>
      <c r="I5" s="276"/>
      <c r="J5" s="276"/>
      <c r="K5" s="276"/>
      <c r="L5" s="276"/>
      <c r="M5" s="276"/>
      <c r="N5" s="276"/>
      <c r="O5" s="276"/>
      <c r="P5" s="276"/>
      <c r="Q5" s="276"/>
      <c r="R5" s="276"/>
      <c r="S5" s="276"/>
      <c r="T5" s="276"/>
      <c r="U5" s="276"/>
      <c r="V5" s="276"/>
      <c r="W5" s="276"/>
      <c r="X5" s="276"/>
      <c r="Y5" s="276"/>
      <c r="Z5" s="276"/>
      <c r="AA5" s="276"/>
      <c r="AB5" s="276"/>
    </row>
    <row r="6" spans="2:29" s="275" customFormat="1" ht="26" x14ac:dyDescent="0.3">
      <c r="B6" s="296" t="s">
        <v>366</v>
      </c>
      <c r="C6" s="296"/>
      <c r="D6" s="296"/>
      <c r="E6" s="276"/>
      <c r="F6" s="276"/>
      <c r="G6" s="276"/>
      <c r="H6" s="276"/>
      <c r="I6" s="276"/>
      <c r="J6" s="276"/>
      <c r="K6" s="276"/>
      <c r="L6" s="276"/>
      <c r="M6" s="276"/>
      <c r="N6" s="276"/>
      <c r="O6" s="276"/>
      <c r="P6" s="276"/>
      <c r="Q6" s="276"/>
      <c r="R6" s="276"/>
      <c r="S6" s="276"/>
      <c r="T6" s="276"/>
      <c r="U6" s="276"/>
      <c r="V6" s="276"/>
      <c r="W6" s="276"/>
      <c r="X6" s="276"/>
      <c r="Y6" s="276"/>
      <c r="Z6" s="276"/>
      <c r="AA6" s="276"/>
      <c r="AB6" s="276"/>
    </row>
    <row r="7" spans="2:29" s="275" customFormat="1" ht="26" x14ac:dyDescent="0.3">
      <c r="B7" s="296"/>
      <c r="C7" s="296"/>
      <c r="D7" s="296"/>
      <c r="E7" s="276"/>
      <c r="F7" s="276"/>
      <c r="G7" s="276"/>
      <c r="H7" s="276"/>
      <c r="I7" s="276"/>
      <c r="J7" s="276"/>
      <c r="K7" s="276"/>
      <c r="L7" s="276"/>
      <c r="M7" s="276"/>
      <c r="N7" s="276"/>
      <c r="O7" s="276"/>
      <c r="P7" s="276"/>
      <c r="Q7" s="276"/>
      <c r="R7" s="276"/>
      <c r="S7" s="276"/>
      <c r="T7" s="276"/>
      <c r="U7" s="276"/>
      <c r="V7" s="276"/>
      <c r="W7" s="276"/>
      <c r="X7" s="276"/>
      <c r="Y7" s="276"/>
      <c r="Z7" s="276"/>
      <c r="AA7" s="276"/>
      <c r="AB7" s="276"/>
    </row>
    <row r="8" spans="2:29" s="275" customFormat="1" ht="26" x14ac:dyDescent="0.3">
      <c r="B8" s="296" t="s">
        <v>254</v>
      </c>
      <c r="C8" s="296"/>
      <c r="D8" s="296"/>
      <c r="E8" s="276"/>
      <c r="F8" s="276"/>
      <c r="G8" s="276"/>
      <c r="H8" s="276"/>
      <c r="I8" s="276"/>
      <c r="J8" s="276"/>
      <c r="K8" s="276"/>
      <c r="L8" s="276"/>
      <c r="M8" s="276"/>
      <c r="N8" s="276"/>
      <c r="O8" s="276"/>
      <c r="P8" s="276"/>
      <c r="Q8" s="276"/>
      <c r="R8" s="276"/>
      <c r="S8" s="276"/>
      <c r="T8" s="276"/>
      <c r="U8" s="276"/>
      <c r="V8" s="276"/>
      <c r="W8" s="276"/>
      <c r="X8" s="276"/>
      <c r="Y8" s="276"/>
      <c r="Z8" s="276"/>
      <c r="AA8" s="276"/>
      <c r="AB8" s="276"/>
    </row>
    <row r="9" spans="2:29" s="275" customFormat="1" ht="26" x14ac:dyDescent="0.3">
      <c r="B9" s="296"/>
      <c r="C9" s="296"/>
      <c r="D9" s="296"/>
      <c r="E9" s="276"/>
      <c r="F9" s="276"/>
      <c r="G9" s="276"/>
      <c r="H9" s="276"/>
      <c r="I9" s="276"/>
      <c r="J9" s="276"/>
      <c r="K9" s="276"/>
      <c r="L9" s="276"/>
      <c r="M9" s="276"/>
      <c r="N9" s="276"/>
      <c r="O9" s="276"/>
      <c r="P9" s="276"/>
      <c r="Q9" s="276"/>
      <c r="R9" s="276"/>
      <c r="S9" s="276"/>
      <c r="T9" s="276"/>
      <c r="U9" s="276"/>
      <c r="V9" s="276"/>
      <c r="W9" s="276"/>
      <c r="X9" s="276"/>
      <c r="Y9" s="276"/>
      <c r="Z9" s="276"/>
      <c r="AA9" s="276"/>
      <c r="AB9" s="276"/>
    </row>
    <row r="10" spans="2:29" s="275" customFormat="1" ht="50" customHeight="1" x14ac:dyDescent="0.3">
      <c r="B10" s="301" t="s">
        <v>135</v>
      </c>
      <c r="C10" s="293"/>
      <c r="D10" s="294"/>
      <c r="E10" s="278"/>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9"/>
    </row>
    <row r="11" spans="2:29" s="275" customFormat="1" ht="26" x14ac:dyDescent="0.3">
      <c r="B11" s="296"/>
      <c r="C11" s="296"/>
      <c r="D11" s="296"/>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row>
    <row r="12" spans="2:29" s="275" customFormat="1" ht="26" x14ac:dyDescent="0.3">
      <c r="B12" s="295" t="s">
        <v>224</v>
      </c>
      <c r="C12" s="296"/>
      <c r="D12" s="296"/>
      <c r="E12" s="276"/>
      <c r="F12" s="276"/>
      <c r="G12" s="276"/>
      <c r="H12" s="276"/>
      <c r="I12" s="276"/>
      <c r="J12" s="276"/>
      <c r="K12" s="339" t="s">
        <v>229</v>
      </c>
      <c r="L12" s="338"/>
      <c r="M12" s="338"/>
      <c r="N12" s="338"/>
      <c r="O12" s="338"/>
      <c r="P12" s="338"/>
      <c r="Q12" s="338"/>
      <c r="R12" s="338"/>
      <c r="S12" s="338"/>
      <c r="T12" s="338"/>
      <c r="U12" s="338"/>
      <c r="V12" s="303"/>
      <c r="W12" s="303"/>
      <c r="X12" s="303"/>
      <c r="Y12" s="338"/>
      <c r="Z12" s="276"/>
      <c r="AA12" s="276"/>
      <c r="AB12" s="276"/>
    </row>
    <row r="13" spans="2:29" s="275" customFormat="1" ht="26" x14ac:dyDescent="0.3">
      <c r="B13" s="276"/>
      <c r="C13" s="276"/>
      <c r="D13" s="276"/>
      <c r="E13" s="276"/>
      <c r="F13" s="276"/>
      <c r="G13" s="276"/>
      <c r="H13" s="276"/>
      <c r="I13" s="276"/>
      <c r="J13" s="276"/>
      <c r="K13" s="339"/>
      <c r="L13" s="338"/>
      <c r="M13" s="338"/>
      <c r="N13" s="338"/>
      <c r="O13" s="338"/>
      <c r="P13" s="338"/>
      <c r="Q13" s="338"/>
      <c r="R13" s="338"/>
      <c r="S13" s="338"/>
      <c r="T13" s="338"/>
      <c r="U13" s="338"/>
      <c r="V13" s="303"/>
      <c r="W13" s="303"/>
      <c r="X13" s="303"/>
      <c r="Y13" s="276"/>
      <c r="Z13" s="276"/>
      <c r="AA13" s="276"/>
      <c r="AB13" s="276"/>
    </row>
    <row r="14" spans="2:29" s="275" customFormat="1" ht="9" customHeight="1" x14ac:dyDescent="0.2">
      <c r="B14" s="280"/>
      <c r="C14" s="276"/>
      <c r="D14" s="276"/>
      <c r="E14" s="276"/>
      <c r="F14" s="276"/>
      <c r="G14" s="280"/>
      <c r="H14" s="276"/>
      <c r="I14" s="276"/>
      <c r="J14" s="276"/>
      <c r="K14"/>
      <c r="L14"/>
      <c r="M14"/>
      <c r="N14"/>
      <c r="O14"/>
      <c r="P14"/>
      <c r="Q14"/>
      <c r="R14"/>
      <c r="S14"/>
      <c r="T14"/>
      <c r="U14"/>
      <c r="V14" s="303"/>
      <c r="W14" s="303"/>
      <c r="X14" s="303"/>
      <c r="Y14" s="276"/>
      <c r="Z14" s="276"/>
      <c r="AA14" s="276"/>
      <c r="AB14" s="276"/>
    </row>
    <row r="15" spans="2:29" s="275" customFormat="1" ht="17" customHeight="1" x14ac:dyDescent="0.25">
      <c r="B15" s="281"/>
      <c r="C15" s="1840" t="s">
        <v>115</v>
      </c>
      <c r="D15" s="1840"/>
      <c r="E15" s="1840"/>
      <c r="F15" s="1840"/>
      <c r="G15" s="1841"/>
      <c r="H15" s="282"/>
      <c r="I15" s="276"/>
      <c r="J15" s="276"/>
      <c r="K15" s="281"/>
      <c r="L15" s="1845" t="s">
        <v>115</v>
      </c>
      <c r="M15" s="1840"/>
      <c r="N15" s="1840"/>
      <c r="O15" s="1840"/>
      <c r="P15" s="1841"/>
      <c r="Q15" s="282"/>
      <c r="R15" s="276"/>
      <c r="S15" s="276"/>
      <c r="T15" s="344" t="s">
        <v>120</v>
      </c>
      <c r="U15"/>
      <c r="V15" s="345"/>
      <c r="W15" s="345"/>
      <c r="X15" s="303"/>
      <c r="Y15" s="276"/>
      <c r="Z15" s="276"/>
      <c r="AA15" s="276"/>
      <c r="AB15" s="276"/>
    </row>
    <row r="16" spans="2:29" s="275" customFormat="1" ht="19" x14ac:dyDescent="0.25">
      <c r="B16" s="281"/>
      <c r="C16" s="1840"/>
      <c r="D16" s="1840"/>
      <c r="E16" s="1840"/>
      <c r="F16" s="1840"/>
      <c r="G16" s="1841"/>
      <c r="H16" s="282"/>
      <c r="I16" s="276"/>
      <c r="J16" s="276"/>
      <c r="K16" s="283"/>
      <c r="L16" s="1846"/>
      <c r="M16" s="1847"/>
      <c r="N16" s="1847"/>
      <c r="O16" s="1847"/>
      <c r="P16" s="1848"/>
      <c r="Q16" s="284"/>
      <c r="R16" s="276"/>
      <c r="S16" s="276"/>
      <c r="T16" s="346" t="s">
        <v>230</v>
      </c>
      <c r="U16"/>
      <c r="V16" s="347"/>
      <c r="W16" s="348"/>
      <c r="X16" s="303"/>
      <c r="Y16" s="276"/>
      <c r="Z16" s="276"/>
      <c r="AA16" s="276"/>
      <c r="AB16" s="276"/>
    </row>
    <row r="17" spans="2:28" s="275" customFormat="1" ht="19" customHeight="1" x14ac:dyDescent="0.25">
      <c r="B17" s="1520"/>
      <c r="C17" s="1522"/>
      <c r="D17" s="1522"/>
      <c r="E17" s="1522"/>
      <c r="F17" s="1522"/>
      <c r="G17" s="1523"/>
      <c r="H17" s="1521"/>
      <c r="I17" s="276"/>
      <c r="J17" s="276"/>
      <c r="K17" s="1858" t="s">
        <v>189</v>
      </c>
      <c r="L17" s="1524"/>
      <c r="M17" s="1524"/>
      <c r="N17" s="1524"/>
      <c r="O17" s="1524"/>
      <c r="P17" s="1523"/>
      <c r="Q17" s="1861" t="s">
        <v>100</v>
      </c>
      <c r="R17" s="276"/>
      <c r="S17" s="276"/>
      <c r="T17" s="346"/>
      <c r="U17"/>
      <c r="V17" s="347"/>
      <c r="W17" s="348"/>
      <c r="X17" s="303"/>
      <c r="Y17" s="276"/>
      <c r="Z17" s="276"/>
      <c r="AA17" s="276"/>
      <c r="AB17" s="276"/>
    </row>
    <row r="18" spans="2:28" s="275" customFormat="1" ht="19" customHeight="1" x14ac:dyDescent="0.25">
      <c r="B18" s="280"/>
      <c r="C18" s="332"/>
      <c r="D18" s="332"/>
      <c r="E18" s="332"/>
      <c r="F18" s="332"/>
      <c r="G18" s="333"/>
      <c r="H18" s="276"/>
      <c r="I18" s="276"/>
      <c r="J18" s="276"/>
      <c r="K18" s="1859"/>
      <c r="L18" s="332"/>
      <c r="M18" s="1856" t="s">
        <v>68</v>
      </c>
      <c r="N18" s="332"/>
      <c r="O18" s="332"/>
      <c r="P18" s="333"/>
      <c r="Q18" s="1862"/>
      <c r="R18" s="276"/>
      <c r="S18" s="276"/>
      <c r="T18" s="349" t="s">
        <v>223</v>
      </c>
      <c r="U18"/>
      <c r="V18" s="348"/>
      <c r="W18" s="345"/>
      <c r="X18"/>
      <c r="Y18" s="276"/>
      <c r="Z18" s="276"/>
      <c r="AA18" s="276"/>
      <c r="AB18" s="276"/>
    </row>
    <row r="19" spans="2:28" s="275" customFormat="1" ht="19" customHeight="1" x14ac:dyDescent="0.25">
      <c r="B19" s="280"/>
      <c r="C19" s="332"/>
      <c r="D19" s="332"/>
      <c r="E19" s="332"/>
      <c r="F19" s="332"/>
      <c r="G19" s="333"/>
      <c r="H19" s="276"/>
      <c r="I19" s="276"/>
      <c r="K19" s="1859"/>
      <c r="L19" s="332"/>
      <c r="M19" s="1856"/>
      <c r="N19" s="332"/>
      <c r="O19" s="332"/>
      <c r="P19" s="333"/>
      <c r="Q19" s="1862"/>
      <c r="R19" s="276"/>
      <c r="S19" s="276"/>
      <c r="T19" s="345" t="s">
        <v>68</v>
      </c>
      <c r="U19"/>
      <c r="V19" s="350" t="s">
        <v>118</v>
      </c>
      <c r="W19" s="345"/>
      <c r="X19"/>
      <c r="Y19" s="276"/>
      <c r="Z19" s="276"/>
      <c r="AA19" s="276"/>
      <c r="AB19" s="276"/>
    </row>
    <row r="20" spans="2:28" s="275" customFormat="1" ht="19" customHeight="1" x14ac:dyDescent="0.25">
      <c r="B20" s="280"/>
      <c r="C20" s="1852" t="s">
        <v>68</v>
      </c>
      <c r="D20" s="332"/>
      <c r="E20" s="332"/>
      <c r="F20" s="332"/>
      <c r="G20" s="333"/>
      <c r="H20" s="276"/>
      <c r="I20" s="276"/>
      <c r="K20" s="1859"/>
      <c r="L20" s="332"/>
      <c r="M20" s="1856"/>
      <c r="N20" s="332"/>
      <c r="O20" s="332"/>
      <c r="P20" s="333"/>
      <c r="Q20" s="1862"/>
      <c r="R20" s="276"/>
      <c r="S20" s="276"/>
      <c r="T20" s="345" t="s">
        <v>157</v>
      </c>
      <c r="U20"/>
      <c r="V20" s="350" t="s">
        <v>118</v>
      </c>
      <c r="W20" s="345"/>
      <c r="X20"/>
      <c r="Y20" s="276"/>
      <c r="Z20" s="276"/>
      <c r="AA20" s="276"/>
      <c r="AB20" s="276"/>
    </row>
    <row r="21" spans="2:28" s="275" customFormat="1" ht="19" customHeight="1" x14ac:dyDescent="0.25">
      <c r="B21" s="280"/>
      <c r="C21" s="1852"/>
      <c r="D21" s="332"/>
      <c r="E21" s="332"/>
      <c r="F21" s="332"/>
      <c r="G21" s="333"/>
      <c r="H21" s="276"/>
      <c r="I21" s="276"/>
      <c r="K21" s="1859"/>
      <c r="L21" s="332"/>
      <c r="M21" s="332"/>
      <c r="N21" s="332"/>
      <c r="O21" s="332"/>
      <c r="P21" s="333"/>
      <c r="Q21" s="1862"/>
      <c r="R21" s="276"/>
      <c r="S21" s="276"/>
      <c r="T21" s="345" t="s">
        <v>122</v>
      </c>
      <c r="U21"/>
      <c r="V21" s="350" t="s">
        <v>118</v>
      </c>
      <c r="W21" s="345"/>
      <c r="X21"/>
      <c r="Y21" s="276"/>
      <c r="Z21" s="276"/>
      <c r="AA21" s="276"/>
      <c r="AB21" s="276"/>
    </row>
    <row r="22" spans="2:28" s="275" customFormat="1" ht="19" customHeight="1" x14ac:dyDescent="0.25">
      <c r="B22" s="280"/>
      <c r="C22" s="1852"/>
      <c r="D22" s="332"/>
      <c r="E22" s="332"/>
      <c r="F22" s="332"/>
      <c r="G22" s="333"/>
      <c r="H22" s="276"/>
      <c r="I22" s="276"/>
      <c r="K22" s="1859"/>
      <c r="L22" s="332"/>
      <c r="M22" s="332"/>
      <c r="N22" s="332"/>
      <c r="O22" s="332"/>
      <c r="P22" s="333"/>
      <c r="Q22" s="1862"/>
      <c r="R22" s="276"/>
      <c r="S22" s="276"/>
      <c r="T22" s="345" t="s">
        <v>98</v>
      </c>
      <c r="U22"/>
      <c r="V22" s="350" t="s">
        <v>118</v>
      </c>
      <c r="W22" s="345"/>
      <c r="X22"/>
      <c r="Y22" s="276"/>
      <c r="Z22" s="276"/>
      <c r="AA22" s="276"/>
      <c r="AB22" s="276"/>
    </row>
    <row r="23" spans="2:28" s="275" customFormat="1" ht="19" customHeight="1" x14ac:dyDescent="0.25">
      <c r="B23" s="280"/>
      <c r="C23" s="1852"/>
      <c r="D23" s="332"/>
      <c r="E23" s="332"/>
      <c r="F23" s="332"/>
      <c r="G23" s="333"/>
      <c r="H23" s="276"/>
      <c r="I23" s="276"/>
      <c r="K23" s="1859"/>
      <c r="L23" s="332"/>
      <c r="M23" s="332"/>
      <c r="N23" s="332"/>
      <c r="O23" s="332"/>
      <c r="P23" s="333"/>
      <c r="Q23" s="1862"/>
      <c r="R23" s="276"/>
      <c r="S23" s="276"/>
      <c r="T23" s="345" t="s">
        <v>91</v>
      </c>
      <c r="U23"/>
      <c r="V23" s="350" t="s">
        <v>118</v>
      </c>
      <c r="W23" s="345"/>
      <c r="X23"/>
      <c r="Y23" s="276"/>
      <c r="Z23" s="276"/>
      <c r="AA23" s="276"/>
      <c r="AB23" s="276"/>
    </row>
    <row r="24" spans="2:28" s="275" customFormat="1" ht="19" customHeight="1" thickBot="1" x14ac:dyDescent="0.3">
      <c r="B24" s="280"/>
      <c r="C24" s="1852"/>
      <c r="D24" s="332"/>
      <c r="E24" s="332"/>
      <c r="F24" s="332"/>
      <c r="G24" s="333"/>
      <c r="H24" s="276"/>
      <c r="I24" s="276"/>
      <c r="K24" s="1859"/>
      <c r="L24" s="286" t="s">
        <v>157</v>
      </c>
      <c r="M24" s="332"/>
      <c r="N24" s="332"/>
      <c r="O24" s="332"/>
      <c r="P24" s="333"/>
      <c r="Q24" s="1862"/>
      <c r="R24" s="276"/>
      <c r="S24" s="276"/>
      <c r="T24" s="351" t="s">
        <v>119</v>
      </c>
      <c r="U24" s="353"/>
      <c r="V24" s="352" t="s">
        <v>118</v>
      </c>
      <c r="W24" s="345"/>
      <c r="X24"/>
      <c r="Y24" s="276"/>
      <c r="Z24" s="276"/>
      <c r="AA24" s="276"/>
      <c r="AB24" s="276"/>
    </row>
    <row r="25" spans="2:28" s="275" customFormat="1" ht="19" customHeight="1" x14ac:dyDescent="0.25">
      <c r="B25" s="280"/>
      <c r="C25" s="1852"/>
      <c r="D25" s="332"/>
      <c r="E25" s="332"/>
      <c r="F25" s="332"/>
      <c r="G25" s="333"/>
      <c r="H25" s="276"/>
      <c r="I25" s="276"/>
      <c r="K25" s="1860"/>
      <c r="L25" s="335"/>
      <c r="M25" s="335"/>
      <c r="N25" s="335"/>
      <c r="O25" s="1856" t="s">
        <v>122</v>
      </c>
      <c r="P25" s="337"/>
      <c r="Q25" s="1863"/>
      <c r="R25" s="276"/>
      <c r="S25" s="276"/>
      <c r="T25" s="345"/>
      <c r="U25"/>
      <c r="V25" s="345"/>
      <c r="W25" s="345"/>
      <c r="X25"/>
      <c r="Y25" s="276"/>
      <c r="Z25" s="276"/>
      <c r="AA25" s="276"/>
      <c r="AB25" s="276"/>
    </row>
    <row r="26" spans="2:28" s="275" customFormat="1" ht="19" customHeight="1" x14ac:dyDescent="0.25">
      <c r="B26" s="280"/>
      <c r="C26" s="332"/>
      <c r="D26" s="332"/>
      <c r="E26" s="332"/>
      <c r="F26" s="332"/>
      <c r="G26" s="333"/>
      <c r="H26" s="276"/>
      <c r="I26" s="276"/>
      <c r="K26" s="1849" t="s">
        <v>190</v>
      </c>
      <c r="L26" s="332"/>
      <c r="M26" s="332"/>
      <c r="N26" s="332"/>
      <c r="O26" s="1856"/>
      <c r="P26" s="333"/>
      <c r="Q26" s="1853" t="s">
        <v>126</v>
      </c>
      <c r="R26" s="276"/>
      <c r="S26" s="276"/>
      <c r="T26" s="345" t="s">
        <v>271</v>
      </c>
      <c r="U26"/>
      <c r="V26" s="345"/>
      <c r="W26" s="345"/>
      <c r="X26"/>
      <c r="Y26" s="276"/>
      <c r="Z26" s="276"/>
      <c r="AA26" s="276"/>
      <c r="AB26" s="276"/>
    </row>
    <row r="27" spans="2:28" s="275" customFormat="1" ht="19" customHeight="1" x14ac:dyDescent="0.2">
      <c r="B27" s="280"/>
      <c r="C27" s="332"/>
      <c r="D27" s="332"/>
      <c r="E27" s="332"/>
      <c r="F27" s="334"/>
      <c r="G27" s="333"/>
      <c r="H27" s="276"/>
      <c r="I27" s="276"/>
      <c r="K27" s="1850"/>
      <c r="L27" s="332"/>
      <c r="M27" s="287" t="s">
        <v>91</v>
      </c>
      <c r="N27" s="332"/>
      <c r="O27" s="336"/>
      <c r="P27" s="333"/>
      <c r="Q27" s="1854"/>
      <c r="R27" s="276"/>
      <c r="S27" s="276"/>
      <c r="T27"/>
      <c r="U27" s="276"/>
      <c r="V27" s="276"/>
      <c r="W27" s="276"/>
      <c r="X27"/>
      <c r="Y27" s="276"/>
      <c r="Z27" s="276"/>
      <c r="AA27" s="276"/>
      <c r="AB27" s="276"/>
    </row>
    <row r="28" spans="2:28" s="275" customFormat="1" ht="19" customHeight="1" x14ac:dyDescent="0.2">
      <c r="B28" s="280"/>
      <c r="C28" s="332"/>
      <c r="D28" s="332"/>
      <c r="E28" s="332"/>
      <c r="F28" s="332"/>
      <c r="G28" s="333"/>
      <c r="H28" s="276"/>
      <c r="I28" s="276"/>
      <c r="K28" s="1851"/>
      <c r="L28" s="335"/>
      <c r="M28" s="335"/>
      <c r="N28" s="335"/>
      <c r="O28" s="335"/>
      <c r="P28" s="288" t="s">
        <v>98</v>
      </c>
      <c r="Q28" s="1855"/>
      <c r="R28" s="276"/>
      <c r="S28" s="276"/>
      <c r="T28"/>
      <c r="U28"/>
      <c r="V28"/>
      <c r="W28"/>
      <c r="X28"/>
      <c r="Y28" s="276"/>
      <c r="Z28" s="276"/>
      <c r="AA28" s="276"/>
      <c r="AB28" s="276"/>
    </row>
    <row r="29" spans="2:28" s="275" customFormat="1" x14ac:dyDescent="0.2">
      <c r="B29" s="289"/>
      <c r="C29" s="1842" t="s">
        <v>78</v>
      </c>
      <c r="D29" s="1843"/>
      <c r="E29" s="1843"/>
      <c r="F29" s="1843"/>
      <c r="G29" s="1844"/>
      <c r="H29" s="290"/>
      <c r="I29" s="276"/>
      <c r="J29" s="276"/>
      <c r="K29" s="299" t="s">
        <v>128</v>
      </c>
      <c r="L29" s="1842" t="s">
        <v>78</v>
      </c>
      <c r="M29" s="1843"/>
      <c r="N29" s="1843"/>
      <c r="O29" s="1843"/>
      <c r="P29" s="1844"/>
      <c r="Q29" s="1857" t="s">
        <v>126</v>
      </c>
      <c r="R29" s="276"/>
      <c r="S29" s="276"/>
      <c r="T29"/>
      <c r="U29"/>
      <c r="V29"/>
      <c r="W29"/>
      <c r="X29"/>
      <c r="Y29" s="276"/>
      <c r="Z29" s="276"/>
      <c r="AA29" s="276"/>
      <c r="AB29" s="276"/>
    </row>
    <row r="30" spans="2:28" s="275" customFormat="1" x14ac:dyDescent="0.2">
      <c r="B30" s="289"/>
      <c r="C30" s="1842"/>
      <c r="D30" s="1843"/>
      <c r="E30" s="1843"/>
      <c r="F30" s="1843"/>
      <c r="G30" s="1844"/>
      <c r="H30" s="290"/>
      <c r="I30" s="276"/>
      <c r="J30" s="276"/>
      <c r="K30" s="300" t="s">
        <v>129</v>
      </c>
      <c r="L30" s="1842"/>
      <c r="M30" s="1843"/>
      <c r="N30" s="1843"/>
      <c r="O30" s="1843"/>
      <c r="P30" s="1844"/>
      <c r="Q30" s="1857"/>
      <c r="R30" s="276"/>
      <c r="S30" s="276"/>
      <c r="T30"/>
      <c r="U30"/>
      <c r="V30"/>
      <c r="W30"/>
      <c r="X30"/>
      <c r="Y30" s="276"/>
      <c r="Z30" s="276"/>
      <c r="AA30" s="276"/>
      <c r="AB30" s="276"/>
    </row>
    <row r="31" spans="2:28" s="275" customFormat="1" x14ac:dyDescent="0.2">
      <c r="B31" s="291"/>
      <c r="C31" s="276"/>
      <c r="D31" s="276"/>
      <c r="E31" s="276"/>
      <c r="F31" s="276"/>
      <c r="G31" s="291"/>
      <c r="H31" s="276"/>
      <c r="I31" s="276"/>
      <c r="J31" s="276"/>
      <c r="K31" s="291"/>
      <c r="L31" s="276"/>
      <c r="M31" s="276"/>
      <c r="N31" s="276"/>
      <c r="O31" s="276"/>
      <c r="P31" s="291"/>
      <c r="Q31" s="276"/>
      <c r="R31" s="276"/>
      <c r="S31" s="276"/>
      <c r="T31"/>
      <c r="U31"/>
      <c r="V31"/>
      <c r="W31"/>
      <c r="X31"/>
      <c r="Y31" s="276"/>
      <c r="Z31" s="276"/>
      <c r="AA31" s="276"/>
      <c r="AB31" s="276"/>
    </row>
    <row r="32" spans="2:28" s="275" customFormat="1" x14ac:dyDescent="0.2">
      <c r="B32" s="276"/>
      <c r="C32" s="276"/>
      <c r="D32" s="276"/>
      <c r="E32" s="276"/>
      <c r="F32" s="276"/>
      <c r="G32" s="276"/>
      <c r="H32" s="276"/>
      <c r="I32" s="276"/>
      <c r="J32" s="276"/>
      <c r="K32" s="276"/>
      <c r="L32" s="276"/>
      <c r="M32" s="276"/>
      <c r="N32" s="276"/>
      <c r="O32" s="276"/>
      <c r="P32" s="276"/>
      <c r="Q32" s="276"/>
      <c r="R32" s="276"/>
      <c r="S32" s="276"/>
      <c r="T32"/>
      <c r="U32"/>
      <c r="V32"/>
      <c r="W32"/>
      <c r="X32"/>
      <c r="Y32" s="276"/>
      <c r="Z32" s="276"/>
      <c r="AA32" s="276"/>
      <c r="AB32" s="276"/>
    </row>
    <row r="33" spans="2:28" s="275" customFormat="1" ht="26" customHeight="1" x14ac:dyDescent="0.3">
      <c r="B33" s="276"/>
      <c r="D33" s="276"/>
      <c r="E33" s="276"/>
      <c r="F33" s="332"/>
      <c r="G33" s="296" t="s">
        <v>158</v>
      </c>
      <c r="H33" s="276"/>
      <c r="I33" s="276"/>
      <c r="J33" s="276"/>
      <c r="K33" s="276"/>
      <c r="L33" s="296" t="s">
        <v>191</v>
      </c>
      <c r="M33" s="276"/>
      <c r="N33" s="276"/>
      <c r="O33" s="332"/>
      <c r="P33" s="296" t="s">
        <v>158</v>
      </c>
      <c r="Q33" s="296"/>
      <c r="R33" s="276"/>
      <c r="S33" s="276"/>
      <c r="T33"/>
      <c r="U33"/>
      <c r="V33"/>
      <c r="W33"/>
      <c r="X33"/>
      <c r="Y33" s="276"/>
      <c r="Z33" s="276"/>
      <c r="AA33" s="276"/>
      <c r="AB33" s="276"/>
    </row>
    <row r="34" spans="2:28" s="275" customFormat="1" ht="26" customHeight="1" x14ac:dyDescent="0.3">
      <c r="B34" s="276"/>
      <c r="C34" s="296" t="s">
        <v>116</v>
      </c>
      <c r="D34" s="276"/>
      <c r="E34" s="276"/>
      <c r="F34" s="276"/>
      <c r="G34" s="276"/>
      <c r="H34" s="276"/>
      <c r="I34" s="276"/>
      <c r="J34" s="276"/>
      <c r="K34" s="276"/>
      <c r="L34" s="276"/>
      <c r="M34" s="276"/>
      <c r="N34" s="276"/>
      <c r="O34" s="276"/>
      <c r="P34" s="296"/>
      <c r="Q34" s="276"/>
      <c r="R34" s="276"/>
      <c r="S34" s="276"/>
      <c r="T34"/>
      <c r="U34"/>
      <c r="V34"/>
      <c r="W34"/>
      <c r="X34"/>
      <c r="Y34" s="276"/>
      <c r="Z34" s="276"/>
      <c r="AA34" s="276"/>
      <c r="AB34" s="276"/>
    </row>
    <row r="35" spans="2:28" s="275" customFormat="1" ht="26" customHeight="1" x14ac:dyDescent="0.3">
      <c r="B35" s="276"/>
      <c r="D35" s="276"/>
      <c r="E35" s="276"/>
      <c r="F35" s="290"/>
      <c r="G35" s="296" t="s">
        <v>78</v>
      </c>
      <c r="H35" s="276"/>
      <c r="I35" s="276"/>
      <c r="J35" s="276"/>
      <c r="K35" s="276"/>
      <c r="L35" s="296" t="s">
        <v>116</v>
      </c>
      <c r="M35" s="276"/>
      <c r="N35" s="276"/>
      <c r="O35" s="290"/>
      <c r="P35" s="296" t="s">
        <v>78</v>
      </c>
      <c r="Q35" s="276"/>
      <c r="R35" s="276"/>
      <c r="S35" s="276"/>
      <c r="T35"/>
      <c r="U35"/>
      <c r="V35"/>
      <c r="W35"/>
      <c r="X35"/>
      <c r="Y35" s="276"/>
      <c r="Z35" s="276"/>
      <c r="AA35" s="276"/>
      <c r="AB35" s="276"/>
    </row>
    <row r="36" spans="2:28" s="275" customFormat="1" ht="26" customHeight="1" x14ac:dyDescent="0.2">
      <c r="B36" s="276"/>
      <c r="C36" s="276"/>
      <c r="D36" s="276"/>
      <c r="E36" s="276"/>
      <c r="F36" s="276"/>
      <c r="G36" s="276"/>
      <c r="H36" s="276"/>
      <c r="I36" s="276"/>
      <c r="J36" s="276"/>
      <c r="K36" s="276"/>
      <c r="L36" s="276"/>
      <c r="M36" s="276"/>
      <c r="N36" s="276"/>
      <c r="O36" s="276"/>
      <c r="P36" s="276"/>
      <c r="Q36" s="276"/>
      <c r="R36" s="276"/>
      <c r="S36" s="276"/>
      <c r="T36"/>
      <c r="U36"/>
      <c r="V36"/>
      <c r="W36"/>
      <c r="X36"/>
      <c r="Y36" s="276"/>
      <c r="Z36" s="276"/>
      <c r="AA36" s="276"/>
      <c r="AB36" s="276"/>
    </row>
    <row r="37" spans="2:28" s="275" customFormat="1" ht="26" customHeight="1" x14ac:dyDescent="0.3">
      <c r="B37" s="276"/>
      <c r="C37" s="296"/>
      <c r="D37" s="276"/>
      <c r="E37" s="276"/>
      <c r="F37" s="292"/>
      <c r="G37" s="296" t="s">
        <v>162</v>
      </c>
      <c r="H37" s="276"/>
      <c r="I37" s="276"/>
      <c r="J37" s="276"/>
      <c r="K37" s="276"/>
      <c r="L37" s="296" t="s">
        <v>117</v>
      </c>
      <c r="M37" s="276"/>
      <c r="N37" s="276"/>
      <c r="O37" s="292"/>
      <c r="P37" s="296" t="s">
        <v>162</v>
      </c>
      <c r="Q37" s="276"/>
      <c r="R37" s="276"/>
      <c r="S37" s="276"/>
      <c r="T37"/>
      <c r="U37"/>
      <c r="V37"/>
      <c r="W37"/>
      <c r="X37"/>
      <c r="Y37" s="276"/>
      <c r="Z37" s="276"/>
      <c r="AA37" s="276"/>
      <c r="AB37" s="276"/>
    </row>
    <row r="38" spans="2:28" s="275" customFormat="1" ht="26" customHeight="1" x14ac:dyDescent="0.2">
      <c r="B38" s="276"/>
      <c r="C38" s="276"/>
      <c r="D38" s="276"/>
      <c r="E38" s="276"/>
      <c r="F38" s="276"/>
      <c r="G38" s="276"/>
      <c r="H38" s="276"/>
      <c r="I38" s="276"/>
      <c r="J38" s="276"/>
      <c r="K38" s="276"/>
      <c r="L38" s="276"/>
      <c r="M38" s="276"/>
      <c r="N38" s="276"/>
      <c r="O38" s="276"/>
      <c r="P38" s="276"/>
      <c r="Q38" s="276"/>
      <c r="R38" s="276"/>
      <c r="S38" s="276"/>
      <c r="T38"/>
      <c r="U38"/>
      <c r="V38"/>
      <c r="W38"/>
      <c r="X38"/>
      <c r="Y38" s="276"/>
      <c r="Z38" s="276"/>
      <c r="AA38" s="276"/>
      <c r="AB38" s="276"/>
    </row>
    <row r="39" spans="2:28" ht="26" x14ac:dyDescent="0.3">
      <c r="B39" s="303"/>
      <c r="C39" s="303"/>
      <c r="D39" s="303"/>
      <c r="E39" s="303"/>
      <c r="K39" s="276"/>
      <c r="L39" s="276"/>
      <c r="M39" s="276"/>
      <c r="N39" s="276"/>
      <c r="O39" s="285"/>
      <c r="P39" s="296" t="s">
        <v>225</v>
      </c>
      <c r="Q39" s="276"/>
      <c r="R39" s="276"/>
      <c r="S39" s="276"/>
    </row>
    <row r="40" spans="2:28" x14ac:dyDescent="0.2">
      <c r="P40" s="303"/>
      <c r="Q40" s="303"/>
    </row>
    <row r="41" spans="2:28" x14ac:dyDescent="0.2">
      <c r="P41" s="303"/>
      <c r="Q41" s="303"/>
    </row>
    <row r="42" spans="2:28" x14ac:dyDescent="0.2">
      <c r="P42" s="303"/>
      <c r="Q42" s="303"/>
    </row>
    <row r="43" spans="2:28" x14ac:dyDescent="0.2">
      <c r="P43" s="303"/>
      <c r="Q43" s="303"/>
    </row>
    <row r="44" spans="2:28" x14ac:dyDescent="0.2">
      <c r="P44" s="303"/>
    </row>
  </sheetData>
  <mergeCells count="12">
    <mergeCell ref="Q26:Q28"/>
    <mergeCell ref="O25:O26"/>
    <mergeCell ref="Q29:Q30"/>
    <mergeCell ref="K17:K25"/>
    <mergeCell ref="Q17:Q25"/>
    <mergeCell ref="M18:M20"/>
    <mergeCell ref="C15:G16"/>
    <mergeCell ref="C29:G30"/>
    <mergeCell ref="L15:P16"/>
    <mergeCell ref="L29:P30"/>
    <mergeCell ref="K26:K28"/>
    <mergeCell ref="C20:C25"/>
  </mergeCells>
  <hyperlinks>
    <hyperlink ref="T18" r:id="rId1" xr:uid="{6C9B6E53-3A42-4F41-996B-220E4A0D953B}"/>
  </hyperlinks>
  <pageMargins left="0.25" right="0.25" top="0.75" bottom="0.75" header="0.3" footer="0.3"/>
  <pageSetup scale="41" orientation="landscape"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2593-19BF-D240-A752-C1D5737CD62C}">
  <sheetPr>
    <pageSetUpPr fitToPage="1"/>
  </sheetPr>
  <dimension ref="D1:AO96"/>
  <sheetViews>
    <sheetView view="pageBreakPreview" zoomScale="30" zoomScaleNormal="20" zoomScaleSheetLayoutView="30" zoomScalePageLayoutView="30" workbookViewId="0">
      <selection activeCell="F5" sqref="F5"/>
    </sheetView>
  </sheetViews>
  <sheetFormatPr baseColWidth="10" defaultColWidth="10.6640625" defaultRowHeight="50" customHeight="1" x14ac:dyDescent="1"/>
  <cols>
    <col min="1" max="1" width="17.33203125" style="354" customWidth="1"/>
    <col min="2" max="2" width="21.1640625" style="354" customWidth="1"/>
    <col min="3" max="3" width="2.33203125" style="354" customWidth="1"/>
    <col min="4" max="4" width="3.83203125" style="354" customWidth="1"/>
    <col min="5" max="5" width="2.33203125" style="354" customWidth="1"/>
    <col min="6" max="6" width="55.83203125" style="354" customWidth="1"/>
    <col min="7" max="7" width="2.33203125" style="354" customWidth="1"/>
    <col min="8" max="8" width="55.83203125" style="354" customWidth="1"/>
    <col min="9" max="9" width="2.33203125" style="354" customWidth="1"/>
    <col min="10" max="10" width="55.83203125" style="354" customWidth="1"/>
    <col min="11" max="11" width="2.33203125" style="354" customWidth="1"/>
    <col min="12" max="12" width="55.83203125" style="354" customWidth="1"/>
    <col min="13" max="13" width="2.33203125" style="354" customWidth="1"/>
    <col min="14" max="14" width="55.83203125" style="354" customWidth="1"/>
    <col min="15" max="15" width="2" style="354" customWidth="1"/>
    <col min="16" max="16" width="55.83203125" style="354" customWidth="1"/>
    <col min="17" max="19" width="2.33203125" style="354" customWidth="1"/>
    <col min="20" max="20" width="2.5" style="354" customWidth="1"/>
    <col min="21" max="21" width="55.83203125" style="354" customWidth="1"/>
    <col min="22" max="22" width="2.33203125" style="354" customWidth="1"/>
    <col min="23" max="23" width="4.6640625" style="354" customWidth="1"/>
    <col min="24" max="24" width="2.33203125" style="354" customWidth="1"/>
    <col min="25" max="25" width="1.1640625" style="354" customWidth="1"/>
    <col min="26" max="26" width="2.1640625" style="354" customWidth="1"/>
    <col min="27" max="27" width="55.83203125" style="354" customWidth="1"/>
    <col min="28" max="28" width="2" style="354" customWidth="1"/>
    <col min="29" max="29" width="55.83203125" style="354" customWidth="1"/>
    <col min="30" max="30" width="2" style="354" customWidth="1"/>
    <col min="31" max="31" width="55.83203125" style="354" customWidth="1"/>
    <col min="32" max="32" width="2" style="354" customWidth="1"/>
    <col min="33" max="33" width="55.83203125" style="354" customWidth="1"/>
    <col min="34" max="34" width="2" style="354" customWidth="1"/>
    <col min="35" max="35" width="55.83203125" style="354" customWidth="1"/>
    <col min="36" max="36" width="2" style="354" customWidth="1"/>
    <col min="37" max="37" width="55.83203125" style="354" customWidth="1"/>
    <col min="38" max="38" width="2.1640625" style="354" customWidth="1"/>
    <col min="39" max="16384" width="10.6640625" style="354"/>
  </cols>
  <sheetData>
    <row r="1" spans="6:41" ht="95" customHeight="1" x14ac:dyDescent="1"/>
    <row r="2" spans="6:41" ht="95" customHeight="1" x14ac:dyDescent="1">
      <c r="F2" s="355" t="s">
        <v>319</v>
      </c>
    </row>
    <row r="3" spans="6:41" ht="95" customHeight="1" x14ac:dyDescent="1">
      <c r="F3" s="354" t="s">
        <v>23</v>
      </c>
    </row>
    <row r="4" spans="6:41" ht="95" customHeight="1" x14ac:dyDescent="1">
      <c r="F4" s="354" t="s">
        <v>318</v>
      </c>
    </row>
    <row r="5" spans="6:41" ht="95" customHeight="1" x14ac:dyDescent="1">
      <c r="F5" s="1536" t="s">
        <v>367</v>
      </c>
    </row>
    <row r="6" spans="6:41" ht="95" customHeight="1" x14ac:dyDescent="1">
      <c r="F6" s="354" t="s">
        <v>366</v>
      </c>
    </row>
    <row r="7" spans="6:41" ht="95" customHeight="1" x14ac:dyDescent="1"/>
    <row r="8" spans="6:41" ht="95" customHeight="1" x14ac:dyDescent="1">
      <c r="F8" s="354" t="s">
        <v>254</v>
      </c>
    </row>
    <row r="9" spans="6:41" ht="95" customHeight="1" x14ac:dyDescent="1"/>
    <row r="10" spans="6:41" ht="95" customHeight="1" x14ac:dyDescent="1">
      <c r="F10" s="363" t="s">
        <v>313</v>
      </c>
      <c r="G10" s="363"/>
      <c r="H10" s="1715"/>
      <c r="I10" s="1715"/>
      <c r="J10" s="1717"/>
      <c r="K10" s="1717"/>
      <c r="L10" s="1716"/>
      <c r="M10" s="1716"/>
      <c r="N10" s="1715"/>
      <c r="O10" s="1715"/>
      <c r="P10" s="1715"/>
      <c r="Q10" s="1715"/>
      <c r="R10" s="1715"/>
      <c r="S10" s="1715"/>
      <c r="T10" s="364"/>
      <c r="U10" s="364"/>
      <c r="V10" s="364"/>
      <c r="W10" s="364"/>
      <c r="X10" s="364"/>
      <c r="Y10" s="364"/>
      <c r="Z10" s="364"/>
      <c r="AA10" s="364"/>
      <c r="AB10" s="364"/>
      <c r="AC10" s="364"/>
      <c r="AD10" s="364"/>
      <c r="AE10" s="364"/>
      <c r="AF10" s="364"/>
      <c r="AG10" s="364"/>
      <c r="AH10" s="364"/>
      <c r="AI10" s="364"/>
      <c r="AJ10" s="364"/>
      <c r="AK10" s="364"/>
      <c r="AL10" s="364"/>
      <c r="AM10" s="364"/>
      <c r="AN10" s="364"/>
      <c r="AO10" s="364"/>
    </row>
    <row r="11" spans="6:41" ht="95" customHeight="1" x14ac:dyDescent="1">
      <c r="F11" s="367"/>
      <c r="G11" s="367"/>
      <c r="J11" s="368"/>
      <c r="K11" s="368"/>
      <c r="L11" s="369"/>
      <c r="M11" s="369"/>
    </row>
    <row r="12" spans="6:41" ht="95" customHeight="1" x14ac:dyDescent="1">
      <c r="F12" s="355" t="s">
        <v>160</v>
      </c>
      <c r="G12" s="355"/>
      <c r="J12" s="368"/>
      <c r="K12" s="368"/>
      <c r="L12" s="369"/>
      <c r="M12" s="369"/>
    </row>
    <row r="13" spans="6:41" ht="95" customHeight="1" x14ac:dyDescent="1">
      <c r="F13" s="355"/>
      <c r="G13" s="355"/>
      <c r="J13" s="368"/>
      <c r="K13" s="368"/>
      <c r="L13" s="369"/>
      <c r="M13" s="369"/>
    </row>
    <row r="14" spans="6:41" ht="95" customHeight="1" x14ac:dyDescent="1">
      <c r="F14" s="355" t="s">
        <v>317</v>
      </c>
      <c r="G14" s="355"/>
      <c r="J14" s="368"/>
      <c r="K14" s="368"/>
      <c r="L14" s="369"/>
      <c r="M14" s="369"/>
      <c r="X14" s="355" t="s">
        <v>316</v>
      </c>
      <c r="AA14" s="355"/>
    </row>
    <row r="15" spans="6:41" ht="95" customHeight="1" x14ac:dyDescent="1">
      <c r="F15" s="354" t="s">
        <v>26</v>
      </c>
      <c r="X15" s="354" t="s">
        <v>303</v>
      </c>
    </row>
    <row r="16" spans="6:41" ht="95" customHeight="1" x14ac:dyDescent="1">
      <c r="F16" s="1605">
        <v>2700</v>
      </c>
      <c r="H16" s="354" t="s">
        <v>33</v>
      </c>
      <c r="X16" s="629">
        <v>2700</v>
      </c>
      <c r="Z16" s="354" t="s">
        <v>33</v>
      </c>
      <c r="AA16" s="1605">
        <v>2700</v>
      </c>
      <c r="AC16" s="354" t="s">
        <v>33</v>
      </c>
    </row>
    <row r="17" spans="4:38" ht="95" customHeight="1" thickBot="1" x14ac:dyDescent="1.05">
      <c r="F17" s="1670"/>
      <c r="G17" s="1670"/>
      <c r="H17" s="473"/>
      <c r="I17" s="474"/>
      <c r="J17" s="1670"/>
      <c r="AD17" s="1606"/>
      <c r="AE17" s="1606"/>
      <c r="AF17" s="1606"/>
      <c r="AG17" s="1606"/>
      <c r="AJ17" s="562"/>
      <c r="AK17" s="562"/>
      <c r="AL17" s="1606"/>
    </row>
    <row r="18" spans="4:38" ht="10" customHeight="1" thickTop="1" thickBot="1" x14ac:dyDescent="1.05">
      <c r="D18" s="475"/>
      <c r="E18" s="1629"/>
      <c r="F18" s="575"/>
      <c r="G18" s="561"/>
      <c r="H18" s="561"/>
      <c r="I18" s="561"/>
      <c r="J18" s="561"/>
      <c r="K18" s="561"/>
      <c r="L18" s="561"/>
      <c r="M18" s="576"/>
      <c r="N18" s="1864"/>
      <c r="O18" s="1865"/>
      <c r="P18" s="1865"/>
      <c r="Q18" s="1416"/>
      <c r="Z18" s="511"/>
      <c r="AA18" s="512"/>
      <c r="AB18" s="513"/>
      <c r="AC18" s="513"/>
      <c r="AD18" s="514"/>
      <c r="AE18" s="514"/>
      <c r="AF18" s="1601"/>
      <c r="AG18" s="514"/>
      <c r="AH18" s="575"/>
      <c r="AI18" s="576"/>
      <c r="AJ18" s="519"/>
      <c r="AK18" s="576"/>
      <c r="AL18" s="1607"/>
    </row>
    <row r="19" spans="4:38" ht="95" customHeight="1" thickTop="1" x14ac:dyDescent="1">
      <c r="E19" s="577"/>
      <c r="F19" s="390"/>
      <c r="G19" s="481"/>
      <c r="H19" s="482"/>
      <c r="I19" s="390"/>
      <c r="J19" s="483"/>
      <c r="K19" s="484"/>
      <c r="L19" s="485"/>
      <c r="M19" s="386"/>
      <c r="N19" s="1720"/>
      <c r="O19" s="486"/>
      <c r="P19" s="484"/>
      <c r="Q19" s="578"/>
      <c r="Z19" s="514"/>
      <c r="AA19" s="563"/>
      <c r="AB19" s="564"/>
      <c r="AC19" s="564"/>
      <c r="AD19" s="1595"/>
      <c r="AE19" s="564"/>
      <c r="AF19" s="564"/>
      <c r="AG19" s="564"/>
      <c r="AH19" s="486"/>
      <c r="AI19" s="481"/>
      <c r="AJ19" s="486"/>
      <c r="AK19" s="1608"/>
      <c r="AL19" s="511"/>
    </row>
    <row r="20" spans="4:38" ht="95" customHeight="1" x14ac:dyDescent="1">
      <c r="E20" s="578"/>
      <c r="F20" s="1644" t="s">
        <v>152</v>
      </c>
      <c r="G20" s="489"/>
      <c r="H20" s="1646" t="s">
        <v>152</v>
      </c>
      <c r="I20" s="1644"/>
      <c r="J20" s="491" t="s">
        <v>152</v>
      </c>
      <c r="K20" s="492"/>
      <c r="L20" s="1866" t="s">
        <v>132</v>
      </c>
      <c r="M20" s="1867"/>
      <c r="N20" s="1868"/>
      <c r="O20" s="377"/>
      <c r="P20" s="1645" t="s">
        <v>152</v>
      </c>
      <c r="Q20" s="578"/>
      <c r="Z20" s="514"/>
      <c r="AA20" s="1875" t="s">
        <v>132</v>
      </c>
      <c r="AB20" s="1870"/>
      <c r="AC20" s="1870"/>
      <c r="AD20" s="1870"/>
      <c r="AE20" s="1870"/>
      <c r="AF20" s="1870"/>
      <c r="AG20" s="1868"/>
      <c r="AH20" s="377"/>
      <c r="AI20" s="489" t="s">
        <v>152</v>
      </c>
      <c r="AJ20" s="377"/>
      <c r="AK20" s="1609" t="s">
        <v>152</v>
      </c>
      <c r="AL20" s="560"/>
    </row>
    <row r="21" spans="4:38" ht="95" customHeight="1" x14ac:dyDescent="1">
      <c r="E21" s="578"/>
      <c r="F21" s="1644" t="s">
        <v>153</v>
      </c>
      <c r="G21" s="489"/>
      <c r="H21" s="1646" t="s">
        <v>154</v>
      </c>
      <c r="I21" s="1644"/>
      <c r="J21" s="491" t="s">
        <v>154</v>
      </c>
      <c r="K21" s="492"/>
      <c r="L21" s="1866" t="s">
        <v>154</v>
      </c>
      <c r="M21" s="1867"/>
      <c r="N21" s="1867"/>
      <c r="O21" s="1869"/>
      <c r="P21" s="1645" t="s">
        <v>154</v>
      </c>
      <c r="Q21" s="1041"/>
      <c r="Z21" s="514"/>
      <c r="AA21" s="1875" t="s">
        <v>153</v>
      </c>
      <c r="AB21" s="1870"/>
      <c r="AC21" s="1870"/>
      <c r="AD21" s="1870"/>
      <c r="AE21" s="1870"/>
      <c r="AF21" s="1870"/>
      <c r="AG21" s="1868"/>
      <c r="AH21" s="377"/>
      <c r="AI21" s="489" t="s">
        <v>154</v>
      </c>
      <c r="AJ21" s="377"/>
      <c r="AK21" s="1609" t="s">
        <v>154</v>
      </c>
      <c r="AL21" s="560"/>
    </row>
    <row r="22" spans="4:38" ht="95" customHeight="1" x14ac:dyDescent="1">
      <c r="E22" s="578"/>
      <c r="F22" s="1644" t="s">
        <v>121</v>
      </c>
      <c r="G22" s="489"/>
      <c r="H22" s="1646" t="s">
        <v>125</v>
      </c>
      <c r="I22" s="1644"/>
      <c r="J22" s="377" t="s">
        <v>20</v>
      </c>
      <c r="K22" s="492"/>
      <c r="L22" s="1866" t="s">
        <v>121</v>
      </c>
      <c r="M22" s="1867"/>
      <c r="N22" s="1868"/>
      <c r="O22" s="377"/>
      <c r="P22" s="1645" t="s">
        <v>121</v>
      </c>
      <c r="Q22" s="1041"/>
      <c r="Z22" s="514"/>
      <c r="AA22" s="1875" t="s">
        <v>20</v>
      </c>
      <c r="AB22" s="1870"/>
      <c r="AC22" s="1870"/>
      <c r="AD22" s="1870"/>
      <c r="AE22" s="1870"/>
      <c r="AF22" s="1870"/>
      <c r="AG22" s="1868"/>
      <c r="AH22" s="377"/>
      <c r="AI22" s="489" t="s">
        <v>20</v>
      </c>
      <c r="AJ22" s="377"/>
      <c r="AK22" s="493" t="s">
        <v>121</v>
      </c>
      <c r="AL22" s="560"/>
    </row>
    <row r="23" spans="4:38" ht="95" customHeight="1" x14ac:dyDescent="1">
      <c r="E23" s="578"/>
      <c r="F23" s="1644">
        <v>300</v>
      </c>
      <c r="G23" s="489"/>
      <c r="H23" s="1646">
        <v>500</v>
      </c>
      <c r="I23" s="1644"/>
      <c r="J23" s="377">
        <v>450</v>
      </c>
      <c r="K23" s="492"/>
      <c r="L23" s="1866">
        <v>800</v>
      </c>
      <c r="M23" s="1867"/>
      <c r="N23" s="1868"/>
      <c r="O23" s="377"/>
      <c r="P23" s="1645">
        <v>300</v>
      </c>
      <c r="Q23" s="1041"/>
      <c r="Z23" s="514"/>
      <c r="AA23" s="1871">
        <v>2000</v>
      </c>
      <c r="AB23" s="1872"/>
      <c r="AC23" s="1872"/>
      <c r="AD23" s="1872"/>
      <c r="AE23" s="1872"/>
      <c r="AF23" s="1872"/>
      <c r="AG23" s="1876"/>
      <c r="AH23" s="377"/>
      <c r="AI23" s="489">
        <v>450</v>
      </c>
      <c r="AJ23" s="377"/>
      <c r="AK23" s="1609">
        <v>300</v>
      </c>
      <c r="AL23" s="560"/>
    </row>
    <row r="24" spans="4:38" ht="95" customHeight="1" x14ac:dyDescent="1">
      <c r="E24" s="578"/>
      <c r="F24" s="1644"/>
      <c r="G24" s="489"/>
      <c r="H24" s="1646"/>
      <c r="I24" s="1644"/>
      <c r="J24" s="491"/>
      <c r="K24" s="492"/>
      <c r="L24" s="1646"/>
      <c r="M24" s="377"/>
      <c r="N24" s="1721"/>
      <c r="O24" s="377"/>
      <c r="P24" s="1645"/>
      <c r="Q24" s="578"/>
      <c r="Z24" s="560"/>
      <c r="AA24" s="568"/>
      <c r="AB24" s="387"/>
      <c r="AC24" s="387"/>
      <c r="AD24" s="540"/>
      <c r="AE24" s="387"/>
      <c r="AF24" s="387"/>
      <c r="AG24" s="482"/>
      <c r="AH24" s="387"/>
      <c r="AI24" s="489"/>
      <c r="AJ24" s="377"/>
      <c r="AK24" s="1609"/>
      <c r="AL24" s="560"/>
    </row>
    <row r="25" spans="4:38" ht="95" customHeight="1" thickBot="1" x14ac:dyDescent="1.05">
      <c r="E25" s="623"/>
      <c r="F25" s="390"/>
      <c r="G25" s="481"/>
      <c r="H25" s="482"/>
      <c r="I25" s="390"/>
      <c r="J25" s="483"/>
      <c r="K25" s="539"/>
      <c r="L25" s="482"/>
      <c r="M25" s="386"/>
      <c r="N25" s="1722"/>
      <c r="O25" s="387"/>
      <c r="P25" s="484"/>
      <c r="Q25" s="623"/>
      <c r="Z25" s="560"/>
      <c r="AA25" s="569"/>
      <c r="AB25" s="570"/>
      <c r="AC25" s="570"/>
      <c r="AD25" s="1599"/>
      <c r="AE25" s="570"/>
      <c r="AF25" s="570"/>
      <c r="AG25" s="998"/>
      <c r="AH25" s="570"/>
      <c r="AI25" s="1045"/>
      <c r="AJ25" s="570"/>
      <c r="AK25" s="1610"/>
      <c r="AL25" s="520"/>
    </row>
    <row r="26" spans="4:38" ht="10" customHeight="1" thickTop="1" thickBot="1" x14ac:dyDescent="1.05">
      <c r="E26" s="575"/>
      <c r="F26" s="575"/>
      <c r="G26" s="561"/>
      <c r="H26" s="561"/>
      <c r="I26" s="561"/>
      <c r="J26" s="561"/>
      <c r="K26" s="561"/>
      <c r="L26" s="561"/>
      <c r="M26" s="561"/>
      <c r="N26" s="561"/>
      <c r="O26" s="561"/>
      <c r="P26" s="576"/>
      <c r="Q26" s="1628"/>
      <c r="Z26" s="520"/>
      <c r="AA26" s="518"/>
      <c r="AB26" s="519"/>
      <c r="AC26" s="519"/>
      <c r="AD26" s="519"/>
      <c r="AE26" s="519"/>
      <c r="AF26" s="519"/>
      <c r="AG26" s="519"/>
      <c r="AH26" s="519"/>
      <c r="AI26" s="519"/>
      <c r="AJ26" s="519"/>
      <c r="AK26" s="519"/>
      <c r="AL26" s="520"/>
    </row>
    <row r="27" spans="4:38" ht="95" customHeight="1" thickTop="1" x14ac:dyDescent="1">
      <c r="Q27" s="521"/>
    </row>
    <row r="28" spans="4:38" ht="221" customHeight="1" x14ac:dyDescent="1">
      <c r="F28" s="355" t="s">
        <v>315</v>
      </c>
      <c r="AA28" s="355" t="s">
        <v>314</v>
      </c>
    </row>
    <row r="29" spans="4:38" ht="101" customHeight="1" x14ac:dyDescent="1">
      <c r="F29" s="354" t="s">
        <v>307</v>
      </c>
      <c r="AA29" s="354" t="s">
        <v>213</v>
      </c>
    </row>
    <row r="30" spans="4:38" ht="95" customHeight="1" x14ac:dyDescent="1">
      <c r="F30" s="629">
        <v>2700</v>
      </c>
      <c r="H30" s="354" t="s">
        <v>33</v>
      </c>
      <c r="AA30" s="1605">
        <v>2700</v>
      </c>
      <c r="AC30" s="354" t="s">
        <v>33</v>
      </c>
    </row>
    <row r="31" spans="4:38" ht="95" customHeight="1" thickBot="1" x14ac:dyDescent="1.05">
      <c r="E31" s="562"/>
      <c r="M31" s="562"/>
      <c r="Q31" s="562"/>
    </row>
    <row r="32" spans="4:38" ht="9" customHeight="1" thickTop="1" thickBot="1" x14ac:dyDescent="1.05">
      <c r="E32" s="514"/>
      <c r="F32" s="512"/>
      <c r="G32" s="513"/>
      <c r="H32" s="513"/>
      <c r="I32" s="513"/>
      <c r="J32" s="1600"/>
      <c r="K32" s="1604"/>
      <c r="L32" s="561"/>
      <c r="M32" s="514"/>
      <c r="N32" s="561"/>
      <c r="O32" s="561"/>
      <c r="P32" s="1600"/>
      <c r="Q32" s="560"/>
      <c r="Z32" s="574"/>
      <c r="AA32" s="561"/>
      <c r="AB32" s="561"/>
      <c r="AC32" s="561"/>
      <c r="AD32" s="575"/>
      <c r="AE32" s="561"/>
      <c r="AF32" s="561"/>
      <c r="AG32" s="1626"/>
      <c r="AH32" s="561"/>
      <c r="AI32" s="561"/>
      <c r="AJ32" s="561"/>
      <c r="AK32" s="561"/>
      <c r="AL32" s="574"/>
    </row>
    <row r="33" spans="5:38" ht="95" customHeight="1" thickTop="1" x14ac:dyDescent="1">
      <c r="E33" s="514"/>
      <c r="F33" s="563"/>
      <c r="G33" s="564"/>
      <c r="H33" s="564"/>
      <c r="I33" s="1595"/>
      <c r="J33" s="564"/>
      <c r="K33" s="387"/>
      <c r="L33" s="529"/>
      <c r="M33" s="526"/>
      <c r="N33" s="540"/>
      <c r="O33" s="390"/>
      <c r="P33" s="968"/>
      <c r="Q33" s="577"/>
      <c r="Z33" s="578"/>
      <c r="AA33" s="1877" t="s">
        <v>179</v>
      </c>
      <c r="AB33" s="1878"/>
      <c r="AC33" s="1878"/>
      <c r="AD33" s="1878"/>
      <c r="AE33" s="1878"/>
      <c r="AF33" s="1878"/>
      <c r="AG33" s="1878"/>
      <c r="AH33" s="1878"/>
      <c r="AI33" s="1878"/>
      <c r="AJ33" s="1878"/>
      <c r="AK33" s="1879"/>
      <c r="AL33" s="515"/>
    </row>
    <row r="34" spans="5:38" ht="95" customHeight="1" x14ac:dyDescent="1">
      <c r="E34" s="560"/>
      <c r="F34" s="1870" t="s">
        <v>132</v>
      </c>
      <c r="G34" s="1870"/>
      <c r="H34" s="1870"/>
      <c r="I34" s="1870"/>
      <c r="J34" s="1870"/>
      <c r="K34" s="1870"/>
      <c r="L34" s="1870"/>
      <c r="M34" s="1870"/>
      <c r="N34" s="1874"/>
      <c r="O34" s="930"/>
      <c r="P34" s="377" t="s">
        <v>152</v>
      </c>
      <c r="Q34" s="578"/>
      <c r="Z34" s="578"/>
      <c r="AA34" s="1880"/>
      <c r="AB34" s="1881"/>
      <c r="AC34" s="1881"/>
      <c r="AD34" s="1881"/>
      <c r="AE34" s="1881"/>
      <c r="AF34" s="1881"/>
      <c r="AG34" s="1881"/>
      <c r="AH34" s="1881"/>
      <c r="AI34" s="1881"/>
      <c r="AJ34" s="1881"/>
      <c r="AK34" s="1882"/>
      <c r="AL34" s="516"/>
    </row>
    <row r="35" spans="5:38" ht="9" customHeight="1" x14ac:dyDescent="1">
      <c r="E35" s="560"/>
      <c r="F35" s="387"/>
      <c r="G35" s="377"/>
      <c r="H35" s="377"/>
      <c r="I35" s="377"/>
      <c r="J35" s="377"/>
      <c r="K35" s="377"/>
      <c r="L35" s="377"/>
      <c r="M35" s="377"/>
      <c r="N35" s="1647"/>
      <c r="O35" s="930"/>
      <c r="P35" s="387"/>
      <c r="Q35" s="578"/>
      <c r="Z35" s="578"/>
      <c r="AA35" s="1880"/>
      <c r="AB35" s="1881"/>
      <c r="AC35" s="1881"/>
      <c r="AD35" s="1881"/>
      <c r="AE35" s="1881"/>
      <c r="AF35" s="1881"/>
      <c r="AG35" s="1881"/>
      <c r="AH35" s="1881"/>
      <c r="AI35" s="1881"/>
      <c r="AJ35" s="1881"/>
      <c r="AK35" s="1882"/>
      <c r="AL35" s="516"/>
    </row>
    <row r="36" spans="5:38" ht="95" customHeight="1" x14ac:dyDescent="1">
      <c r="E36" s="560"/>
      <c r="F36" s="1870" t="s">
        <v>153</v>
      </c>
      <c r="G36" s="1870"/>
      <c r="H36" s="1870"/>
      <c r="I36" s="1870"/>
      <c r="J36" s="1870"/>
      <c r="K36" s="1870"/>
      <c r="L36" s="1870"/>
      <c r="M36" s="1870"/>
      <c r="N36" s="1870"/>
      <c r="O36" s="377"/>
      <c r="P36" s="1645" t="s">
        <v>154</v>
      </c>
      <c r="Q36" s="578"/>
      <c r="Z36" s="578"/>
      <c r="AA36" s="1880"/>
      <c r="AB36" s="1881"/>
      <c r="AC36" s="1881"/>
      <c r="AD36" s="1881"/>
      <c r="AE36" s="1881"/>
      <c r="AF36" s="1881"/>
      <c r="AG36" s="1881"/>
      <c r="AH36" s="1881"/>
      <c r="AI36" s="1881"/>
      <c r="AJ36" s="1881"/>
      <c r="AK36" s="1882"/>
      <c r="AL36" s="516"/>
    </row>
    <row r="37" spans="5:38" ht="95" customHeight="1" x14ac:dyDescent="1">
      <c r="E37" s="514"/>
      <c r="F37" s="1875" t="s">
        <v>125</v>
      </c>
      <c r="G37" s="1870"/>
      <c r="H37" s="1870"/>
      <c r="I37" s="1870"/>
      <c r="J37" s="1870"/>
      <c r="K37" s="1870"/>
      <c r="L37" s="1870"/>
      <c r="M37" s="1870"/>
      <c r="N37" s="1874"/>
      <c r="O37" s="377"/>
      <c r="P37" s="1645" t="s">
        <v>121</v>
      </c>
      <c r="Q37" s="578"/>
      <c r="Z37" s="578"/>
      <c r="AA37" s="1880"/>
      <c r="AB37" s="1881"/>
      <c r="AC37" s="1881"/>
      <c r="AD37" s="1881"/>
      <c r="AE37" s="1881"/>
      <c r="AF37" s="1881"/>
      <c r="AG37" s="1881"/>
      <c r="AH37" s="1881"/>
      <c r="AI37" s="1881"/>
      <c r="AJ37" s="1881"/>
      <c r="AK37" s="1882"/>
      <c r="AL37" s="516"/>
    </row>
    <row r="38" spans="5:38" ht="95" customHeight="1" x14ac:dyDescent="1">
      <c r="E38" s="514"/>
      <c r="F38" s="1871">
        <v>2400</v>
      </c>
      <c r="G38" s="1872"/>
      <c r="H38" s="1872"/>
      <c r="I38" s="1872"/>
      <c r="J38" s="1872"/>
      <c r="K38" s="1872"/>
      <c r="L38" s="1872"/>
      <c r="M38" s="1872"/>
      <c r="N38" s="1873"/>
      <c r="O38" s="377"/>
      <c r="P38" s="1645">
        <v>300</v>
      </c>
      <c r="Q38" s="578"/>
      <c r="Z38" s="578"/>
      <c r="AA38" s="1880"/>
      <c r="AB38" s="1881"/>
      <c r="AC38" s="1881"/>
      <c r="AD38" s="1881"/>
      <c r="AE38" s="1881"/>
      <c r="AF38" s="1881"/>
      <c r="AG38" s="1881"/>
      <c r="AH38" s="1881"/>
      <c r="AI38" s="1881"/>
      <c r="AJ38" s="1881"/>
      <c r="AK38" s="1882"/>
      <c r="AL38" s="516"/>
    </row>
    <row r="39" spans="5:38" ht="95" customHeight="1" thickBot="1" x14ac:dyDescent="1.05">
      <c r="E39" s="514"/>
      <c r="F39" s="568"/>
      <c r="G39" s="387"/>
      <c r="H39" s="387"/>
      <c r="I39" s="387"/>
      <c r="J39" s="387"/>
      <c r="K39" s="387"/>
      <c r="L39" s="387"/>
      <c r="M39" s="387"/>
      <c r="N39" s="387"/>
      <c r="O39" s="387"/>
      <c r="P39" s="484"/>
      <c r="Q39" s="623"/>
      <c r="Z39" s="578"/>
      <c r="AA39" s="1880"/>
      <c r="AB39" s="1881"/>
      <c r="AC39" s="1881"/>
      <c r="AD39" s="1881"/>
      <c r="AE39" s="1881"/>
      <c r="AF39" s="1881"/>
      <c r="AG39" s="1881"/>
      <c r="AH39" s="1881"/>
      <c r="AI39" s="1881"/>
      <c r="AJ39" s="1881"/>
      <c r="AK39" s="1882"/>
      <c r="AL39" s="517"/>
    </row>
    <row r="40" spans="5:38" ht="95" customHeight="1" thickTop="1" thickBot="1" x14ac:dyDescent="1.05">
      <c r="E40" s="560"/>
      <c r="F40" s="569"/>
      <c r="G40" s="570"/>
      <c r="H40" s="570"/>
      <c r="I40" s="570"/>
      <c r="J40" s="570"/>
      <c r="K40" s="570"/>
      <c r="L40" s="570"/>
      <c r="M40" s="570"/>
      <c r="N40" s="570"/>
      <c r="O40" s="556"/>
      <c r="P40" s="570"/>
      <c r="Q40" s="574"/>
      <c r="Z40" s="623"/>
      <c r="AA40" s="1883"/>
      <c r="AB40" s="1884"/>
      <c r="AC40" s="1884"/>
      <c r="AD40" s="1884"/>
      <c r="AE40" s="1884"/>
      <c r="AF40" s="1884"/>
      <c r="AG40" s="1884"/>
      <c r="AH40" s="1884"/>
      <c r="AI40" s="1884"/>
      <c r="AJ40" s="1884"/>
      <c r="AK40" s="1885"/>
      <c r="AL40" s="560"/>
    </row>
    <row r="41" spans="5:38" ht="9" customHeight="1" thickTop="1" thickBot="1" x14ac:dyDescent="1.05">
      <c r="E41" s="520"/>
      <c r="F41" s="518"/>
      <c r="G41" s="519"/>
      <c r="H41" s="519"/>
      <c r="I41" s="519"/>
      <c r="J41" s="519"/>
      <c r="K41" s="519"/>
      <c r="L41" s="519"/>
      <c r="M41" s="519"/>
      <c r="N41" s="519"/>
      <c r="O41" s="519"/>
      <c r="P41" s="519"/>
      <c r="Q41" s="520"/>
      <c r="Z41" s="1625"/>
      <c r="AA41" s="518"/>
      <c r="AB41" s="519"/>
      <c r="AC41" s="519"/>
      <c r="AD41" s="519"/>
      <c r="AE41" s="1630"/>
      <c r="AF41" s="1630"/>
      <c r="AG41" s="1630"/>
      <c r="AH41" s="1631"/>
      <c r="AI41" s="519"/>
      <c r="AJ41" s="519"/>
      <c r="AK41" s="1627"/>
      <c r="AL41" s="560"/>
    </row>
    <row r="42" spans="5:38" ht="95" customHeight="1" thickTop="1" x14ac:dyDescent="1">
      <c r="Z42" s="521"/>
      <c r="AL42" s="521"/>
    </row>
    <row r="43" spans="5:38" ht="309" customHeight="1" x14ac:dyDescent="1"/>
    <row r="44" spans="5:38" ht="74" customHeight="1" x14ac:dyDescent="1"/>
    <row r="45" spans="5:38" ht="95" customHeight="1" x14ac:dyDescent="1"/>
    <row r="46" spans="5:38" ht="9" customHeight="1" x14ac:dyDescent="1"/>
    <row r="47" spans="5:38" ht="95" customHeight="1" x14ac:dyDescent="1"/>
    <row r="48" spans="5:38" ht="95" customHeight="1" x14ac:dyDescent="1"/>
    <row r="49" spans="5:17" ht="95" customHeight="1" x14ac:dyDescent="1"/>
    <row r="50" spans="5:17" ht="9" customHeight="1" x14ac:dyDescent="1"/>
    <row r="51" spans="5:17" ht="95" customHeight="1" x14ac:dyDescent="1"/>
    <row r="52" spans="5:17" ht="95" customHeight="1" x14ac:dyDescent="1"/>
    <row r="53" spans="5:17" ht="95" customHeight="1" x14ac:dyDescent="1"/>
    <row r="54" spans="5:17" ht="95" customHeight="1" x14ac:dyDescent="1"/>
    <row r="55" spans="5:17" ht="9" customHeight="1" thickBot="1" x14ac:dyDescent="1.05"/>
    <row r="56" spans="5:17" ht="95" customHeight="1" thickTop="1" x14ac:dyDescent="1">
      <c r="E56" s="521"/>
      <c r="Q56" s="521"/>
    </row>
    <row r="57" spans="5:17" ht="95" customHeight="1" x14ac:dyDescent="1"/>
    <row r="58" spans="5:17" ht="10" customHeight="1" x14ac:dyDescent="1"/>
    <row r="59" spans="5:17" ht="95" customHeight="1" x14ac:dyDescent="1">
      <c r="J59" s="357"/>
      <c r="K59" s="357"/>
      <c r="L59" s="357"/>
      <c r="M59" s="357"/>
      <c r="P59" s="357"/>
    </row>
    <row r="60" spans="5:17" ht="95" customHeight="1" x14ac:dyDescent="1"/>
    <row r="61" spans="5:17" ht="95" customHeight="1" x14ac:dyDescent="1"/>
    <row r="62" spans="5:17" ht="96" customHeight="1" x14ac:dyDescent="1"/>
    <row r="63" spans="5:17" ht="96" customHeight="1" x14ac:dyDescent="1"/>
    <row r="64" spans="5:17" ht="96" customHeight="1" x14ac:dyDescent="1"/>
    <row r="65" spans="18:19" ht="9" customHeight="1" x14ac:dyDescent="1">
      <c r="R65" s="961"/>
      <c r="S65" s="961"/>
    </row>
    <row r="66" spans="18:19" ht="95" customHeight="1" x14ac:dyDescent="1">
      <c r="R66" s="961"/>
      <c r="S66" s="961"/>
    </row>
    <row r="67" spans="18:19" ht="95" customHeight="1" x14ac:dyDescent="1"/>
    <row r="68" spans="18:19" ht="95" customHeight="1" x14ac:dyDescent="1">
      <c r="R68" s="961"/>
      <c r="S68" s="961"/>
    </row>
    <row r="69" spans="18:19" ht="95" customHeight="1" x14ac:dyDescent="1">
      <c r="R69" s="961"/>
      <c r="S69" s="961"/>
    </row>
    <row r="70" spans="18:19" ht="95" customHeight="1" x14ac:dyDescent="1">
      <c r="R70" s="961"/>
      <c r="S70" s="961"/>
    </row>
    <row r="71" spans="18:19" ht="95" customHeight="1" x14ac:dyDescent="1">
      <c r="R71" s="961"/>
      <c r="S71" s="961"/>
    </row>
    <row r="72" spans="18:19" ht="95" customHeight="1" x14ac:dyDescent="1"/>
    <row r="73" spans="18:19" ht="95" customHeight="1" x14ac:dyDescent="1">
      <c r="R73" s="961"/>
      <c r="S73" s="961"/>
    </row>
    <row r="74" spans="18:19" ht="95" customHeight="1" x14ac:dyDescent="1"/>
    <row r="75" spans="18:19" ht="10" customHeight="1" x14ac:dyDescent="1"/>
    <row r="78" spans="18:19" ht="95" customHeight="1" x14ac:dyDescent="1"/>
    <row r="79" spans="18:19" ht="10" customHeight="1" x14ac:dyDescent="1"/>
    <row r="80" spans="18:19" ht="95" customHeight="1" x14ac:dyDescent="1"/>
    <row r="81" spans="18:19" ht="95" customHeight="1" x14ac:dyDescent="1"/>
    <row r="82" spans="18:19" ht="95" customHeight="1" x14ac:dyDescent="1"/>
    <row r="83" spans="18:19" ht="95" customHeight="1" x14ac:dyDescent="1">
      <c r="R83" s="961"/>
      <c r="S83" s="961"/>
    </row>
    <row r="84" spans="18:19" ht="95" customHeight="1" x14ac:dyDescent="1">
      <c r="R84" s="961"/>
      <c r="S84" s="961"/>
    </row>
    <row r="85" spans="18:19" ht="95" customHeight="1" x14ac:dyDescent="1"/>
    <row r="86" spans="18:19" ht="95" customHeight="1" x14ac:dyDescent="1">
      <c r="R86" s="961"/>
      <c r="S86" s="961"/>
    </row>
    <row r="87" spans="18:19" ht="95" customHeight="1" x14ac:dyDescent="1">
      <c r="R87" s="961"/>
      <c r="S87" s="961"/>
    </row>
    <row r="88" spans="18:19" ht="95" customHeight="1" x14ac:dyDescent="1"/>
    <row r="89" spans="18:19" ht="95" customHeight="1" x14ac:dyDescent="1">
      <c r="R89" s="961"/>
      <c r="S89" s="961"/>
    </row>
    <row r="90" spans="18:19" ht="95" customHeight="1" x14ac:dyDescent="1">
      <c r="R90" s="961"/>
      <c r="S90" s="961"/>
    </row>
    <row r="91" spans="18:19" ht="95" customHeight="1" x14ac:dyDescent="1">
      <c r="R91" s="961"/>
      <c r="S91" s="961"/>
    </row>
    <row r="92" spans="18:19" ht="95" customHeight="1" x14ac:dyDescent="1">
      <c r="R92" s="961"/>
      <c r="S92" s="961"/>
    </row>
    <row r="93" spans="18:19" ht="95" customHeight="1" x14ac:dyDescent="1"/>
    <row r="94" spans="18:19" ht="95" customHeight="1" x14ac:dyDescent="1">
      <c r="R94" s="961"/>
      <c r="S94" s="961"/>
    </row>
    <row r="95" spans="18:19" ht="95" customHeight="1" x14ac:dyDescent="1"/>
    <row r="96" spans="18:19" ht="10" customHeight="1" x14ac:dyDescent="1"/>
  </sheetData>
  <mergeCells count="14">
    <mergeCell ref="F36:N36"/>
    <mergeCell ref="F38:N38"/>
    <mergeCell ref="F34:N34"/>
    <mergeCell ref="F37:N37"/>
    <mergeCell ref="AA20:AG20"/>
    <mergeCell ref="AA21:AG21"/>
    <mergeCell ref="AA22:AG22"/>
    <mergeCell ref="AA23:AG23"/>
    <mergeCell ref="AA33:AK40"/>
    <mergeCell ref="N18:P18"/>
    <mergeCell ref="L20:N20"/>
    <mergeCell ref="L21:O21"/>
    <mergeCell ref="L22:N22"/>
    <mergeCell ref="L23:N23"/>
  </mergeCells>
  <printOptions horizontalCentered="1"/>
  <pageMargins left="0.25" right="0.25" top="0.75" bottom="0.75" header="0.3" footer="0.3"/>
  <pageSetup scale="13" orientation="landscape" horizontalDpi="1200" verticalDpi="1200" r:id="rId1"/>
  <rowBreaks count="1" manualBreakCount="1">
    <brk id="68" min="1"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1479-F6DD-B249-9F59-E099AAD4AD44}">
  <dimension ref="B1:BA113"/>
  <sheetViews>
    <sheetView view="pageBreakPreview" zoomScale="54" zoomScaleNormal="20" zoomScaleSheetLayoutView="54" zoomScalePageLayoutView="30" workbookViewId="0">
      <selection activeCell="CV62" sqref="CV62"/>
    </sheetView>
  </sheetViews>
  <sheetFormatPr baseColWidth="10" defaultColWidth="10.6640625" defaultRowHeight="50" customHeight="1" x14ac:dyDescent="1"/>
  <cols>
    <col min="1" max="1" width="17.33203125" style="354" customWidth="1"/>
    <col min="2" max="2" width="2.33203125" style="354" customWidth="1"/>
    <col min="3" max="3" width="55.83203125" style="354" customWidth="1"/>
    <col min="4" max="4" width="2.33203125" style="354" customWidth="1"/>
    <col min="5" max="5" width="55.83203125" style="354" customWidth="1"/>
    <col min="6" max="6" width="2.33203125" style="354" customWidth="1"/>
    <col min="7" max="7" width="55.83203125" style="354" customWidth="1"/>
    <col min="8" max="8" width="2.33203125" style="354" customWidth="1"/>
    <col min="9" max="9" width="19.5" style="354" customWidth="1"/>
    <col min="10" max="10" width="2.33203125" style="354" customWidth="1"/>
    <col min="11" max="12" width="24" style="354" customWidth="1"/>
    <col min="13" max="13" width="55.83203125" style="354" customWidth="1"/>
    <col min="14" max="14" width="2.33203125" style="354" customWidth="1"/>
    <col min="15" max="15" width="55.83203125" style="354" customWidth="1"/>
    <col min="16" max="16" width="2.33203125" style="354" customWidth="1"/>
    <col min="17" max="17" width="55.83203125" style="354" customWidth="1"/>
    <col min="18" max="18" width="2.33203125" style="354" customWidth="1"/>
    <col min="19" max="19" width="55.83203125" style="354" customWidth="1"/>
    <col min="20" max="20" width="2.33203125" style="354" customWidth="1"/>
    <col min="21" max="21" width="55.83203125" style="354" customWidth="1"/>
    <col min="22" max="22" width="2.5" style="354" customWidth="1"/>
    <col min="23" max="23" width="55.83203125" style="354" customWidth="1"/>
    <col min="24" max="24" width="2.33203125" style="354" customWidth="1"/>
    <col min="25" max="25" width="4.6640625" style="354" customWidth="1"/>
    <col min="26" max="26" width="2.33203125" style="354" customWidth="1"/>
    <col min="27" max="27" width="1.1640625" style="354" customWidth="1"/>
    <col min="28" max="28" width="3.1640625" style="354" customWidth="1"/>
    <col min="29" max="29" width="2.5" style="354" customWidth="1"/>
    <col min="30" max="30" width="55.6640625" style="354" customWidth="1"/>
    <col min="31" max="31" width="2.5" style="354" customWidth="1"/>
    <col min="32" max="32" width="55.6640625" style="354" customWidth="1"/>
    <col min="33" max="33" width="2.5" style="354" customWidth="1"/>
    <col min="34" max="34" width="19.5" style="354" customWidth="1"/>
    <col min="35" max="35" width="2.5" style="354" customWidth="1"/>
    <col min="36" max="36" width="23.6640625" style="354" customWidth="1"/>
    <col min="37" max="37" width="24.1640625" style="354" customWidth="1"/>
    <col min="38" max="38" width="55.83203125" style="354" customWidth="1"/>
    <col min="39" max="39" width="2.1640625" style="354" customWidth="1"/>
    <col min="40" max="40" width="55.6640625" style="354" customWidth="1"/>
    <col min="41" max="41" width="2.5" style="354" customWidth="1"/>
    <col min="42" max="42" width="55.6640625" style="354" customWidth="1"/>
    <col min="43" max="43" width="2.5" style="354" customWidth="1"/>
    <col min="44" max="44" width="55.6640625" style="354" customWidth="1"/>
    <col min="45" max="45" width="2.5" style="354" customWidth="1"/>
    <col min="46" max="16384" width="10.6640625" style="354"/>
  </cols>
  <sheetData>
    <row r="1" spans="2:53" ht="95" customHeight="1" x14ac:dyDescent="1">
      <c r="E1" s="354" t="s">
        <v>254</v>
      </c>
    </row>
    <row r="2" spans="2:53" ht="95" customHeight="1" x14ac:dyDescent="1"/>
    <row r="3" spans="2:53" ht="95" customHeight="1" x14ac:dyDescent="1">
      <c r="B3" s="1715"/>
      <c r="C3" s="1715"/>
      <c r="D3" s="1715"/>
      <c r="E3" s="363" t="s">
        <v>313</v>
      </c>
      <c r="F3" s="364"/>
      <c r="G3" s="364"/>
      <c r="H3" s="364"/>
      <c r="I3" s="364"/>
      <c r="J3" s="364"/>
      <c r="K3" s="364"/>
      <c r="L3" s="364"/>
      <c r="M3" s="364"/>
      <c r="N3" s="364"/>
      <c r="O3" s="364"/>
      <c r="P3" s="364"/>
      <c r="Q3" s="364"/>
      <c r="R3" s="364"/>
      <c r="S3" s="364"/>
      <c r="T3" s="364"/>
      <c r="U3" s="364"/>
      <c r="V3" s="364"/>
      <c r="W3" s="364"/>
      <c r="X3" s="364"/>
      <c r="Y3" s="364"/>
      <c r="Z3" s="364"/>
      <c r="AA3" s="364"/>
      <c r="AB3" s="364"/>
      <c r="AC3" s="364"/>
      <c r="AD3" s="364"/>
      <c r="AE3" s="364"/>
      <c r="AF3" s="364"/>
      <c r="AG3" s="364"/>
      <c r="AH3" s="364"/>
      <c r="AI3" s="364"/>
      <c r="AJ3" s="364"/>
      <c r="AK3" s="364"/>
      <c r="AL3" s="364"/>
      <c r="AM3" s="364"/>
      <c r="AN3" s="364"/>
      <c r="AO3" s="364"/>
      <c r="AP3" s="364"/>
      <c r="AQ3" s="364"/>
      <c r="AR3" s="364"/>
      <c r="AS3" s="364"/>
      <c r="AT3" s="364"/>
      <c r="AU3" s="364"/>
      <c r="AV3" s="364"/>
      <c r="AW3" s="364"/>
      <c r="AX3" s="364"/>
      <c r="AY3" s="364"/>
      <c r="AZ3" s="364"/>
      <c r="BA3" s="364"/>
    </row>
    <row r="4" spans="2:53" ht="95" customHeight="1" x14ac:dyDescent="1"/>
    <row r="5" spans="2:53" ht="95" customHeight="1" x14ac:dyDescent="1">
      <c r="E5" s="355" t="s">
        <v>160</v>
      </c>
    </row>
    <row r="6" spans="2:53" ht="95" customHeight="1" x14ac:dyDescent="1"/>
    <row r="7" spans="2:53" ht="95" customHeight="1" x14ac:dyDescent="1">
      <c r="E7" s="1700" t="s">
        <v>312</v>
      </c>
      <c r="AD7" s="1700" t="s">
        <v>311</v>
      </c>
    </row>
    <row r="8" spans="2:53" ht="95" customHeight="1" x14ac:dyDescent="1">
      <c r="E8" s="354" t="s">
        <v>304</v>
      </c>
      <c r="I8" s="359"/>
      <c r="J8" s="359"/>
      <c r="K8" s="359"/>
      <c r="L8" s="359"/>
      <c r="AD8" s="354" t="s">
        <v>305</v>
      </c>
    </row>
    <row r="9" spans="2:53" ht="95" customHeight="1" x14ac:dyDescent="1">
      <c r="E9" s="629">
        <v>6000</v>
      </c>
      <c r="G9" s="354" t="s">
        <v>33</v>
      </c>
      <c r="J9" s="359"/>
      <c r="K9" s="359"/>
      <c r="L9" s="359"/>
      <c r="AD9" s="629">
        <v>6000</v>
      </c>
      <c r="AF9" s="354" t="s">
        <v>33</v>
      </c>
    </row>
    <row r="10" spans="2:53" ht="95" customHeight="1" thickBot="1" x14ac:dyDescent="1.05">
      <c r="AN10" s="1674"/>
      <c r="AQ10" s="562"/>
      <c r="AR10" s="562"/>
    </row>
    <row r="11" spans="2:53" ht="10" customHeight="1" thickTop="1" thickBot="1" x14ac:dyDescent="1.05">
      <c r="D11" s="574"/>
      <c r="E11" s="575"/>
      <c r="F11" s="576"/>
      <c r="G11" s="561"/>
      <c r="H11" s="561"/>
      <c r="I11" s="561"/>
      <c r="J11" s="575"/>
      <c r="K11" s="561"/>
      <c r="L11" s="561"/>
      <c r="M11" s="561"/>
      <c r="N11" s="561"/>
      <c r="O11" s="561"/>
      <c r="P11" s="561"/>
      <c r="Q11" s="576"/>
      <c r="R11" s="561"/>
      <c r="S11" s="576"/>
      <c r="T11" s="561"/>
      <c r="U11" s="1678"/>
      <c r="AC11" s="574"/>
      <c r="AD11" s="575"/>
      <c r="AE11" s="576"/>
      <c r="AF11" s="561"/>
      <c r="AG11" s="561"/>
      <c r="AH11" s="1603"/>
      <c r="AI11" s="1602"/>
      <c r="AJ11" s="513"/>
      <c r="AK11" s="513"/>
      <c r="AL11" s="513"/>
      <c r="AM11" s="513"/>
      <c r="AN11" s="513"/>
      <c r="AO11" s="513"/>
      <c r="AP11" s="1600"/>
      <c r="AQ11" s="1601"/>
      <c r="AR11" s="514"/>
      <c r="AS11" s="513"/>
      <c r="AT11" s="1678"/>
    </row>
    <row r="12" spans="2:53" ht="95" customHeight="1" thickTop="1" thickBot="1" x14ac:dyDescent="1.05">
      <c r="D12" s="1009"/>
      <c r="E12" s="1943" t="s">
        <v>26</v>
      </c>
      <c r="F12" s="1944"/>
      <c r="G12" s="1944"/>
      <c r="H12" s="564"/>
      <c r="I12" s="1934" t="s">
        <v>208</v>
      </c>
      <c r="J12" s="1910"/>
      <c r="K12" s="1632"/>
      <c r="L12" s="1632"/>
      <c r="M12" s="1714"/>
      <c r="N12" s="1068"/>
      <c r="O12" s="1953" t="s">
        <v>308</v>
      </c>
      <c r="P12" s="564"/>
      <c r="Q12" s="1714"/>
      <c r="R12" s="564"/>
      <c r="S12" s="1608"/>
      <c r="T12" s="511"/>
      <c r="AC12" s="577"/>
      <c r="AD12" s="377"/>
      <c r="AE12" s="377"/>
      <c r="AF12" s="377"/>
      <c r="AG12" s="387"/>
      <c r="AH12" s="1909" t="s">
        <v>208</v>
      </c>
      <c r="AI12" s="1910"/>
      <c r="AJ12" s="1632"/>
      <c r="AK12" s="564"/>
      <c r="AL12" s="1948"/>
      <c r="AM12" s="564"/>
      <c r="AN12" s="1953" t="s">
        <v>308</v>
      </c>
      <c r="AO12" s="1595"/>
      <c r="AP12" s="564"/>
      <c r="AQ12" s="564"/>
      <c r="AR12" s="531"/>
      <c r="AS12" s="513"/>
      <c r="AT12" s="1678"/>
    </row>
    <row r="13" spans="2:53" ht="95" customHeight="1" thickTop="1" thickBot="1" x14ac:dyDescent="1.05">
      <c r="D13" s="1009"/>
      <c r="E13" s="1899" t="s">
        <v>121</v>
      </c>
      <c r="F13" s="1900"/>
      <c r="G13" s="1900"/>
      <c r="H13" s="377"/>
      <c r="I13" s="1935"/>
      <c r="J13" s="1912"/>
      <c r="K13" s="1679"/>
      <c r="L13" s="1867" t="s">
        <v>152</v>
      </c>
      <c r="M13" s="1868"/>
      <c r="N13" s="1646"/>
      <c r="O13" s="1954"/>
      <c r="P13" s="377"/>
      <c r="Q13" s="1712" t="s">
        <v>152</v>
      </c>
      <c r="R13" s="645"/>
      <c r="S13" s="1609" t="s">
        <v>152</v>
      </c>
      <c r="T13" s="588"/>
      <c r="U13" s="961"/>
      <c r="AC13" s="578"/>
      <c r="AD13" s="1713"/>
      <c r="AE13" s="1713"/>
      <c r="AF13" s="1713"/>
      <c r="AG13" s="377"/>
      <c r="AH13" s="1911"/>
      <c r="AI13" s="1912"/>
      <c r="AJ13" s="1635"/>
      <c r="AK13" s="387"/>
      <c r="AL13" s="1949"/>
      <c r="AM13" s="387"/>
      <c r="AN13" s="1954"/>
      <c r="AO13" s="387"/>
      <c r="AP13" s="1870" t="s">
        <v>132</v>
      </c>
      <c r="AQ13" s="1870"/>
      <c r="AR13" s="1920"/>
      <c r="AS13" s="574"/>
    </row>
    <row r="14" spans="2:53" ht="95" customHeight="1" thickTop="1" thickBot="1" x14ac:dyDescent="1.05">
      <c r="D14" s="1009"/>
      <c r="E14" s="1937">
        <v>300</v>
      </c>
      <c r="F14" s="1938"/>
      <c r="G14" s="1938"/>
      <c r="H14" s="1651"/>
      <c r="I14" s="1935"/>
      <c r="J14" s="1912"/>
      <c r="K14" s="1679"/>
      <c r="L14" s="1870" t="s">
        <v>153</v>
      </c>
      <c r="M14" s="1868"/>
      <c r="N14" s="1712"/>
      <c r="O14" s="1954"/>
      <c r="P14" s="377"/>
      <c r="Q14" s="1712" t="s">
        <v>154</v>
      </c>
      <c r="R14" s="377"/>
      <c r="S14" s="1609" t="s">
        <v>154</v>
      </c>
      <c r="T14" s="588"/>
      <c r="U14" s="961"/>
      <c r="AC14" s="578"/>
      <c r="AD14" s="1596"/>
      <c r="AE14" s="1597"/>
      <c r="AF14" s="1597"/>
      <c r="AG14" s="1652"/>
      <c r="AH14" s="1911"/>
      <c r="AI14" s="1912"/>
      <c r="AJ14" s="1679"/>
      <c r="AK14" s="1689"/>
      <c r="AL14" s="1950"/>
      <c r="AM14" s="387"/>
      <c r="AN14" s="1954"/>
      <c r="AO14" s="387"/>
      <c r="AP14" s="1870" t="s">
        <v>153</v>
      </c>
      <c r="AQ14" s="1870"/>
      <c r="AR14" s="1920"/>
      <c r="AS14" s="513"/>
      <c r="AT14" s="1678"/>
    </row>
    <row r="15" spans="2:53" ht="95" customHeight="1" thickTop="1" thickBot="1" x14ac:dyDescent="1.05">
      <c r="D15" s="1009"/>
      <c r="E15" s="1899" t="s">
        <v>26</v>
      </c>
      <c r="F15" s="1900"/>
      <c r="G15" s="1900"/>
      <c r="H15" s="377"/>
      <c r="I15" s="1935"/>
      <c r="J15" s="1912"/>
      <c r="K15" s="387"/>
      <c r="L15" s="1867" t="s">
        <v>125</v>
      </c>
      <c r="M15" s="1868"/>
      <c r="N15" s="1646"/>
      <c r="O15" s="1954"/>
      <c r="P15" s="377"/>
      <c r="Q15" s="1712" t="s">
        <v>20</v>
      </c>
      <c r="R15" s="377"/>
      <c r="S15" s="1609" t="s">
        <v>121</v>
      </c>
      <c r="T15" s="588"/>
      <c r="U15" s="961"/>
      <c r="AC15" s="578"/>
      <c r="AD15" s="1713"/>
      <c r="AE15" s="1713"/>
      <c r="AF15" s="1713"/>
      <c r="AG15" s="377"/>
      <c r="AH15" s="1911"/>
      <c r="AI15" s="1912"/>
      <c r="AJ15" s="1919"/>
      <c r="AK15" s="1689"/>
      <c r="AL15" s="1950"/>
      <c r="AM15" s="387"/>
      <c r="AN15" s="1954"/>
      <c r="AO15" s="387"/>
      <c r="AP15" s="1870" t="s">
        <v>20</v>
      </c>
      <c r="AQ15" s="1870"/>
      <c r="AR15" s="1920"/>
      <c r="AS15" s="577"/>
    </row>
    <row r="16" spans="2:53" ht="95" customHeight="1" thickTop="1" thickBot="1" x14ac:dyDescent="1.05">
      <c r="D16" s="1009"/>
      <c r="E16" s="1875" t="s">
        <v>20</v>
      </c>
      <c r="F16" s="1870"/>
      <c r="G16" s="1870"/>
      <c r="H16" s="377"/>
      <c r="I16" s="1935"/>
      <c r="J16" s="1912"/>
      <c r="K16" s="387"/>
      <c r="L16" s="1867">
        <v>500</v>
      </c>
      <c r="M16" s="1868"/>
      <c r="N16" s="1646"/>
      <c r="O16" s="1954"/>
      <c r="P16" s="377"/>
      <c r="Q16" s="1712">
        <v>450</v>
      </c>
      <c r="R16" s="377"/>
      <c r="S16" s="1609">
        <v>300</v>
      </c>
      <c r="T16" s="588"/>
      <c r="U16" s="961"/>
      <c r="AC16" s="578"/>
      <c r="AD16" s="1875" t="s">
        <v>182</v>
      </c>
      <c r="AE16" s="1870"/>
      <c r="AF16" s="1870"/>
      <c r="AG16" s="377"/>
      <c r="AH16" s="1911"/>
      <c r="AI16" s="1912"/>
      <c r="AJ16" s="1919"/>
      <c r="AK16" s="1689"/>
      <c r="AL16" s="1950"/>
      <c r="AM16" s="407"/>
      <c r="AN16" s="1954"/>
      <c r="AO16" s="407"/>
      <c r="AP16" s="1872">
        <v>2000</v>
      </c>
      <c r="AQ16" s="1872"/>
      <c r="AR16" s="1924"/>
      <c r="AS16" s="577"/>
    </row>
    <row r="17" spans="2:46" ht="95" customHeight="1" thickTop="1" thickBot="1" x14ac:dyDescent="1.05">
      <c r="D17" s="512"/>
      <c r="E17" s="1939">
        <v>450</v>
      </c>
      <c r="F17" s="1940"/>
      <c r="G17" s="1940"/>
      <c r="H17" s="461"/>
      <c r="I17" s="1935"/>
      <c r="J17" s="1912"/>
      <c r="K17" s="387"/>
      <c r="L17" s="1689"/>
      <c r="M17" s="1646"/>
      <c r="N17" s="1646"/>
      <c r="O17" s="1954"/>
      <c r="P17" s="377"/>
      <c r="Q17" s="1712"/>
      <c r="R17" s="377"/>
      <c r="S17" s="1609"/>
      <c r="T17" s="588"/>
      <c r="U17" s="961"/>
      <c r="AC17" s="577"/>
      <c r="AD17" s="1921" t="s">
        <v>154</v>
      </c>
      <c r="AE17" s="1922"/>
      <c r="AF17" s="1922"/>
      <c r="AG17" s="387"/>
      <c r="AH17" s="1911"/>
      <c r="AI17" s="1912"/>
      <c r="AJ17" s="1919"/>
      <c r="AK17" s="1689"/>
      <c r="AL17" s="1950"/>
      <c r="AM17" s="387"/>
      <c r="AN17" s="1954"/>
      <c r="AO17" s="540"/>
      <c r="AP17" s="387"/>
      <c r="AQ17" s="387"/>
      <c r="AR17" s="546"/>
      <c r="AS17" s="577"/>
    </row>
    <row r="18" spans="2:46" ht="95" customHeight="1" thickTop="1" thickBot="1" x14ac:dyDescent="1.05">
      <c r="D18" s="1009"/>
      <c r="E18" s="1875"/>
      <c r="F18" s="1870"/>
      <c r="G18" s="1870"/>
      <c r="H18" s="387"/>
      <c r="I18" s="1935"/>
      <c r="J18" s="1912"/>
      <c r="K18" s="1711"/>
      <c r="L18" s="1689"/>
      <c r="M18" s="1622"/>
      <c r="N18" s="1710"/>
      <c r="O18" s="1955"/>
      <c r="P18" s="1710"/>
      <c r="Q18" s="1621"/>
      <c r="R18" s="1622"/>
      <c r="S18" s="1623"/>
      <c r="T18" s="574"/>
      <c r="AC18" s="578"/>
      <c r="AD18" s="1958" t="s">
        <v>20</v>
      </c>
      <c r="AE18" s="1959"/>
      <c r="AF18" s="1959"/>
      <c r="AG18" s="1598"/>
      <c r="AH18" s="1911"/>
      <c r="AI18" s="1912"/>
      <c r="AJ18" s="1919"/>
      <c r="AK18" s="1689"/>
      <c r="AL18" s="1950"/>
      <c r="AM18" s="387"/>
      <c r="AN18" s="1954"/>
      <c r="AO18" s="540"/>
      <c r="AP18" s="387"/>
      <c r="AQ18" s="387"/>
      <c r="AR18" s="546"/>
      <c r="AS18" s="511"/>
    </row>
    <row r="19" spans="2:46" ht="10" customHeight="1" thickTop="1" thickBot="1" x14ac:dyDescent="1.05">
      <c r="D19" s="512"/>
      <c r="E19" s="1875"/>
      <c r="F19" s="1870"/>
      <c r="G19" s="1870"/>
      <c r="H19" s="399"/>
      <c r="I19" s="1935"/>
      <c r="J19" s="1912"/>
      <c r="K19" s="1705"/>
      <c r="L19" s="1709"/>
      <c r="M19" s="1086"/>
      <c r="N19" s="1708"/>
      <c r="O19" s="1708"/>
      <c r="P19" s="1708"/>
      <c r="Q19" s="1708"/>
      <c r="R19" s="1708"/>
      <c r="S19" s="1620"/>
      <c r="T19" s="517"/>
      <c r="U19" s="357"/>
      <c r="AC19" s="577"/>
      <c r="AD19" s="387"/>
      <c r="AE19" s="377"/>
      <c r="AF19" s="377"/>
      <c r="AG19" s="399"/>
      <c r="AH19" s="1911"/>
      <c r="AI19" s="1912"/>
      <c r="AJ19" s="1707"/>
      <c r="AK19" s="1925" t="s">
        <v>209</v>
      </c>
      <c r="AL19" s="1926"/>
      <c r="AM19" s="1926"/>
      <c r="AN19" s="1926"/>
      <c r="AO19" s="1926"/>
      <c r="AP19" s="1926"/>
      <c r="AQ19" s="1926"/>
      <c r="AR19" s="1927"/>
      <c r="AS19" s="516"/>
    </row>
    <row r="20" spans="2:46" ht="95" customHeight="1" thickTop="1" thickBot="1" x14ac:dyDescent="1.05">
      <c r="D20" s="512"/>
      <c r="E20" s="1880"/>
      <c r="F20" s="1881"/>
      <c r="G20" s="1881"/>
      <c r="H20" s="399"/>
      <c r="I20" s="1935"/>
      <c r="J20" s="1935"/>
      <c r="K20" s="1641"/>
      <c r="L20" s="1686"/>
      <c r="M20" s="1905" t="s">
        <v>209</v>
      </c>
      <c r="N20" s="1906"/>
      <c r="O20" s="1906"/>
      <c r="P20" s="1906"/>
      <c r="Q20" s="1906"/>
      <c r="R20" s="1906"/>
      <c r="S20" s="1906"/>
      <c r="T20" s="1642"/>
      <c r="U20" s="357"/>
      <c r="AC20" s="577"/>
      <c r="AD20" s="1871">
        <v>2000</v>
      </c>
      <c r="AE20" s="1872"/>
      <c r="AF20" s="1872"/>
      <c r="AG20" s="399"/>
      <c r="AH20" s="1911"/>
      <c r="AI20" s="1912"/>
      <c r="AJ20" s="1705"/>
      <c r="AK20" s="1928"/>
      <c r="AL20" s="1907"/>
      <c r="AM20" s="1907"/>
      <c r="AN20" s="1907"/>
      <c r="AO20" s="1907"/>
      <c r="AP20" s="1907"/>
      <c r="AQ20" s="1907"/>
      <c r="AR20" s="1929"/>
      <c r="AS20" s="516"/>
    </row>
    <row r="21" spans="2:46" ht="95" customHeight="1" thickTop="1" thickBot="1" x14ac:dyDescent="1.05">
      <c r="D21" s="512"/>
      <c r="E21" s="1889" t="s">
        <v>26</v>
      </c>
      <c r="F21" s="1890"/>
      <c r="G21" s="1890"/>
      <c r="H21" s="1699"/>
      <c r="I21" s="1935"/>
      <c r="J21" s="1912"/>
      <c r="K21" s="1635"/>
      <c r="L21" s="1679"/>
      <c r="M21" s="390"/>
      <c r="N21" s="481"/>
      <c r="O21" s="482"/>
      <c r="P21" s="390"/>
      <c r="Q21" s="481"/>
      <c r="R21" s="387"/>
      <c r="S21" s="484"/>
      <c r="T21" s="577"/>
      <c r="AC21" s="577"/>
      <c r="AD21" s="568"/>
      <c r="AE21" s="387"/>
      <c r="AF21" s="387"/>
      <c r="AG21" s="399"/>
      <c r="AH21" s="1911"/>
      <c r="AI21" s="1912"/>
      <c r="AJ21" s="1704"/>
      <c r="AK21" s="1615"/>
      <c r="AL21" s="1615"/>
      <c r="AM21" s="1615"/>
      <c r="AN21" s="1617"/>
      <c r="AO21" s="1616"/>
      <c r="AP21" s="1615"/>
      <c r="AQ21" s="1619"/>
      <c r="AR21" s="1618"/>
      <c r="AS21" s="1006"/>
    </row>
    <row r="22" spans="2:46" ht="95" customHeight="1" thickTop="1" thickBot="1" x14ac:dyDescent="1.05">
      <c r="D22" s="512"/>
      <c r="E22" s="1875" t="s">
        <v>125</v>
      </c>
      <c r="F22" s="1870"/>
      <c r="G22" s="1870"/>
      <c r="H22" s="377"/>
      <c r="I22" s="1935"/>
      <c r="J22" s="1912"/>
      <c r="K22" s="1635"/>
      <c r="L22" s="1886" t="s">
        <v>152</v>
      </c>
      <c r="M22" s="1869"/>
      <c r="N22" s="489"/>
      <c r="O22" s="1646" t="s">
        <v>152</v>
      </c>
      <c r="P22" s="1644"/>
      <c r="Q22" s="489" t="s">
        <v>152</v>
      </c>
      <c r="R22" s="377"/>
      <c r="S22" s="1645" t="s">
        <v>152</v>
      </c>
      <c r="T22" s="1041"/>
      <c r="U22" s="961"/>
      <c r="AC22" s="577"/>
      <c r="AD22" s="568"/>
      <c r="AE22" s="387"/>
      <c r="AF22" s="387"/>
      <c r="AG22" s="1598"/>
      <c r="AH22" s="1911"/>
      <c r="AI22" s="1912"/>
      <c r="AJ22" s="1679"/>
      <c r="AK22" s="1640"/>
      <c r="AL22" s="1956" t="s">
        <v>132</v>
      </c>
      <c r="AM22" s="1890"/>
      <c r="AN22" s="1890"/>
      <c r="AO22" s="1890"/>
      <c r="AP22" s="1890"/>
      <c r="AQ22" s="1890"/>
      <c r="AR22" s="1957"/>
      <c r="AS22" s="511"/>
    </row>
    <row r="23" spans="2:46" ht="95" customHeight="1" thickTop="1" thickBot="1" x14ac:dyDescent="1.05">
      <c r="D23" s="1009"/>
      <c r="E23" s="1941">
        <v>500</v>
      </c>
      <c r="F23" s="1942"/>
      <c r="G23" s="1942"/>
      <c r="H23" s="377"/>
      <c r="I23" s="1935"/>
      <c r="J23" s="1912"/>
      <c r="K23" s="1635"/>
      <c r="L23" s="1886" t="s">
        <v>153</v>
      </c>
      <c r="M23" s="1869"/>
      <c r="N23" s="489"/>
      <c r="O23" s="1646" t="s">
        <v>154</v>
      </c>
      <c r="P23" s="1644"/>
      <c r="Q23" s="489" t="s">
        <v>154</v>
      </c>
      <c r="R23" s="377"/>
      <c r="S23" s="1645" t="s">
        <v>154</v>
      </c>
      <c r="T23" s="1041"/>
      <c r="U23" s="961"/>
      <c r="AC23" s="577"/>
      <c r="AD23" s="1930"/>
      <c r="AE23" s="1931"/>
      <c r="AF23" s="1931"/>
      <c r="AG23" s="461"/>
      <c r="AH23" s="1911"/>
      <c r="AI23" s="1912"/>
      <c r="AJ23" s="1679"/>
      <c r="AK23" s="387"/>
      <c r="AL23" s="1870" t="s">
        <v>153</v>
      </c>
      <c r="AM23" s="1870"/>
      <c r="AN23" s="1870"/>
      <c r="AO23" s="1870"/>
      <c r="AP23" s="1870"/>
      <c r="AQ23" s="1870"/>
      <c r="AR23" s="1920"/>
      <c r="AS23" s="588"/>
    </row>
    <row r="24" spans="2:46" ht="10" customHeight="1" thickTop="1" thickBot="1" x14ac:dyDescent="1.05">
      <c r="D24" s="1009"/>
      <c r="E24" s="1875"/>
      <c r="F24" s="1870"/>
      <c r="G24" s="1870"/>
      <c r="H24" s="1652"/>
      <c r="I24" s="1935"/>
      <c r="J24" s="1912"/>
      <c r="K24" s="1635"/>
      <c r="L24" s="1679"/>
      <c r="M24" s="1644" t="s">
        <v>121</v>
      </c>
      <c r="N24" s="489"/>
      <c r="O24" s="387"/>
      <c r="P24" s="1644"/>
      <c r="Q24" s="489"/>
      <c r="R24" s="377"/>
      <c r="S24" s="1645"/>
      <c r="T24" s="1041"/>
      <c r="U24" s="961"/>
      <c r="AC24" s="623"/>
      <c r="AD24" s="1897" t="s">
        <v>26</v>
      </c>
      <c r="AE24" s="1898"/>
      <c r="AF24" s="1898"/>
      <c r="AG24" s="377"/>
      <c r="AH24" s="1911"/>
      <c r="AI24" s="1912"/>
      <c r="AJ24" s="1679"/>
      <c r="AK24" s="1886" t="s">
        <v>153</v>
      </c>
      <c r="AL24" s="1870"/>
      <c r="AM24" s="1870"/>
      <c r="AN24" s="1870"/>
      <c r="AO24" s="1870"/>
      <c r="AP24" s="1870"/>
      <c r="AQ24" s="1870"/>
      <c r="AR24" s="1920"/>
      <c r="AS24" s="588"/>
    </row>
    <row r="25" spans="2:46" ht="95" customHeight="1" thickTop="1" x14ac:dyDescent="1">
      <c r="D25" s="512"/>
      <c r="E25" s="1895"/>
      <c r="F25" s="1896"/>
      <c r="G25" s="1896"/>
      <c r="H25" s="377"/>
      <c r="I25" s="1935"/>
      <c r="J25" s="1912"/>
      <c r="K25" s="1635"/>
      <c r="L25" s="1886" t="s">
        <v>125</v>
      </c>
      <c r="M25" s="1869"/>
      <c r="N25" s="489"/>
      <c r="O25" s="1646" t="s">
        <v>121</v>
      </c>
      <c r="P25" s="1644"/>
      <c r="Q25" s="489" t="s">
        <v>20</v>
      </c>
      <c r="R25" s="377"/>
      <c r="S25" s="1645" t="s">
        <v>121</v>
      </c>
      <c r="T25" s="1041"/>
      <c r="U25" s="961"/>
      <c r="AC25" s="1960"/>
      <c r="AD25" s="1932" t="s">
        <v>26</v>
      </c>
      <c r="AE25" s="1933"/>
      <c r="AF25" s="1933"/>
      <c r="AG25" s="1652"/>
      <c r="AH25" s="1911"/>
      <c r="AI25" s="1912"/>
      <c r="AJ25" s="1679"/>
      <c r="AK25" s="387"/>
      <c r="AL25" s="1886" t="s">
        <v>20</v>
      </c>
      <c r="AM25" s="1870"/>
      <c r="AN25" s="1870"/>
      <c r="AO25" s="1870"/>
      <c r="AP25" s="1870"/>
      <c r="AQ25" s="1870"/>
      <c r="AR25" s="1920"/>
      <c r="AS25" s="588"/>
    </row>
    <row r="26" spans="2:46" ht="95" customHeight="1" thickBot="1" x14ac:dyDescent="1.05">
      <c r="D26" s="1009"/>
      <c r="E26" s="1871" t="s">
        <v>26</v>
      </c>
      <c r="F26" s="1872"/>
      <c r="G26" s="1872"/>
      <c r="H26" s="1648"/>
      <c r="I26" s="1935"/>
      <c r="J26" s="1912"/>
      <c r="K26" s="1635"/>
      <c r="L26" s="1886">
        <v>500</v>
      </c>
      <c r="M26" s="1869"/>
      <c r="N26" s="489"/>
      <c r="O26" s="1646">
        <v>300</v>
      </c>
      <c r="P26" s="1644"/>
      <c r="Q26" s="489">
        <v>450</v>
      </c>
      <c r="R26" s="377"/>
      <c r="S26" s="1645">
        <v>300</v>
      </c>
      <c r="T26" s="1415"/>
      <c r="U26" s="961"/>
      <c r="AC26" s="1961"/>
      <c r="AD26" s="1875" t="s">
        <v>20</v>
      </c>
      <c r="AE26" s="1870"/>
      <c r="AF26" s="1870"/>
      <c r="AG26" s="377"/>
      <c r="AH26" s="1911"/>
      <c r="AI26" s="1912"/>
      <c r="AJ26" s="1679"/>
      <c r="AK26" s="405"/>
      <c r="AL26" s="1872">
        <v>2000</v>
      </c>
      <c r="AM26" s="1872"/>
      <c r="AN26" s="1872"/>
      <c r="AO26" s="1872"/>
      <c r="AP26" s="1872"/>
      <c r="AQ26" s="1872"/>
      <c r="AR26" s="1924"/>
      <c r="AS26" s="588"/>
    </row>
    <row r="27" spans="2:46" ht="95" customHeight="1" thickTop="1" thickBot="1" x14ac:dyDescent="1.05">
      <c r="D27" s="518"/>
      <c r="E27" s="1875" t="s">
        <v>121</v>
      </c>
      <c r="F27" s="1870"/>
      <c r="G27" s="1870"/>
      <c r="H27" s="387"/>
      <c r="I27" s="1935"/>
      <c r="J27" s="1912"/>
      <c r="K27" s="1636"/>
      <c r="L27" s="1679"/>
      <c r="M27" s="390"/>
      <c r="N27" s="481"/>
      <c r="O27" s="482"/>
      <c r="P27" s="390"/>
      <c r="Q27" s="481"/>
      <c r="R27" s="387"/>
      <c r="S27" s="1612"/>
      <c r="T27" s="1613"/>
      <c r="AC27" s="1962"/>
      <c r="AD27" s="1875">
        <v>450</v>
      </c>
      <c r="AE27" s="1870"/>
      <c r="AF27" s="1870"/>
      <c r="AG27" s="377"/>
      <c r="AH27" s="1911"/>
      <c r="AI27" s="1912"/>
      <c r="AJ27" s="1679"/>
      <c r="AK27" s="1923"/>
      <c r="AL27" s="1872"/>
      <c r="AM27" s="1872"/>
      <c r="AN27" s="1872"/>
      <c r="AO27" s="1872"/>
      <c r="AP27" s="1872"/>
      <c r="AQ27" s="1872"/>
      <c r="AR27" s="1924"/>
      <c r="AS27" s="560"/>
    </row>
    <row r="28" spans="2:46" ht="9" customHeight="1" thickTop="1" thickBot="1" x14ac:dyDescent="1.05">
      <c r="B28" s="1701"/>
      <c r="D28" s="518"/>
      <c r="E28" s="1875">
        <v>300</v>
      </c>
      <c r="F28" s="1870"/>
      <c r="G28" s="1870"/>
      <c r="H28" s="387"/>
      <c r="I28" s="1935"/>
      <c r="J28" s="1912"/>
      <c r="K28" s="1634"/>
      <c r="L28" s="1679"/>
      <c r="M28" s="390"/>
      <c r="N28" s="387"/>
      <c r="O28" s="387"/>
      <c r="P28" s="390"/>
      <c r="Q28" s="387"/>
      <c r="R28" s="387"/>
      <c r="S28" s="1612"/>
      <c r="T28" s="1613"/>
      <c r="AC28" s="623"/>
      <c r="AD28" s="1875"/>
      <c r="AE28" s="1870"/>
      <c r="AF28" s="1870"/>
      <c r="AG28" s="387"/>
      <c r="AH28" s="1911"/>
      <c r="AI28" s="1912"/>
      <c r="AJ28" s="1679"/>
      <c r="AK28" s="387"/>
      <c r="AL28" s="387"/>
      <c r="AM28" s="387"/>
      <c r="AN28" s="387"/>
      <c r="AO28" s="540"/>
      <c r="AP28" s="1104"/>
      <c r="AQ28" s="387"/>
      <c r="AR28" s="546"/>
      <c r="AS28" s="520"/>
    </row>
    <row r="29" spans="2:46" ht="95" customHeight="1" thickTop="1" thickBot="1" x14ac:dyDescent="1.05">
      <c r="B29" s="1701"/>
      <c r="C29" s="794"/>
      <c r="D29" s="561"/>
      <c r="E29" s="1893">
        <v>300</v>
      </c>
      <c r="F29" s="1894"/>
      <c r="G29" s="1894"/>
      <c r="H29" s="387"/>
      <c r="I29" s="1936"/>
      <c r="J29" s="1914"/>
      <c r="K29" s="1633"/>
      <c r="L29" s="1633"/>
      <c r="M29" s="557"/>
      <c r="N29" s="387"/>
      <c r="O29" s="387"/>
      <c r="P29" s="556"/>
      <c r="Q29" s="1099"/>
      <c r="R29" s="556"/>
      <c r="S29" s="546"/>
      <c r="T29" s="1613"/>
      <c r="AB29" s="794"/>
      <c r="AC29" s="514"/>
      <c r="AD29" s="569"/>
      <c r="AE29" s="570"/>
      <c r="AF29" s="570"/>
      <c r="AG29" s="1702"/>
      <c r="AH29" s="1911"/>
      <c r="AI29" s="1912"/>
      <c r="AJ29" s="387"/>
      <c r="AK29" s="570"/>
      <c r="AL29" s="387"/>
      <c r="AM29" s="570"/>
      <c r="AN29" s="570"/>
      <c r="AO29" s="387"/>
      <c r="AP29" s="387"/>
      <c r="AQ29" s="570"/>
      <c r="AR29" s="626"/>
      <c r="AS29" s="512"/>
      <c r="AT29" s="1678"/>
    </row>
    <row r="30" spans="2:46" ht="9" customHeight="1" thickTop="1" thickBot="1" x14ac:dyDescent="1.05">
      <c r="B30" s="1701"/>
      <c r="C30" s="794"/>
      <c r="D30" s="574"/>
      <c r="E30" s="518"/>
      <c r="F30" s="519"/>
      <c r="G30" s="519"/>
      <c r="H30" s="561"/>
      <c r="I30" s="519"/>
      <c r="J30" s="519"/>
      <c r="K30" s="519"/>
      <c r="L30" s="519"/>
      <c r="M30" s="519"/>
      <c r="N30" s="575"/>
      <c r="O30" s="576"/>
      <c r="P30" s="519"/>
      <c r="Q30" s="519"/>
      <c r="R30" s="519"/>
      <c r="S30" s="576"/>
      <c r="T30" s="1611"/>
      <c r="AC30" s="623"/>
      <c r="AD30" s="518"/>
      <c r="AE30" s="519"/>
      <c r="AF30" s="519"/>
      <c r="AG30" s="519"/>
      <c r="AH30" s="575"/>
      <c r="AI30" s="561"/>
      <c r="AJ30" s="576"/>
      <c r="AK30" s="519"/>
      <c r="AL30" s="561"/>
      <c r="AM30" s="519"/>
      <c r="AN30" s="520"/>
      <c r="AO30" s="575"/>
      <c r="AP30" s="561"/>
      <c r="AQ30" s="519"/>
      <c r="AR30" s="519"/>
      <c r="AS30" s="520"/>
    </row>
    <row r="31" spans="2:46" ht="95" customHeight="1" thickTop="1" x14ac:dyDescent="1">
      <c r="B31" s="1701"/>
    </row>
    <row r="32" spans="2:46" ht="235" customHeight="1" x14ac:dyDescent="1">
      <c r="B32" s="1701"/>
    </row>
    <row r="33" spans="2:45" ht="95" customHeight="1" x14ac:dyDescent="1">
      <c r="B33" s="1701"/>
      <c r="E33" s="1700" t="s">
        <v>310</v>
      </c>
      <c r="AD33" s="1700" t="s">
        <v>309</v>
      </c>
    </row>
    <row r="34" spans="2:45" ht="95" customHeight="1" x14ac:dyDescent="1">
      <c r="E34" s="354" t="s">
        <v>306</v>
      </c>
      <c r="AD34" s="354" t="s">
        <v>179</v>
      </c>
    </row>
    <row r="35" spans="2:45" ht="95" customHeight="1" x14ac:dyDescent="1">
      <c r="E35" s="629">
        <v>6000</v>
      </c>
      <c r="G35" s="354" t="s">
        <v>33</v>
      </c>
      <c r="AD35" s="629">
        <v>6000</v>
      </c>
      <c r="AF35" s="354" t="s">
        <v>33</v>
      </c>
    </row>
    <row r="36" spans="2:45" ht="95" customHeight="1" thickBot="1" x14ac:dyDescent="1.05">
      <c r="C36" s="357"/>
      <c r="O36" s="1674"/>
      <c r="AN36" s="1674"/>
    </row>
    <row r="37" spans="2:45" ht="9" customHeight="1" thickTop="1" thickBot="1" x14ac:dyDescent="1.05">
      <c r="C37" s="357"/>
      <c r="D37" s="574"/>
      <c r="E37" s="575"/>
      <c r="F37" s="576"/>
      <c r="G37" s="561"/>
      <c r="H37" s="561"/>
      <c r="I37" s="513"/>
      <c r="J37" s="512"/>
      <c r="K37" s="513"/>
      <c r="L37" s="513"/>
      <c r="M37" s="513"/>
      <c r="N37" s="513"/>
      <c r="O37" s="513"/>
      <c r="P37" s="513"/>
      <c r="Q37" s="511"/>
      <c r="R37" s="513"/>
      <c r="S37" s="513"/>
      <c r="T37" s="513"/>
      <c r="U37" s="1678"/>
      <c r="AC37" s="574"/>
      <c r="AD37" s="575"/>
      <c r="AE37" s="576"/>
      <c r="AF37" s="561"/>
      <c r="AG37" s="561"/>
      <c r="AH37" s="561"/>
      <c r="AI37" s="575"/>
      <c r="AJ37" s="561"/>
      <c r="AK37" s="561"/>
      <c r="AL37" s="561"/>
      <c r="AM37" s="561"/>
      <c r="AN37" s="561"/>
      <c r="AO37" s="561"/>
      <c r="AP37" s="576"/>
      <c r="AQ37" s="561"/>
      <c r="AR37" s="561"/>
      <c r="AS37" s="561"/>
    </row>
    <row r="38" spans="2:45" ht="95" customHeight="1" thickTop="1" thickBot="1" x14ac:dyDescent="1.05">
      <c r="C38" s="357"/>
      <c r="D38" s="578"/>
      <c r="E38" s="1897"/>
      <c r="F38" s="1898"/>
      <c r="G38" s="1898"/>
      <c r="H38" s="564"/>
      <c r="I38" s="1909" t="s">
        <v>208</v>
      </c>
      <c r="J38" s="1910"/>
      <c r="K38" s="1632"/>
      <c r="L38" s="1632"/>
      <c r="M38" s="564"/>
      <c r="N38" s="564"/>
      <c r="O38" s="1945" t="s">
        <v>308</v>
      </c>
      <c r="P38" s="564"/>
      <c r="Q38" s="1714"/>
      <c r="R38" s="564"/>
      <c r="S38" s="1608"/>
      <c r="T38" s="577"/>
      <c r="U38" s="1678"/>
      <c r="AC38" s="578"/>
      <c r="AD38" s="1637"/>
      <c r="AE38" s="1638"/>
      <c r="AF38" s="1638"/>
      <c r="AG38" s="1638"/>
      <c r="AH38" s="1638"/>
      <c r="AI38" s="1638"/>
      <c r="AJ38" s="1638"/>
      <c r="AK38" s="1638"/>
      <c r="AL38" s="1638"/>
      <c r="AM38" s="1638"/>
      <c r="AN38" s="1951" t="s">
        <v>308</v>
      </c>
      <c r="AO38" s="1638"/>
      <c r="AP38" s="1638"/>
      <c r="AQ38" s="1638"/>
      <c r="AR38" s="1638"/>
      <c r="AS38" s="1692"/>
    </row>
    <row r="39" spans="2:45" ht="95" customHeight="1" thickTop="1" thickBot="1" x14ac:dyDescent="1.05">
      <c r="C39" s="357"/>
      <c r="D39" s="578"/>
      <c r="E39" s="1891"/>
      <c r="F39" s="1892"/>
      <c r="G39" s="1892"/>
      <c r="H39" s="377"/>
      <c r="I39" s="1911"/>
      <c r="J39" s="1912"/>
      <c r="K39" s="1679"/>
      <c r="L39" s="1887" t="s">
        <v>221</v>
      </c>
      <c r="M39" s="1888"/>
      <c r="N39" s="1699"/>
      <c r="O39" s="1946"/>
      <c r="P39" s="1699"/>
      <c r="Q39" s="1712" t="s">
        <v>152</v>
      </c>
      <c r="R39" s="645"/>
      <c r="S39" s="1609" t="s">
        <v>152</v>
      </c>
      <c r="T39" s="577"/>
      <c r="U39" s="1697"/>
      <c r="AC39" s="578"/>
      <c r="AD39" s="1639"/>
      <c r="AE39" s="400"/>
      <c r="AF39" s="400"/>
      <c r="AG39" s="400"/>
      <c r="AH39" s="400"/>
      <c r="AI39" s="400"/>
      <c r="AJ39" s="400"/>
      <c r="AK39" s="400"/>
      <c r="AL39" s="400"/>
      <c r="AM39" s="400"/>
      <c r="AN39" s="1952"/>
      <c r="AO39" s="400"/>
      <c r="AP39" s="400"/>
      <c r="AQ39" s="400"/>
      <c r="AR39" s="400"/>
      <c r="AS39" s="1692"/>
    </row>
    <row r="40" spans="2:45" ht="9" customHeight="1" thickTop="1" thickBot="1" x14ac:dyDescent="1.05">
      <c r="C40" s="357"/>
      <c r="D40" s="578"/>
      <c r="E40" s="1899"/>
      <c r="F40" s="1900"/>
      <c r="G40" s="1900"/>
      <c r="H40" s="377"/>
      <c r="I40" s="1911"/>
      <c r="J40" s="1912"/>
      <c r="K40" s="1680"/>
      <c r="L40" s="1698"/>
      <c r="M40" s="387" t="s">
        <v>153</v>
      </c>
      <c r="N40" s="387"/>
      <c r="O40" s="1946"/>
      <c r="P40" s="387"/>
      <c r="Q40" s="1712" t="s">
        <v>154</v>
      </c>
      <c r="R40" s="377"/>
      <c r="S40" s="1609" t="s">
        <v>154</v>
      </c>
      <c r="T40" s="577"/>
      <c r="U40" s="1697"/>
      <c r="AC40" s="578"/>
      <c r="AD40" s="1639"/>
      <c r="AE40" s="400"/>
      <c r="AF40" s="400"/>
      <c r="AG40" s="400"/>
      <c r="AH40" s="400"/>
      <c r="AI40" s="400"/>
      <c r="AJ40" s="400"/>
      <c r="AK40" s="400"/>
      <c r="AL40" s="400"/>
      <c r="AM40" s="400"/>
      <c r="AN40" s="1952"/>
      <c r="AO40" s="400"/>
      <c r="AP40" s="400"/>
      <c r="AQ40" s="400"/>
      <c r="AR40" s="400"/>
      <c r="AS40" s="1692"/>
    </row>
    <row r="41" spans="2:45" ht="95" customHeight="1" thickTop="1" thickBot="1" x14ac:dyDescent="1.05">
      <c r="C41" s="357"/>
      <c r="D41" s="578"/>
      <c r="E41" s="1901"/>
      <c r="F41" s="1902"/>
      <c r="G41" s="1902"/>
      <c r="H41" s="1695"/>
      <c r="I41" s="1911"/>
      <c r="J41" s="1912"/>
      <c r="K41" s="1694"/>
      <c r="L41" s="1887" t="s">
        <v>153</v>
      </c>
      <c r="M41" s="1888"/>
      <c r="N41" s="593"/>
      <c r="O41" s="1946"/>
      <c r="P41" s="593"/>
      <c r="Q41" s="1712" t="s">
        <v>154</v>
      </c>
      <c r="R41" s="377"/>
      <c r="S41" s="1609" t="s">
        <v>154</v>
      </c>
      <c r="T41" s="574"/>
      <c r="U41" s="961"/>
      <c r="AC41" s="578"/>
      <c r="AD41" s="1639"/>
      <c r="AE41" s="400"/>
      <c r="AF41" s="400"/>
      <c r="AG41" s="400"/>
      <c r="AH41" s="400"/>
      <c r="AI41" s="400"/>
      <c r="AJ41" s="1689"/>
      <c r="AK41" s="400"/>
      <c r="AL41" s="400"/>
      <c r="AM41" s="400"/>
      <c r="AN41" s="1952"/>
      <c r="AO41" s="400"/>
      <c r="AP41" s="400"/>
      <c r="AQ41" s="400"/>
      <c r="AR41" s="400"/>
      <c r="AS41" s="1692"/>
    </row>
    <row r="42" spans="2:45" ht="95" customHeight="1" thickTop="1" thickBot="1" x14ac:dyDescent="1.05">
      <c r="C42" s="357"/>
      <c r="D42" s="578"/>
      <c r="E42" s="568"/>
      <c r="F42" s="387"/>
      <c r="G42" s="387"/>
      <c r="H42" s="377"/>
      <c r="I42" s="1911"/>
      <c r="J42" s="1912"/>
      <c r="K42" s="1915"/>
      <c r="L42" s="1887" t="s">
        <v>125</v>
      </c>
      <c r="M42" s="1888"/>
      <c r="N42" s="387"/>
      <c r="O42" s="1946"/>
      <c r="P42" s="387"/>
      <c r="Q42" s="1712" t="s">
        <v>20</v>
      </c>
      <c r="R42" s="377"/>
      <c r="S42" s="1609" t="s">
        <v>121</v>
      </c>
      <c r="T42" s="577"/>
      <c r="U42" s="961"/>
      <c r="AC42" s="578"/>
      <c r="AD42" s="1639"/>
      <c r="AE42" s="400"/>
      <c r="AF42" s="400"/>
      <c r="AG42" s="400"/>
      <c r="AH42" s="400"/>
      <c r="AI42" s="400"/>
      <c r="AJ42" s="1689"/>
      <c r="AK42" s="400"/>
      <c r="AL42" s="400"/>
      <c r="AM42" s="400"/>
      <c r="AN42" s="1952"/>
      <c r="AO42" s="400"/>
      <c r="AP42" s="400"/>
      <c r="AQ42" s="400"/>
      <c r="AR42" s="400"/>
      <c r="AS42" s="1692"/>
    </row>
    <row r="43" spans="2:45" ht="95" customHeight="1" thickTop="1" thickBot="1" x14ac:dyDescent="1.05">
      <c r="C43" s="357"/>
      <c r="D43" s="577"/>
      <c r="E43" s="387"/>
      <c r="F43" s="387"/>
      <c r="G43" s="387"/>
      <c r="H43" s="1693"/>
      <c r="I43" s="1911"/>
      <c r="J43" s="1912"/>
      <c r="K43" s="1916"/>
      <c r="L43" s="1887">
        <v>500</v>
      </c>
      <c r="M43" s="1888"/>
      <c r="N43" s="407"/>
      <c r="O43" s="1946"/>
      <c r="P43" s="407"/>
      <c r="Q43" s="1712">
        <v>450</v>
      </c>
      <c r="R43" s="377"/>
      <c r="S43" s="1609">
        <v>300</v>
      </c>
      <c r="T43" s="574"/>
      <c r="U43" s="961"/>
      <c r="AC43" s="577"/>
      <c r="AD43" s="1639"/>
      <c r="AE43" s="400"/>
      <c r="AF43" s="400"/>
      <c r="AG43" s="400"/>
      <c r="AH43" s="400"/>
      <c r="AI43" s="400"/>
      <c r="AJ43" s="1689"/>
      <c r="AK43" s="400"/>
      <c r="AL43" s="400"/>
      <c r="AM43" s="400"/>
      <c r="AN43" s="1952"/>
      <c r="AO43" s="400"/>
      <c r="AP43" s="400"/>
      <c r="AQ43" s="400"/>
      <c r="AR43" s="400"/>
      <c r="AS43" s="1692"/>
    </row>
    <row r="44" spans="2:45" ht="95" customHeight="1" thickTop="1" thickBot="1" x14ac:dyDescent="1.05">
      <c r="C44" s="357"/>
      <c r="D44" s="578"/>
      <c r="E44" s="1875" t="s">
        <v>132</v>
      </c>
      <c r="F44" s="1870"/>
      <c r="G44" s="1870"/>
      <c r="H44" s="1598"/>
      <c r="I44" s="1911"/>
      <c r="J44" s="1912"/>
      <c r="K44" s="1916"/>
      <c r="L44" s="1689"/>
      <c r="M44" s="387"/>
      <c r="N44" s="387"/>
      <c r="O44" s="1946"/>
      <c r="P44" s="541"/>
      <c r="Q44" s="1724"/>
      <c r="R44" s="1104"/>
      <c r="S44" s="1726"/>
      <c r="T44" s="511"/>
      <c r="AC44" s="578"/>
      <c r="AD44" s="1639"/>
      <c r="AE44" s="400"/>
      <c r="AF44" s="400"/>
      <c r="AG44" s="400"/>
      <c r="AH44" s="400"/>
      <c r="AI44" s="400"/>
      <c r="AJ44" s="1689"/>
      <c r="AK44" s="400"/>
      <c r="AL44" s="400"/>
      <c r="AM44" s="400"/>
      <c r="AN44" s="1952"/>
      <c r="AO44" s="400"/>
      <c r="AP44" s="400"/>
      <c r="AQ44" s="400"/>
      <c r="AR44" s="400"/>
      <c r="AS44" s="1692"/>
    </row>
    <row r="45" spans="2:45" ht="95" customHeight="1" thickTop="1" thickBot="1" x14ac:dyDescent="1.05">
      <c r="C45" s="357"/>
      <c r="D45" s="578"/>
      <c r="E45" s="1875" t="s">
        <v>153</v>
      </c>
      <c r="F45" s="1870"/>
      <c r="G45" s="1870"/>
      <c r="H45" s="387"/>
      <c r="I45" s="1911"/>
      <c r="J45" s="1912"/>
      <c r="K45" s="1916"/>
      <c r="L45" s="1690"/>
      <c r="M45" s="387"/>
      <c r="N45" s="387"/>
      <c r="O45" s="1947"/>
      <c r="P45" s="387"/>
      <c r="Q45" s="1725"/>
      <c r="R45" s="1727"/>
      <c r="S45" s="1723"/>
      <c r="T45" s="578"/>
      <c r="AC45" s="577"/>
      <c r="AD45" s="1639"/>
      <c r="AE45" s="400"/>
      <c r="AF45" s="400"/>
      <c r="AG45" s="400"/>
      <c r="AH45" s="400"/>
      <c r="AI45" s="400"/>
      <c r="AJ45" s="1689"/>
      <c r="AK45" s="400"/>
      <c r="AL45" s="400"/>
      <c r="AM45" s="400"/>
      <c r="AN45" s="1952"/>
      <c r="AO45" s="400"/>
      <c r="AP45" s="400"/>
      <c r="AQ45" s="400"/>
      <c r="AR45" s="400"/>
      <c r="AS45" s="1687"/>
    </row>
    <row r="46" spans="2:45" ht="9" customHeight="1" thickTop="1" thickBot="1" x14ac:dyDescent="1.05">
      <c r="D46" s="577"/>
      <c r="E46" s="1875" t="s">
        <v>153</v>
      </c>
      <c r="F46" s="1870"/>
      <c r="G46" s="1870"/>
      <c r="H46" s="399"/>
      <c r="I46" s="1911"/>
      <c r="J46" s="1912"/>
      <c r="K46" s="1641"/>
      <c r="L46" s="1688"/>
      <c r="M46" s="1905"/>
      <c r="N46" s="1906"/>
      <c r="O46" s="1907"/>
      <c r="P46" s="1906"/>
      <c r="Q46" s="1906"/>
      <c r="R46" s="1906"/>
      <c r="S46" s="1908"/>
      <c r="T46" s="516"/>
      <c r="U46" s="369"/>
      <c r="AC46" s="577"/>
      <c r="AD46" s="1917" t="s">
        <v>133</v>
      </c>
      <c r="AE46" s="1918"/>
      <c r="AF46" s="1918"/>
      <c r="AG46" s="1918"/>
      <c r="AH46" s="1918"/>
      <c r="AI46" s="1918"/>
      <c r="AJ46" s="1918"/>
      <c r="AK46" s="1918"/>
      <c r="AL46" s="1918"/>
      <c r="AM46" s="1918"/>
      <c r="AN46" s="1918"/>
      <c r="AO46" s="1918"/>
      <c r="AP46" s="1918"/>
      <c r="AQ46" s="1918"/>
      <c r="AR46" s="1918"/>
      <c r="AS46" s="1687"/>
    </row>
    <row r="47" spans="2:45" ht="95" customHeight="1" thickTop="1" thickBot="1" x14ac:dyDescent="1.05">
      <c r="D47" s="577"/>
      <c r="E47" s="1875" t="s">
        <v>125</v>
      </c>
      <c r="F47" s="1870"/>
      <c r="G47" s="1870"/>
      <c r="H47" s="399"/>
      <c r="I47" s="1911"/>
      <c r="J47" s="1912"/>
      <c r="K47" s="1686"/>
      <c r="L47" s="1641"/>
      <c r="M47" s="1906" t="s">
        <v>209</v>
      </c>
      <c r="N47" s="1906"/>
      <c r="O47" s="1906"/>
      <c r="P47" s="1906"/>
      <c r="Q47" s="1906"/>
      <c r="R47" s="1906"/>
      <c r="S47" s="1906"/>
      <c r="T47" s="606"/>
      <c r="U47" s="369"/>
      <c r="AC47" s="577"/>
      <c r="AD47" s="1917"/>
      <c r="AE47" s="1918"/>
      <c r="AF47" s="1918"/>
      <c r="AG47" s="1918"/>
      <c r="AH47" s="1918"/>
      <c r="AI47" s="1918"/>
      <c r="AJ47" s="1918"/>
      <c r="AK47" s="1918"/>
      <c r="AL47" s="1918"/>
      <c r="AM47" s="1918"/>
      <c r="AN47" s="1918"/>
      <c r="AO47" s="1918"/>
      <c r="AP47" s="1918"/>
      <c r="AQ47" s="1918"/>
      <c r="AR47" s="1918"/>
      <c r="AS47" s="1682"/>
    </row>
    <row r="48" spans="2:45" ht="95" customHeight="1" thickTop="1" thickBot="1" x14ac:dyDescent="1.05">
      <c r="D48" s="577"/>
      <c r="E48" s="1871">
        <v>2400</v>
      </c>
      <c r="F48" s="1872"/>
      <c r="G48" s="1872"/>
      <c r="H48" s="1598"/>
      <c r="I48" s="1911"/>
      <c r="J48" s="1912"/>
      <c r="K48" s="1635"/>
      <c r="L48" s="1679"/>
      <c r="M48" s="390"/>
      <c r="N48" s="481"/>
      <c r="O48" s="482"/>
      <c r="P48" s="390"/>
      <c r="Q48" s="481"/>
      <c r="R48" s="387"/>
      <c r="S48" s="484"/>
      <c r="T48" s="825"/>
      <c r="U48" s="369"/>
      <c r="AC48" s="577"/>
      <c r="AD48" s="1649"/>
      <c r="AE48" s="377"/>
      <c r="AF48" s="377"/>
      <c r="AG48" s="377"/>
      <c r="AH48" s="377"/>
      <c r="AI48" s="377"/>
      <c r="AJ48" s="377"/>
      <c r="AK48" s="377"/>
      <c r="AL48" s="377"/>
      <c r="AM48" s="377"/>
      <c r="AN48" s="377"/>
      <c r="AO48" s="377"/>
      <c r="AP48" s="377"/>
      <c r="AQ48" s="377"/>
      <c r="AR48" s="377"/>
      <c r="AS48" s="1682"/>
    </row>
    <row r="49" spans="4:45" ht="9" customHeight="1" thickTop="1" x14ac:dyDescent="1">
      <c r="D49" s="577"/>
      <c r="E49" s="568"/>
      <c r="F49" s="387"/>
      <c r="G49" s="387"/>
      <c r="H49" s="377"/>
      <c r="I49" s="1911"/>
      <c r="J49" s="1912"/>
      <c r="K49" s="1635"/>
      <c r="L49" s="1679"/>
      <c r="M49" s="1644" t="s">
        <v>152</v>
      </c>
      <c r="N49" s="489"/>
      <c r="O49" s="1646" t="s">
        <v>152</v>
      </c>
      <c r="P49" s="1644"/>
      <c r="Q49" s="489" t="s">
        <v>152</v>
      </c>
      <c r="R49" s="377"/>
      <c r="S49" s="1645" t="s">
        <v>152</v>
      </c>
      <c r="T49" s="511"/>
      <c r="AC49" s="578"/>
      <c r="AD49" s="1649"/>
      <c r="AE49" s="377"/>
      <c r="AF49" s="377"/>
      <c r="AG49" s="377"/>
      <c r="AH49" s="377"/>
      <c r="AI49" s="377"/>
      <c r="AJ49" s="377"/>
      <c r="AK49" s="377"/>
      <c r="AL49" s="377"/>
      <c r="AM49" s="377"/>
      <c r="AN49" s="377"/>
      <c r="AO49" s="377"/>
      <c r="AP49" s="377"/>
      <c r="AQ49" s="377"/>
      <c r="AR49" s="377"/>
      <c r="AS49" s="1682"/>
    </row>
    <row r="50" spans="4:45" ht="90" customHeight="1" thickBot="1" x14ac:dyDescent="1.05">
      <c r="D50" s="578"/>
      <c r="E50" s="568"/>
      <c r="F50" s="387"/>
      <c r="G50" s="387"/>
      <c r="H50" s="377"/>
      <c r="I50" s="1911"/>
      <c r="J50" s="1912"/>
      <c r="K50" s="1635"/>
      <c r="L50" s="1886" t="s">
        <v>221</v>
      </c>
      <c r="M50" s="1869"/>
      <c r="N50" s="489"/>
      <c r="O50" s="1646" t="s">
        <v>152</v>
      </c>
      <c r="P50" s="1644"/>
      <c r="Q50" s="1646" t="s">
        <v>152</v>
      </c>
      <c r="R50" s="1643"/>
      <c r="S50" s="1645" t="s">
        <v>154</v>
      </c>
      <c r="T50" s="588"/>
      <c r="U50" s="961"/>
      <c r="AC50" s="578"/>
      <c r="AD50" s="1649"/>
      <c r="AE50" s="377"/>
      <c r="AF50" s="377"/>
      <c r="AG50" s="377"/>
      <c r="AH50" s="377"/>
      <c r="AI50" s="377"/>
      <c r="AJ50" s="377"/>
      <c r="AK50" s="377"/>
      <c r="AL50" s="377"/>
      <c r="AM50" s="377"/>
      <c r="AN50" s="377"/>
      <c r="AO50" s="377"/>
      <c r="AP50" s="377"/>
      <c r="AQ50" s="377"/>
      <c r="AR50" s="377"/>
      <c r="AS50" s="1682"/>
    </row>
    <row r="51" spans="4:45" ht="95" customHeight="1" thickTop="1" thickBot="1" x14ac:dyDescent="1.05">
      <c r="D51" s="578"/>
      <c r="E51" s="568"/>
      <c r="F51" s="387"/>
      <c r="G51" s="593"/>
      <c r="H51" s="1624"/>
      <c r="I51" s="1911"/>
      <c r="J51" s="1912"/>
      <c r="K51" s="1635"/>
      <c r="L51" s="1886" t="s">
        <v>153</v>
      </c>
      <c r="M51" s="1869"/>
      <c r="N51" s="489"/>
      <c r="O51" s="1646" t="s">
        <v>154</v>
      </c>
      <c r="P51" s="1644"/>
      <c r="Q51" s="489" t="s">
        <v>154</v>
      </c>
      <c r="R51" s="377"/>
      <c r="S51" s="1645" t="s">
        <v>154</v>
      </c>
      <c r="T51" s="588"/>
      <c r="U51" s="961"/>
      <c r="AC51" s="577"/>
      <c r="AD51" s="1649"/>
      <c r="AE51" s="377"/>
      <c r="AF51" s="377"/>
      <c r="AG51" s="377"/>
      <c r="AH51" s="377"/>
      <c r="AI51" s="377"/>
      <c r="AJ51" s="377"/>
      <c r="AK51" s="377"/>
      <c r="AL51" s="377"/>
      <c r="AM51" s="377"/>
      <c r="AN51" s="377"/>
      <c r="AO51" s="377"/>
      <c r="AP51" s="377"/>
      <c r="AQ51" s="377"/>
      <c r="AR51" s="377"/>
      <c r="AS51" s="1682"/>
    </row>
    <row r="52" spans="4:45" ht="95" customHeight="1" thickTop="1" thickBot="1" x14ac:dyDescent="1.05">
      <c r="D52" s="577"/>
      <c r="E52" s="1685"/>
      <c r="F52" s="1650"/>
      <c r="G52" s="1650"/>
      <c r="H52" s="1684"/>
      <c r="I52" s="1911"/>
      <c r="J52" s="1912"/>
      <c r="K52" s="1635"/>
      <c r="L52" s="1886" t="s">
        <v>125</v>
      </c>
      <c r="M52" s="1869"/>
      <c r="N52" s="489"/>
      <c r="O52" s="1646" t="s">
        <v>20</v>
      </c>
      <c r="P52" s="1644"/>
      <c r="Q52" s="489" t="s">
        <v>121</v>
      </c>
      <c r="R52" s="377"/>
      <c r="S52" s="1645" t="s">
        <v>121</v>
      </c>
      <c r="T52" s="588"/>
      <c r="U52" s="961"/>
      <c r="AC52" s="578"/>
      <c r="AD52" s="1649"/>
      <c r="AE52" s="377"/>
      <c r="AF52" s="377"/>
      <c r="AG52" s="377"/>
      <c r="AH52" s="377"/>
      <c r="AI52" s="377"/>
      <c r="AJ52" s="377"/>
      <c r="AK52" s="377"/>
      <c r="AL52" s="377"/>
      <c r="AM52" s="377"/>
      <c r="AN52" s="377"/>
      <c r="AO52" s="377"/>
      <c r="AP52" s="377"/>
      <c r="AQ52" s="377"/>
      <c r="AR52" s="377"/>
      <c r="AS52" s="1682"/>
    </row>
    <row r="53" spans="4:45" ht="95" customHeight="1" thickTop="1" thickBot="1" x14ac:dyDescent="1.05">
      <c r="D53" s="578"/>
      <c r="E53" s="1889"/>
      <c r="F53" s="1890"/>
      <c r="G53" s="1890"/>
      <c r="H53" s="377"/>
      <c r="I53" s="1911"/>
      <c r="J53" s="1912"/>
      <c r="K53" s="1635"/>
      <c r="L53" s="1886">
        <v>500</v>
      </c>
      <c r="M53" s="1869"/>
      <c r="N53" s="489"/>
      <c r="O53" s="1646">
        <v>450</v>
      </c>
      <c r="P53" s="1644"/>
      <c r="Q53" s="489">
        <v>300</v>
      </c>
      <c r="R53" s="377"/>
      <c r="S53" s="1645">
        <v>300</v>
      </c>
      <c r="T53" s="588"/>
      <c r="U53" s="961"/>
      <c r="AC53" s="623"/>
      <c r="AD53" s="1649"/>
      <c r="AE53" s="377"/>
      <c r="AF53" s="377"/>
      <c r="AG53" s="377"/>
      <c r="AH53" s="377"/>
      <c r="AI53" s="377"/>
      <c r="AJ53" s="377"/>
      <c r="AK53" s="377"/>
      <c r="AL53" s="377"/>
      <c r="AM53" s="377"/>
      <c r="AN53" s="377"/>
      <c r="AO53" s="377"/>
      <c r="AP53" s="377"/>
      <c r="AQ53" s="377"/>
      <c r="AR53" s="377"/>
      <c r="AS53" s="1614"/>
    </row>
    <row r="54" spans="4:45" ht="95" customHeight="1" thickTop="1" thickBot="1" x14ac:dyDescent="1.05">
      <c r="D54" s="623"/>
      <c r="E54" s="1891"/>
      <c r="F54" s="1892"/>
      <c r="G54" s="1892"/>
      <c r="H54" s="387"/>
      <c r="I54" s="1911"/>
      <c r="J54" s="1912"/>
      <c r="K54" s="1636"/>
      <c r="L54" s="1679"/>
      <c r="M54" s="390"/>
      <c r="N54" s="481"/>
      <c r="O54" s="482"/>
      <c r="P54" s="390"/>
      <c r="Q54" s="481"/>
      <c r="R54" s="387"/>
      <c r="S54" s="1612"/>
      <c r="T54" s="520"/>
      <c r="U54" s="961"/>
      <c r="AC54" s="623"/>
      <c r="AD54" s="387"/>
      <c r="AE54" s="387"/>
      <c r="AF54" s="387"/>
      <c r="AG54" s="387"/>
      <c r="AH54" s="387"/>
      <c r="AI54" s="387"/>
      <c r="AJ54" s="387"/>
      <c r="AK54" s="387"/>
      <c r="AL54" s="387"/>
      <c r="AM54" s="387"/>
      <c r="AN54" s="387"/>
      <c r="AO54" s="387"/>
      <c r="AP54" s="387"/>
      <c r="AQ54" s="387"/>
      <c r="AR54" s="387"/>
      <c r="AS54" s="1614"/>
    </row>
    <row r="55" spans="4:45" ht="9" customHeight="1" thickTop="1" thickBot="1" x14ac:dyDescent="1.05">
      <c r="D55" s="577"/>
      <c r="E55" s="1899">
        <v>300</v>
      </c>
      <c r="F55" s="1900"/>
      <c r="G55" s="1900"/>
      <c r="H55" s="387"/>
      <c r="I55" s="1911"/>
      <c r="J55" s="1912"/>
      <c r="K55" s="1634"/>
      <c r="L55" s="1679"/>
      <c r="M55" s="390"/>
      <c r="N55" s="387"/>
      <c r="O55" s="387"/>
      <c r="P55" s="390"/>
      <c r="Q55" s="387"/>
      <c r="R55" s="387"/>
      <c r="S55" s="1612"/>
      <c r="T55" s="520"/>
      <c r="AC55" s="623"/>
      <c r="AD55" s="387"/>
      <c r="AE55" s="387"/>
      <c r="AF55" s="387"/>
      <c r="AG55" s="387"/>
      <c r="AH55" s="387"/>
      <c r="AI55" s="387"/>
      <c r="AJ55" s="387"/>
      <c r="AK55" s="387"/>
      <c r="AL55" s="387"/>
      <c r="AM55" s="387"/>
      <c r="AN55" s="387"/>
      <c r="AO55" s="387"/>
      <c r="AP55" s="387"/>
      <c r="AQ55" s="387"/>
      <c r="AR55" s="400"/>
      <c r="AS55" s="1614"/>
    </row>
    <row r="56" spans="4:45" ht="95" customHeight="1" thickTop="1" thickBot="1" x14ac:dyDescent="1.05">
      <c r="D56" s="623"/>
      <c r="E56" s="1903"/>
      <c r="F56" s="1904"/>
      <c r="G56" s="1904"/>
      <c r="H56" s="387"/>
      <c r="I56" s="1913"/>
      <c r="J56" s="1914"/>
      <c r="K56" s="1633"/>
      <c r="L56" s="1633"/>
      <c r="M56" s="557"/>
      <c r="N56" s="1099"/>
      <c r="O56" s="570"/>
      <c r="P56" s="556"/>
      <c r="Q56" s="1099"/>
      <c r="R56" s="556"/>
      <c r="S56" s="1610"/>
      <c r="T56" s="520"/>
      <c r="AC56" s="623"/>
      <c r="AD56" s="387"/>
      <c r="AE56" s="387"/>
      <c r="AF56" s="387"/>
      <c r="AG56" s="387"/>
      <c r="AH56" s="387"/>
      <c r="AI56" s="387"/>
      <c r="AJ56" s="387"/>
      <c r="AK56" s="387"/>
      <c r="AL56" s="387"/>
      <c r="AM56" s="387"/>
      <c r="AN56" s="387"/>
      <c r="AO56" s="387"/>
      <c r="AP56" s="387"/>
      <c r="AQ56" s="387"/>
      <c r="AR56" s="387"/>
      <c r="AS56" s="1614"/>
    </row>
    <row r="57" spans="4:45" ht="9" customHeight="1" thickTop="1" thickBot="1" x14ac:dyDescent="1.05">
      <c r="D57" s="574"/>
      <c r="E57" s="518"/>
      <c r="F57" s="519"/>
      <c r="G57" s="519"/>
      <c r="H57" s="561"/>
      <c r="I57" s="519"/>
      <c r="J57" s="519"/>
      <c r="K57" s="519"/>
      <c r="L57" s="519"/>
      <c r="M57" s="519"/>
      <c r="N57" s="519"/>
      <c r="O57" s="519"/>
      <c r="P57" s="519"/>
      <c r="Q57" s="519"/>
      <c r="R57" s="519"/>
      <c r="S57" s="519"/>
      <c r="T57" s="561"/>
      <c r="U57" s="1678"/>
      <c r="AC57" s="623"/>
      <c r="AD57" s="518"/>
      <c r="AE57" s="519"/>
      <c r="AF57" s="519"/>
      <c r="AG57" s="519"/>
      <c r="AH57" s="519"/>
      <c r="AI57" s="519"/>
      <c r="AJ57" s="519"/>
      <c r="AK57" s="519"/>
      <c r="AL57" s="519"/>
      <c r="AM57" s="519"/>
      <c r="AN57" s="519"/>
      <c r="AO57" s="519"/>
      <c r="AP57" s="519"/>
      <c r="AQ57" s="519"/>
      <c r="AR57" s="519"/>
      <c r="AS57" s="1614"/>
    </row>
    <row r="58" spans="4:45" ht="74" customHeight="1" thickTop="1" x14ac:dyDescent="1"/>
    <row r="59" spans="4:45" ht="274" customHeight="1" x14ac:dyDescent="1"/>
    <row r="60" spans="4:45" ht="309" customHeight="1" x14ac:dyDescent="1"/>
    <row r="61" spans="4:45" ht="74" customHeight="1" x14ac:dyDescent="1"/>
    <row r="62" spans="4:45" ht="95" customHeight="1" x14ac:dyDescent="1"/>
    <row r="63" spans="4:45" ht="9" customHeight="1" x14ac:dyDescent="1"/>
    <row r="64" spans="4:45" ht="95" customHeight="1" x14ac:dyDescent="1"/>
    <row r="65" spans="21:21" ht="95" customHeight="1" x14ac:dyDescent="1"/>
    <row r="66" spans="21:21" ht="95" customHeight="1" x14ac:dyDescent="1"/>
    <row r="67" spans="21:21" ht="9" customHeight="1" x14ac:dyDescent="1"/>
    <row r="68" spans="21:21" ht="95" customHeight="1" x14ac:dyDescent="1"/>
    <row r="69" spans="21:21" ht="95" customHeight="1" x14ac:dyDescent="1"/>
    <row r="70" spans="21:21" ht="95" customHeight="1" x14ac:dyDescent="1"/>
    <row r="71" spans="21:21" ht="95" customHeight="1" x14ac:dyDescent="1">
      <c r="U71" s="357"/>
    </row>
    <row r="72" spans="21:21" ht="9" customHeight="1" x14ac:dyDescent="1">
      <c r="U72" s="357"/>
    </row>
    <row r="73" spans="21:21" ht="95" customHeight="1" x14ac:dyDescent="1">
      <c r="U73" s="369"/>
    </row>
    <row r="74" spans="21:21" ht="95" customHeight="1" x14ac:dyDescent="1"/>
    <row r="75" spans="21:21" ht="10" customHeight="1" x14ac:dyDescent="1">
      <c r="U75" s="961"/>
    </row>
    <row r="76" spans="21:21" ht="95" customHeight="1" x14ac:dyDescent="1">
      <c r="U76" s="961"/>
    </row>
    <row r="77" spans="21:21" ht="95" customHeight="1" x14ac:dyDescent="1">
      <c r="U77" s="961"/>
    </row>
    <row r="78" spans="21:21" ht="95" customHeight="1" x14ac:dyDescent="1">
      <c r="U78" s="961"/>
    </row>
    <row r="79" spans="21:21" ht="96" customHeight="1" x14ac:dyDescent="1"/>
    <row r="80" spans="21:21" ht="96" customHeight="1" x14ac:dyDescent="1"/>
    <row r="81" spans="2:21" ht="96" customHeight="1" x14ac:dyDescent="1"/>
    <row r="82" spans="2:21" ht="9" customHeight="1" x14ac:dyDescent="1">
      <c r="B82" s="961"/>
    </row>
    <row r="83" spans="2:21" ht="95" customHeight="1" x14ac:dyDescent="1">
      <c r="B83" s="961"/>
      <c r="G83" s="357"/>
      <c r="H83" s="357"/>
      <c r="I83" s="357"/>
      <c r="J83" s="357"/>
      <c r="K83" s="357"/>
      <c r="L83" s="357"/>
      <c r="M83" s="357"/>
      <c r="N83" s="357"/>
      <c r="O83" s="357"/>
      <c r="P83" s="357"/>
      <c r="Q83" s="357"/>
      <c r="R83" s="357"/>
      <c r="S83" s="1672"/>
      <c r="T83" s="1671"/>
      <c r="U83" s="1676"/>
    </row>
    <row r="84" spans="2:21" ht="95" customHeight="1" x14ac:dyDescent="1">
      <c r="G84" s="357"/>
      <c r="H84" s="357"/>
      <c r="I84" s="357"/>
      <c r="J84" s="357"/>
      <c r="K84" s="357"/>
      <c r="L84" s="357"/>
      <c r="M84" s="357"/>
      <c r="N84" s="357"/>
      <c r="O84" s="357"/>
      <c r="P84" s="357"/>
      <c r="Q84" s="357"/>
      <c r="R84" s="357"/>
      <c r="S84" s="1672"/>
      <c r="T84" s="1671"/>
      <c r="U84" s="1675"/>
    </row>
    <row r="85" spans="2:21" ht="95" customHeight="1" x14ac:dyDescent="1">
      <c r="B85" s="961"/>
      <c r="S85" s="1672"/>
      <c r="T85" s="1671"/>
    </row>
    <row r="86" spans="2:21" ht="95" customHeight="1" x14ac:dyDescent="1">
      <c r="B86" s="961"/>
      <c r="G86" s="961"/>
      <c r="H86" s="961"/>
      <c r="I86" s="961"/>
      <c r="J86" s="961"/>
      <c r="K86" s="961"/>
      <c r="L86" s="961"/>
      <c r="M86" s="961"/>
      <c r="N86" s="961"/>
      <c r="S86" s="1672"/>
      <c r="T86" s="1671"/>
    </row>
    <row r="87" spans="2:21" ht="95" customHeight="1" x14ac:dyDescent="1">
      <c r="B87" s="961"/>
      <c r="J87" s="961"/>
      <c r="K87" s="961"/>
      <c r="L87" s="961"/>
      <c r="P87" s="961"/>
      <c r="S87" s="1672"/>
      <c r="T87" s="1671"/>
    </row>
    <row r="88" spans="2:21" ht="95" customHeight="1" x14ac:dyDescent="1">
      <c r="B88" s="961"/>
      <c r="J88" s="961"/>
      <c r="K88" s="961"/>
      <c r="L88" s="961"/>
      <c r="P88" s="961"/>
      <c r="Q88" s="961"/>
      <c r="S88" s="1672"/>
      <c r="T88" s="1671"/>
      <c r="U88" s="1675"/>
    </row>
    <row r="89" spans="2:21" ht="95" customHeight="1" x14ac:dyDescent="1">
      <c r="J89" s="961"/>
      <c r="K89" s="961"/>
      <c r="L89" s="961"/>
      <c r="P89" s="961"/>
      <c r="Q89" s="961"/>
      <c r="S89" s="1672"/>
      <c r="T89" s="1671"/>
      <c r="U89" s="1675"/>
    </row>
    <row r="90" spans="2:21" ht="95" customHeight="1" x14ac:dyDescent="1">
      <c r="B90" s="961"/>
      <c r="G90" s="1674"/>
      <c r="J90" s="961"/>
      <c r="K90" s="961"/>
      <c r="L90" s="961"/>
      <c r="M90" s="1674"/>
      <c r="P90" s="961"/>
      <c r="Q90" s="961"/>
      <c r="S90" s="1672"/>
      <c r="T90" s="1671"/>
      <c r="U90" s="1673"/>
    </row>
    <row r="91" spans="2:21" ht="95" customHeight="1" x14ac:dyDescent="1">
      <c r="S91" s="1672"/>
      <c r="T91" s="1671"/>
      <c r="U91" s="1670"/>
    </row>
    <row r="92" spans="2:21" ht="10" customHeight="1" x14ac:dyDescent="1"/>
    <row r="95" spans="2:21" ht="95" customHeight="1" x14ac:dyDescent="1">
      <c r="R95" s="1674"/>
      <c r="S95" s="1674"/>
    </row>
    <row r="96" spans="2:21" ht="10" customHeight="1" x14ac:dyDescent="1"/>
    <row r="97" spans="2:21" ht="95" customHeight="1" x14ac:dyDescent="1">
      <c r="S97" s="1672"/>
      <c r="T97" s="1671"/>
    </row>
    <row r="98" spans="2:21" ht="95" customHeight="1" x14ac:dyDescent="1">
      <c r="J98" s="961"/>
      <c r="K98" s="961"/>
      <c r="L98" s="961"/>
      <c r="P98" s="961"/>
      <c r="S98" s="1672"/>
      <c r="T98" s="1671"/>
      <c r="U98" s="1677"/>
    </row>
    <row r="99" spans="2:21" ht="95" customHeight="1" x14ac:dyDescent="1">
      <c r="J99" s="961"/>
      <c r="K99" s="961"/>
      <c r="L99" s="961"/>
      <c r="P99" s="961"/>
      <c r="Q99" s="961"/>
      <c r="S99" s="1672"/>
      <c r="T99" s="1671"/>
      <c r="U99" s="1677"/>
    </row>
    <row r="100" spans="2:21" ht="95" customHeight="1" x14ac:dyDescent="1">
      <c r="B100" s="961"/>
      <c r="J100" s="961"/>
      <c r="K100" s="961"/>
      <c r="L100" s="961"/>
      <c r="P100" s="961"/>
      <c r="Q100" s="961"/>
      <c r="R100" s="961"/>
      <c r="S100" s="1672"/>
      <c r="T100" s="1671"/>
      <c r="U100" s="1677"/>
    </row>
    <row r="101" spans="2:21" ht="95" customHeight="1" x14ac:dyDescent="1">
      <c r="B101" s="961"/>
      <c r="G101" s="1674"/>
      <c r="J101" s="961"/>
      <c r="K101" s="961"/>
      <c r="L101" s="961"/>
      <c r="M101" s="1674"/>
      <c r="P101" s="961"/>
      <c r="Q101" s="961"/>
      <c r="R101" s="961"/>
      <c r="S101" s="1672"/>
      <c r="T101" s="1671"/>
    </row>
    <row r="102" spans="2:21" ht="95" customHeight="1" x14ac:dyDescent="1">
      <c r="S102" s="1672"/>
      <c r="T102" s="1671"/>
    </row>
    <row r="103" spans="2:21" ht="95" customHeight="1" x14ac:dyDescent="1">
      <c r="B103" s="961"/>
      <c r="S103" s="1672"/>
      <c r="T103" s="1671"/>
      <c r="U103" s="1675"/>
    </row>
    <row r="104" spans="2:21" ht="95" customHeight="1" x14ac:dyDescent="1">
      <c r="B104" s="961"/>
      <c r="G104" s="357"/>
      <c r="H104" s="357"/>
      <c r="I104" s="357"/>
      <c r="J104" s="357"/>
      <c r="K104" s="357"/>
      <c r="L104" s="357"/>
      <c r="M104" s="357"/>
      <c r="N104" s="357"/>
      <c r="O104" s="357"/>
      <c r="P104" s="357"/>
      <c r="Q104" s="357"/>
      <c r="R104" s="357"/>
      <c r="S104" s="1672"/>
      <c r="T104" s="1671"/>
      <c r="U104" s="1676"/>
    </row>
    <row r="105" spans="2:21" ht="95" customHeight="1" x14ac:dyDescent="1">
      <c r="G105" s="357"/>
      <c r="H105" s="357"/>
      <c r="I105" s="357"/>
      <c r="J105" s="357"/>
      <c r="K105" s="357"/>
      <c r="L105" s="357"/>
      <c r="M105" s="357"/>
      <c r="N105" s="357"/>
      <c r="O105" s="357"/>
      <c r="P105" s="357"/>
      <c r="Q105" s="357"/>
      <c r="R105" s="357"/>
      <c r="S105" s="1672"/>
      <c r="T105" s="1671"/>
      <c r="U105" s="1675"/>
    </row>
    <row r="106" spans="2:21" ht="95" customHeight="1" x14ac:dyDescent="1">
      <c r="B106" s="961"/>
      <c r="S106" s="1672"/>
      <c r="T106" s="1671"/>
    </row>
    <row r="107" spans="2:21" ht="95" customHeight="1" x14ac:dyDescent="1">
      <c r="B107" s="961"/>
      <c r="G107" s="961"/>
      <c r="H107" s="961"/>
      <c r="I107" s="961"/>
      <c r="J107" s="961"/>
      <c r="K107" s="961"/>
      <c r="L107" s="961"/>
      <c r="M107" s="961"/>
      <c r="N107" s="961"/>
      <c r="S107" s="1672"/>
      <c r="T107" s="1671"/>
    </row>
    <row r="108" spans="2:21" ht="95" customHeight="1" x14ac:dyDescent="1">
      <c r="B108" s="961"/>
      <c r="J108" s="961"/>
      <c r="K108" s="961"/>
      <c r="L108" s="961"/>
      <c r="P108" s="961"/>
      <c r="S108" s="1672"/>
      <c r="T108" s="1671"/>
    </row>
    <row r="109" spans="2:21" ht="95" customHeight="1" x14ac:dyDescent="1">
      <c r="B109" s="961"/>
      <c r="J109" s="961"/>
      <c r="K109" s="961"/>
      <c r="L109" s="961"/>
      <c r="P109" s="961"/>
      <c r="Q109" s="961"/>
      <c r="S109" s="1672"/>
      <c r="T109" s="1671"/>
      <c r="U109" s="1675"/>
    </row>
    <row r="110" spans="2:21" ht="95" customHeight="1" x14ac:dyDescent="1">
      <c r="J110" s="961"/>
      <c r="K110" s="961"/>
      <c r="L110" s="961"/>
      <c r="P110" s="961"/>
      <c r="Q110" s="961"/>
      <c r="S110" s="1672"/>
      <c r="T110" s="1671"/>
      <c r="U110" s="1675"/>
    </row>
    <row r="111" spans="2:21" ht="95" customHeight="1" x14ac:dyDescent="1">
      <c r="B111" s="961"/>
      <c r="G111" s="1674"/>
      <c r="J111" s="961"/>
      <c r="K111" s="961"/>
      <c r="L111" s="961"/>
      <c r="M111" s="1674"/>
      <c r="P111" s="961"/>
      <c r="Q111" s="961"/>
      <c r="S111" s="1672"/>
      <c r="T111" s="1671"/>
      <c r="U111" s="1673"/>
    </row>
    <row r="112" spans="2:21" ht="95" customHeight="1" x14ac:dyDescent="1">
      <c r="S112" s="1672"/>
      <c r="T112" s="1671"/>
      <c r="U112" s="1670"/>
    </row>
    <row r="113" ht="10" customHeight="1" x14ac:dyDescent="1"/>
  </sheetData>
  <mergeCells count="83">
    <mergeCell ref="O38:O45"/>
    <mergeCell ref="AL12:AL18"/>
    <mergeCell ref="AN38:AN45"/>
    <mergeCell ref="AP13:AR13"/>
    <mergeCell ref="AP14:AR14"/>
    <mergeCell ref="AP15:AR15"/>
    <mergeCell ref="AP16:AR16"/>
    <mergeCell ref="AL25:AR25"/>
    <mergeCell ref="M20:S20"/>
    <mergeCell ref="L23:M23"/>
    <mergeCell ref="O12:O18"/>
    <mergeCell ref="AL22:AR22"/>
    <mergeCell ref="AL23:AR23"/>
    <mergeCell ref="AD18:AF18"/>
    <mergeCell ref="AN12:AN18"/>
    <mergeCell ref="AC25:AC27"/>
    <mergeCell ref="I12:J29"/>
    <mergeCell ref="E13:G13"/>
    <mergeCell ref="E14:G14"/>
    <mergeCell ref="E15:G15"/>
    <mergeCell ref="E16:G16"/>
    <mergeCell ref="E17:G17"/>
    <mergeCell ref="E18:G18"/>
    <mergeCell ref="E19:G19"/>
    <mergeCell ref="E20:G20"/>
    <mergeCell ref="E21:G21"/>
    <mergeCell ref="E22:G22"/>
    <mergeCell ref="E23:G23"/>
    <mergeCell ref="E27:G27"/>
    <mergeCell ref="E28:G28"/>
    <mergeCell ref="E12:G12"/>
    <mergeCell ref="AJ15:AJ18"/>
    <mergeCell ref="AD24:AF24"/>
    <mergeCell ref="AK24:AR24"/>
    <mergeCell ref="AD17:AF17"/>
    <mergeCell ref="AD16:AF16"/>
    <mergeCell ref="AH12:AI29"/>
    <mergeCell ref="AD27:AF27"/>
    <mergeCell ref="AK27:AR27"/>
    <mergeCell ref="AK19:AR20"/>
    <mergeCell ref="AD20:AF20"/>
    <mergeCell ref="AD23:AF23"/>
    <mergeCell ref="AL26:AR26"/>
    <mergeCell ref="AD25:AF25"/>
    <mergeCell ref="E41:G41"/>
    <mergeCell ref="L53:M53"/>
    <mergeCell ref="E55:G55"/>
    <mergeCell ref="E56:G56"/>
    <mergeCell ref="AD26:AF26"/>
    <mergeCell ref="E48:G48"/>
    <mergeCell ref="M46:S46"/>
    <mergeCell ref="I38:J56"/>
    <mergeCell ref="M47:S47"/>
    <mergeCell ref="E44:G44"/>
    <mergeCell ref="E45:G45"/>
    <mergeCell ref="E46:G46"/>
    <mergeCell ref="K42:K45"/>
    <mergeCell ref="E47:G47"/>
    <mergeCell ref="AD46:AR47"/>
    <mergeCell ref="AD28:AF28"/>
    <mergeCell ref="L25:M25"/>
    <mergeCell ref="L26:M26"/>
    <mergeCell ref="E53:G53"/>
    <mergeCell ref="E54:G54"/>
    <mergeCell ref="L13:M13"/>
    <mergeCell ref="L14:M14"/>
    <mergeCell ref="L15:M15"/>
    <mergeCell ref="L16:M16"/>
    <mergeCell ref="L22:M22"/>
    <mergeCell ref="E29:G29"/>
    <mergeCell ref="E24:G24"/>
    <mergeCell ref="E25:G25"/>
    <mergeCell ref="E26:G26"/>
    <mergeCell ref="E38:G38"/>
    <mergeCell ref="E39:G39"/>
    <mergeCell ref="E40:G40"/>
    <mergeCell ref="L50:M50"/>
    <mergeCell ref="L51:M51"/>
    <mergeCell ref="L52:M52"/>
    <mergeCell ref="L39:M39"/>
    <mergeCell ref="L41:M41"/>
    <mergeCell ref="L42:M42"/>
    <mergeCell ref="L43:M43"/>
  </mergeCells>
  <printOptions horizontalCentered="1"/>
  <pageMargins left="0.25" right="0.25" top="0.75" bottom="0.75" header="0.3" footer="0.3"/>
  <pageSetup scale="10" orientation="landscape" horizontalDpi="1200" verticalDpi="1200" r:id="rId1"/>
  <colBreaks count="1" manualBreakCount="1">
    <brk id="56" max="56"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BB3F-E7CB-B241-81C0-CCC2E63BF991}">
  <sheetPr>
    <pageSetUpPr fitToPage="1"/>
  </sheetPr>
  <dimension ref="B1:AM84"/>
  <sheetViews>
    <sheetView view="pageBreakPreview" zoomScale="30" zoomScaleNormal="30" zoomScaleSheetLayoutView="30" zoomScalePageLayoutView="30" workbookViewId="0">
      <selection activeCell="F5" sqref="F5"/>
    </sheetView>
  </sheetViews>
  <sheetFormatPr baseColWidth="10" defaultColWidth="10.6640625" defaultRowHeight="50" customHeight="1" x14ac:dyDescent="1"/>
  <cols>
    <col min="1" max="1" width="17.33203125" style="354" customWidth="1"/>
    <col min="2" max="2" width="21.1640625" style="354" customWidth="1"/>
    <col min="3" max="3" width="2.33203125" style="354" customWidth="1"/>
    <col min="4" max="4" width="3.83203125" style="354" customWidth="1"/>
    <col min="5" max="5" width="2.33203125" style="354" customWidth="1"/>
    <col min="6" max="6" width="55.83203125" style="354" customWidth="1"/>
    <col min="7" max="7" width="2.33203125" style="354" customWidth="1"/>
    <col min="8" max="8" width="55.83203125" style="354" customWidth="1"/>
    <col min="9" max="9" width="2.33203125" style="354" customWidth="1"/>
    <col min="10" max="10" width="55.83203125" style="354" customWidth="1"/>
    <col min="11" max="11" width="2.33203125" style="354" customWidth="1"/>
    <col min="12" max="12" width="55.83203125" style="354" customWidth="1"/>
    <col min="13" max="13" width="2.33203125" style="354" customWidth="1"/>
    <col min="14" max="14" width="55.83203125" style="354" customWidth="1"/>
    <col min="15" max="15" width="2" style="354" customWidth="1"/>
    <col min="16" max="16" width="55.83203125" style="354" customWidth="1"/>
    <col min="17" max="17" width="2.33203125" style="354" customWidth="1"/>
    <col min="18" max="18" width="9.5" style="354" customWidth="1"/>
    <col min="19" max="19" width="9.1640625" style="354" customWidth="1"/>
    <col min="20" max="20" width="8.6640625" style="354" customWidth="1"/>
    <col min="21" max="21" width="55.83203125" style="354" customWidth="1"/>
    <col min="22" max="22" width="2.1640625" style="354" customWidth="1"/>
    <col min="23" max="23" width="55.83203125" style="354" customWidth="1"/>
    <col min="24" max="24" width="2.1640625" style="354" customWidth="1"/>
    <col min="25" max="25" width="55.83203125" style="354" customWidth="1"/>
    <col min="26" max="26" width="2.1640625" style="354" customWidth="1"/>
    <col min="27" max="27" width="55.83203125" style="354" customWidth="1"/>
    <col min="28" max="28" width="2.1640625" style="354" customWidth="1"/>
    <col min="29" max="29" width="55.83203125" style="354" customWidth="1"/>
    <col min="30" max="30" width="2.1640625" style="354" customWidth="1"/>
    <col min="31" max="31" width="55.83203125" style="354" customWidth="1"/>
    <col min="32" max="32" width="2.1640625" style="354" customWidth="1"/>
    <col min="33" max="33" width="55.83203125" style="354" customWidth="1"/>
    <col min="34" max="34" width="2.1640625" style="354" customWidth="1"/>
    <col min="35" max="35" width="55.83203125" style="354" customWidth="1"/>
    <col min="36" max="36" width="2.1640625" style="354" customWidth="1"/>
    <col min="37" max="16384" width="10.6640625" style="354"/>
  </cols>
  <sheetData>
    <row r="1" spans="6:39" ht="95" customHeight="1" x14ac:dyDescent="1"/>
    <row r="2" spans="6:39" ht="95" customHeight="1" x14ac:dyDescent="1">
      <c r="F2" s="355" t="s">
        <v>319</v>
      </c>
    </row>
    <row r="3" spans="6:39" ht="95" customHeight="1" x14ac:dyDescent="1">
      <c r="F3" s="354" t="s">
        <v>23</v>
      </c>
    </row>
    <row r="4" spans="6:39" ht="95" customHeight="1" x14ac:dyDescent="1">
      <c r="F4" s="354" t="s">
        <v>318</v>
      </c>
    </row>
    <row r="5" spans="6:39" ht="95" customHeight="1" x14ac:dyDescent="1">
      <c r="F5" s="1536" t="s">
        <v>367</v>
      </c>
    </row>
    <row r="6" spans="6:39" ht="95" customHeight="1" x14ac:dyDescent="1">
      <c r="F6" s="354" t="s">
        <v>366</v>
      </c>
    </row>
    <row r="7" spans="6:39" ht="95" customHeight="1" x14ac:dyDescent="1"/>
    <row r="8" spans="6:39" ht="95" customHeight="1" x14ac:dyDescent="1">
      <c r="F8" s="354" t="s">
        <v>254</v>
      </c>
    </row>
    <row r="9" spans="6:39" ht="95" customHeight="1" x14ac:dyDescent="1"/>
    <row r="10" spans="6:39" ht="95" customHeight="1" x14ac:dyDescent="1">
      <c r="F10" s="363" t="s">
        <v>313</v>
      </c>
      <c r="G10" s="363"/>
      <c r="H10" s="1715"/>
      <c r="I10" s="1715"/>
      <c r="J10" s="1717"/>
      <c r="K10" s="1717"/>
      <c r="L10" s="1716"/>
      <c r="M10" s="1716"/>
      <c r="N10" s="1715"/>
      <c r="O10" s="1715"/>
      <c r="P10" s="1715"/>
      <c r="Q10" s="1715"/>
      <c r="R10" s="1715"/>
      <c r="S10" s="1715"/>
      <c r="T10" s="364"/>
      <c r="U10" s="364"/>
      <c r="V10" s="364"/>
      <c r="W10" s="364"/>
      <c r="X10" s="364"/>
      <c r="Y10" s="364"/>
      <c r="Z10" s="364"/>
      <c r="AA10" s="364"/>
      <c r="AB10" s="364"/>
      <c r="AC10" s="364"/>
      <c r="AD10" s="364"/>
      <c r="AE10" s="364"/>
      <c r="AF10" s="364"/>
      <c r="AG10" s="364"/>
      <c r="AH10" s="364"/>
      <c r="AI10" s="364"/>
      <c r="AJ10" s="364"/>
      <c r="AK10" s="364"/>
      <c r="AL10" s="364"/>
      <c r="AM10" s="364"/>
    </row>
    <row r="11" spans="6:39" ht="95" customHeight="1" x14ac:dyDescent="1">
      <c r="F11" s="367"/>
      <c r="G11" s="367"/>
      <c r="J11" s="368"/>
      <c r="K11" s="368"/>
      <c r="L11" s="369"/>
      <c r="M11" s="369"/>
    </row>
    <row r="12" spans="6:39" ht="95" customHeight="1" x14ac:dyDescent="1">
      <c r="F12" s="355" t="s">
        <v>160</v>
      </c>
      <c r="G12" s="355"/>
      <c r="J12" s="368"/>
      <c r="K12" s="368"/>
      <c r="L12" s="369"/>
      <c r="M12" s="369"/>
    </row>
    <row r="13" spans="6:39" ht="96" customHeight="1" x14ac:dyDescent="1"/>
    <row r="14" spans="6:39" ht="96" customHeight="1" x14ac:dyDescent="1"/>
    <row r="15" spans="6:39" ht="96" customHeight="1" x14ac:dyDescent="1">
      <c r="F15" s="355" t="s">
        <v>317</v>
      </c>
      <c r="W15" s="355" t="s">
        <v>356</v>
      </c>
    </row>
    <row r="16" spans="6:39" ht="94" customHeight="1" x14ac:dyDescent="1">
      <c r="F16" s="354" t="s">
        <v>213</v>
      </c>
      <c r="W16" s="354" t="s">
        <v>26</v>
      </c>
      <c r="X16" s="355"/>
      <c r="AA16" s="368"/>
      <c r="AB16" s="368"/>
      <c r="AC16" s="369"/>
      <c r="AD16" s="369"/>
    </row>
    <row r="17" spans="2:35" ht="95" customHeight="1" x14ac:dyDescent="1">
      <c r="F17" s="1605">
        <v>2700</v>
      </c>
      <c r="H17" s="354" t="s">
        <v>33</v>
      </c>
      <c r="W17" s="1605">
        <v>2700</v>
      </c>
      <c r="Y17" s="354" t="s">
        <v>33</v>
      </c>
    </row>
    <row r="18" spans="2:35" ht="87" customHeight="1" thickBot="1" x14ac:dyDescent="1.05">
      <c r="E18" s="372"/>
      <c r="F18" s="372"/>
      <c r="G18" s="372"/>
      <c r="H18" s="372"/>
      <c r="I18" s="372"/>
      <c r="J18" s="372"/>
      <c r="K18" s="372"/>
      <c r="L18" s="372"/>
      <c r="M18" s="372"/>
      <c r="N18" s="372"/>
      <c r="O18" s="372"/>
      <c r="P18" s="372"/>
      <c r="Q18" s="372"/>
      <c r="U18" s="408"/>
      <c r="V18" s="408"/>
      <c r="W18" s="408"/>
      <c r="X18" s="408"/>
      <c r="Y18" s="408"/>
      <c r="AC18" s="372"/>
      <c r="AE18" s="372"/>
      <c r="AF18" s="372"/>
      <c r="AG18" s="372"/>
      <c r="AH18" s="372"/>
    </row>
    <row r="19" spans="2:35" ht="10" customHeight="1" thickTop="1" thickBot="1" x14ac:dyDescent="1.05">
      <c r="D19" s="475"/>
      <c r="E19" s="944"/>
      <c r="F19" s="477"/>
      <c r="G19" s="476"/>
      <c r="H19" s="476"/>
      <c r="I19" s="1737"/>
      <c r="J19" s="476"/>
      <c r="K19" s="476"/>
      <c r="L19" s="476"/>
      <c r="M19" s="1737"/>
      <c r="N19" s="476"/>
      <c r="O19" s="476"/>
      <c r="P19" s="476"/>
      <c r="Q19" s="919"/>
      <c r="U19" s="408"/>
      <c r="V19" s="919"/>
      <c r="W19" s="477"/>
      <c r="X19" s="476"/>
      <c r="Y19" s="476"/>
      <c r="Z19" s="476"/>
      <c r="AA19" s="478"/>
      <c r="AB19" s="1732"/>
      <c r="AC19" s="465"/>
      <c r="AD19" s="1732"/>
      <c r="AE19" s="1746"/>
      <c r="AF19" s="1747"/>
      <c r="AG19" s="1656"/>
      <c r="AH19" s="1738"/>
      <c r="AI19" s="1678"/>
    </row>
    <row r="20" spans="2:35" ht="97" customHeight="1" thickTop="1" thickBot="1" x14ac:dyDescent="1.05">
      <c r="D20" s="475"/>
      <c r="E20" s="916"/>
      <c r="F20" s="1963" t="s">
        <v>179</v>
      </c>
      <c r="G20" s="1964"/>
      <c r="H20" s="1964"/>
      <c r="I20" s="1964"/>
      <c r="J20" s="1964"/>
      <c r="K20" s="1964"/>
      <c r="L20" s="1964"/>
      <c r="M20" s="1964"/>
      <c r="N20" s="1964"/>
      <c r="O20" s="1964"/>
      <c r="P20" s="1965"/>
      <c r="Q20" s="1743"/>
      <c r="U20" s="475"/>
      <c r="V20" s="702"/>
      <c r="W20" s="390"/>
      <c r="X20" s="481"/>
      <c r="Y20" s="482"/>
      <c r="Z20" s="390"/>
      <c r="AA20" s="483"/>
      <c r="AB20" s="484"/>
      <c r="AC20" s="912"/>
      <c r="AD20" s="386"/>
      <c r="AE20" s="912"/>
      <c r="AF20" s="486"/>
      <c r="AG20" s="487"/>
      <c r="AH20" s="1745"/>
      <c r="AI20" s="905"/>
    </row>
    <row r="21" spans="2:35" ht="97" customHeight="1" thickTop="1" x14ac:dyDescent="1">
      <c r="D21" s="475"/>
      <c r="E21" s="916"/>
      <c r="F21" s="1966"/>
      <c r="G21" s="1967"/>
      <c r="H21" s="1967"/>
      <c r="I21" s="1967"/>
      <c r="J21" s="1967"/>
      <c r="K21" s="1967"/>
      <c r="L21" s="1967"/>
      <c r="M21" s="1967"/>
      <c r="N21" s="1967"/>
      <c r="O21" s="1967"/>
      <c r="P21" s="1968"/>
      <c r="Q21" s="1742"/>
      <c r="U21" s="475"/>
      <c r="V21" s="469"/>
      <c r="W21" s="1658" t="s">
        <v>152</v>
      </c>
      <c r="X21" s="489"/>
      <c r="Y21" s="1665" t="s">
        <v>152</v>
      </c>
      <c r="Z21" s="1658"/>
      <c r="AA21" s="491" t="s">
        <v>152</v>
      </c>
      <c r="AB21" s="492"/>
      <c r="AC21" s="1866" t="s">
        <v>132</v>
      </c>
      <c r="AD21" s="1867"/>
      <c r="AE21" s="1867"/>
      <c r="AF21" s="1683"/>
      <c r="AG21" s="493" t="s">
        <v>152</v>
      </c>
      <c r="AH21" s="465"/>
      <c r="AI21" s="905"/>
    </row>
    <row r="22" spans="2:35" ht="97" customHeight="1" x14ac:dyDescent="1">
      <c r="D22" s="475"/>
      <c r="E22" s="916"/>
      <c r="F22" s="1966"/>
      <c r="G22" s="1967"/>
      <c r="H22" s="1967"/>
      <c r="I22" s="1967"/>
      <c r="J22" s="1967"/>
      <c r="K22" s="1967"/>
      <c r="L22" s="1967"/>
      <c r="M22" s="1967"/>
      <c r="N22" s="1967"/>
      <c r="O22" s="1967"/>
      <c r="P22" s="1968"/>
      <c r="Q22" s="771"/>
      <c r="R22" s="905"/>
      <c r="U22" s="475"/>
      <c r="V22" s="469"/>
      <c r="W22" s="1658" t="s">
        <v>153</v>
      </c>
      <c r="X22" s="489"/>
      <c r="Y22" s="1665" t="s">
        <v>154</v>
      </c>
      <c r="Z22" s="1658"/>
      <c r="AA22" s="491" t="s">
        <v>154</v>
      </c>
      <c r="AB22" s="492"/>
      <c r="AC22" s="1866" t="s">
        <v>154</v>
      </c>
      <c r="AD22" s="1867"/>
      <c r="AE22" s="1867"/>
      <c r="AF22" s="1658"/>
      <c r="AG22" s="493" t="s">
        <v>154</v>
      </c>
      <c r="AH22" s="916"/>
    </row>
    <row r="23" spans="2:35" ht="97" customHeight="1" x14ac:dyDescent="1">
      <c r="D23" s="475"/>
      <c r="E23" s="916"/>
      <c r="F23" s="1966"/>
      <c r="G23" s="1967"/>
      <c r="H23" s="1967"/>
      <c r="I23" s="1967"/>
      <c r="J23" s="1967"/>
      <c r="K23" s="1967"/>
      <c r="L23" s="1967"/>
      <c r="M23" s="1967"/>
      <c r="N23" s="1967"/>
      <c r="O23" s="1967"/>
      <c r="P23" s="1968"/>
      <c r="Q23" s="1742"/>
      <c r="R23" s="905"/>
      <c r="U23" s="475"/>
      <c r="V23" s="469"/>
      <c r="W23" s="1658" t="s">
        <v>121</v>
      </c>
      <c r="X23" s="489"/>
      <c r="Y23" s="1665" t="s">
        <v>125</v>
      </c>
      <c r="Z23" s="1658"/>
      <c r="AA23" s="1683" t="s">
        <v>20</v>
      </c>
      <c r="AB23" s="492"/>
      <c r="AC23" s="1866" t="s">
        <v>121</v>
      </c>
      <c r="AD23" s="1867"/>
      <c r="AE23" s="1867"/>
      <c r="AF23" s="1683"/>
      <c r="AG23" s="1661" t="s">
        <v>121</v>
      </c>
      <c r="AH23" s="932"/>
    </row>
    <row r="24" spans="2:35" ht="97" customHeight="1" x14ac:dyDescent="1">
      <c r="D24" s="475"/>
      <c r="E24" s="916"/>
      <c r="F24" s="1966"/>
      <c r="G24" s="1967"/>
      <c r="H24" s="1967"/>
      <c r="I24" s="1967"/>
      <c r="J24" s="1967"/>
      <c r="K24" s="1967"/>
      <c r="L24" s="1967"/>
      <c r="M24" s="1967"/>
      <c r="N24" s="1967"/>
      <c r="O24" s="1967"/>
      <c r="P24" s="1968"/>
      <c r="Q24" s="771"/>
      <c r="R24" s="905"/>
      <c r="U24" s="475"/>
      <c r="V24" s="465"/>
      <c r="W24" s="488">
        <v>300</v>
      </c>
      <c r="X24" s="489"/>
      <c r="Y24" s="1665">
        <v>500</v>
      </c>
      <c r="Z24" s="1658"/>
      <c r="AA24" s="1683">
        <v>450</v>
      </c>
      <c r="AB24" s="492"/>
      <c r="AC24" s="1866">
        <v>800</v>
      </c>
      <c r="AD24" s="1867"/>
      <c r="AE24" s="1867"/>
      <c r="AF24" s="1683"/>
      <c r="AG24" s="493">
        <v>300</v>
      </c>
      <c r="AH24" s="932"/>
    </row>
    <row r="25" spans="2:35" ht="97" customHeight="1" x14ac:dyDescent="1">
      <c r="D25" s="475"/>
      <c r="E25" s="916"/>
      <c r="F25" s="1966"/>
      <c r="G25" s="1967"/>
      <c r="H25" s="1967"/>
      <c r="I25" s="1967"/>
      <c r="J25" s="1967"/>
      <c r="K25" s="1967"/>
      <c r="L25" s="1967"/>
      <c r="M25" s="1967"/>
      <c r="N25" s="1967"/>
      <c r="O25" s="1967"/>
      <c r="P25" s="1968"/>
      <c r="Q25" s="1733"/>
      <c r="U25" s="475"/>
      <c r="V25" s="469"/>
      <c r="W25" s="1658"/>
      <c r="X25" s="489"/>
      <c r="Y25" s="1665"/>
      <c r="Z25" s="1658"/>
      <c r="AA25" s="491"/>
      <c r="AB25" s="492"/>
      <c r="AC25" s="1665"/>
      <c r="AD25" s="1683"/>
      <c r="AE25" s="1721"/>
      <c r="AF25" s="1683"/>
      <c r="AG25" s="1661"/>
      <c r="AH25" s="932"/>
    </row>
    <row r="26" spans="2:35" ht="97" customHeight="1" thickBot="1" x14ac:dyDescent="1.05">
      <c r="D26" s="475"/>
      <c r="E26" s="916"/>
      <c r="F26" s="1969"/>
      <c r="G26" s="1970"/>
      <c r="H26" s="1970"/>
      <c r="I26" s="1970"/>
      <c r="J26" s="1970"/>
      <c r="K26" s="1970"/>
      <c r="L26" s="1970"/>
      <c r="M26" s="1970"/>
      <c r="N26" s="1970"/>
      <c r="O26" s="1970"/>
      <c r="P26" s="1971"/>
      <c r="Q26" s="1744"/>
      <c r="R26" s="905"/>
      <c r="U26" s="475"/>
      <c r="V26" s="928"/>
      <c r="W26" s="494"/>
      <c r="X26" s="481"/>
      <c r="Y26" s="482"/>
      <c r="Z26" s="390"/>
      <c r="AA26" s="498"/>
      <c r="AB26" s="539"/>
      <c r="AC26" s="1749"/>
      <c r="AD26" s="1755"/>
      <c r="AE26" s="1749"/>
      <c r="AF26" s="500"/>
      <c r="AG26" s="501"/>
      <c r="AH26" s="916"/>
    </row>
    <row r="27" spans="2:35" ht="9" customHeight="1" thickTop="1" thickBot="1" x14ac:dyDescent="1.05">
      <c r="D27" s="475"/>
      <c r="E27" s="944"/>
      <c r="F27" s="1740"/>
      <c r="G27" s="1740"/>
      <c r="H27" s="1740"/>
      <c r="I27" s="1740"/>
      <c r="J27" s="1740"/>
      <c r="K27" s="1740"/>
      <c r="L27" s="1740"/>
      <c r="M27" s="1740"/>
      <c r="N27" s="1740"/>
      <c r="O27" s="1740"/>
      <c r="P27" s="1741"/>
      <c r="Q27" s="944"/>
      <c r="U27" s="475"/>
      <c r="V27" s="928"/>
      <c r="W27" s="467"/>
      <c r="X27" s="1748"/>
      <c r="Y27" s="476"/>
      <c r="Z27" s="1748"/>
      <c r="AA27" s="467"/>
      <c r="AB27" s="1748"/>
      <c r="AC27" s="467"/>
      <c r="AD27" s="467"/>
      <c r="AE27" s="477"/>
      <c r="AF27" s="467"/>
      <c r="AG27" s="788"/>
      <c r="AH27" s="944"/>
    </row>
    <row r="28" spans="2:35" s="358" customFormat="1" ht="95" customHeight="1" thickTop="1" x14ac:dyDescent="1">
      <c r="B28" s="356"/>
      <c r="C28" s="356"/>
      <c r="D28" s="356"/>
      <c r="E28" s="356"/>
      <c r="F28" s="356"/>
      <c r="G28" s="356"/>
      <c r="H28" s="356"/>
      <c r="I28" s="356"/>
      <c r="J28" s="641"/>
      <c r="K28" s="641"/>
      <c r="L28" s="641"/>
      <c r="M28" s="641"/>
      <c r="N28" s="356"/>
      <c r="O28" s="356"/>
      <c r="P28" s="641"/>
      <c r="Q28" s="1739"/>
      <c r="R28" s="356"/>
      <c r="S28" s="356"/>
      <c r="T28" s="356"/>
      <c r="U28" s="356"/>
      <c r="AG28" s="356"/>
      <c r="AH28" s="356"/>
      <c r="AI28" s="356"/>
    </row>
    <row r="29" spans="2:35" ht="95" customHeight="1" x14ac:dyDescent="1">
      <c r="B29" s="408"/>
      <c r="C29" s="408"/>
      <c r="D29" s="408"/>
      <c r="E29" s="408"/>
      <c r="F29" s="408"/>
      <c r="G29" s="408"/>
      <c r="H29" s="408"/>
      <c r="I29" s="408"/>
      <c r="J29" s="408"/>
      <c r="K29" s="408"/>
      <c r="L29" s="408"/>
      <c r="M29" s="408"/>
      <c r="N29" s="408"/>
      <c r="O29" s="408"/>
      <c r="P29" s="408"/>
      <c r="Q29" s="408"/>
      <c r="R29" s="408"/>
      <c r="S29" s="408"/>
      <c r="T29" s="408"/>
      <c r="U29" s="408"/>
    </row>
    <row r="30" spans="2:35" ht="10" customHeight="1" x14ac:dyDescent="1"/>
    <row r="31" spans="2:35" ht="95" customHeight="1" x14ac:dyDescent="1">
      <c r="F31" s="355" t="s">
        <v>323</v>
      </c>
      <c r="W31" s="355" t="s">
        <v>321</v>
      </c>
    </row>
    <row r="32" spans="2:35" ht="95" customHeight="1" x14ac:dyDescent="1">
      <c r="F32" s="354" t="s">
        <v>303</v>
      </c>
      <c r="W32" s="354" t="s">
        <v>355</v>
      </c>
    </row>
    <row r="33" spans="4:37" ht="101" customHeight="1" x14ac:dyDescent="1">
      <c r="F33" s="1605">
        <v>2700</v>
      </c>
      <c r="H33" s="354" t="s">
        <v>33</v>
      </c>
      <c r="W33" s="1605">
        <v>2700</v>
      </c>
      <c r="Y33" s="354" t="s">
        <v>33</v>
      </c>
    </row>
    <row r="34" spans="4:37" ht="95" customHeight="1" thickBot="1" x14ac:dyDescent="1.05">
      <c r="I34" s="562"/>
      <c r="J34" s="1606"/>
      <c r="K34" s="1606"/>
      <c r="L34" s="408"/>
      <c r="M34" s="408"/>
      <c r="P34" s="372"/>
      <c r="Q34" s="408"/>
      <c r="R34" s="408"/>
      <c r="V34" s="372"/>
      <c r="AB34" s="408"/>
      <c r="AF34" s="408"/>
    </row>
    <row r="35" spans="4:37" ht="10" customHeight="1" thickTop="1" thickBot="1" x14ac:dyDescent="1.05">
      <c r="D35" s="475"/>
      <c r="E35" s="702"/>
      <c r="F35" s="477"/>
      <c r="G35" s="476"/>
      <c r="H35" s="478"/>
      <c r="I35" s="471"/>
      <c r="J35" s="471"/>
      <c r="K35" s="1735"/>
      <c r="L35" s="477"/>
      <c r="M35" s="477"/>
      <c r="N35" s="476"/>
      <c r="O35" s="944"/>
      <c r="P35" s="465"/>
      <c r="Q35" s="919"/>
      <c r="V35" s="702"/>
      <c r="W35" s="477"/>
      <c r="X35" s="476"/>
      <c r="Y35" s="476"/>
      <c r="Z35" s="476"/>
      <c r="AA35" s="1751"/>
      <c r="AB35" s="1752"/>
      <c r="AC35" s="476"/>
      <c r="AD35" s="476"/>
      <c r="AE35" s="476"/>
      <c r="AF35" s="476"/>
      <c r="AG35" s="476"/>
      <c r="AH35" s="944"/>
    </row>
    <row r="36" spans="4:37" ht="98" customHeight="1" thickTop="1" x14ac:dyDescent="1">
      <c r="E36" s="916"/>
      <c r="F36" s="386"/>
      <c r="G36" s="386"/>
      <c r="H36" s="386"/>
      <c r="I36" s="1595"/>
      <c r="J36" s="564"/>
      <c r="K36" s="564"/>
      <c r="L36" s="386"/>
      <c r="M36" s="486"/>
      <c r="N36" s="481"/>
      <c r="O36" s="486"/>
      <c r="P36" s="914"/>
      <c r="Q36" s="919"/>
      <c r="V36" s="469"/>
      <c r="W36" s="386"/>
      <c r="X36" s="386"/>
      <c r="Y36" s="386"/>
      <c r="Z36" s="1104"/>
      <c r="AA36" s="386"/>
      <c r="AB36" s="387"/>
      <c r="AC36" s="541"/>
      <c r="AD36" s="540"/>
      <c r="AE36" s="540"/>
      <c r="AF36" s="390"/>
      <c r="AG36" s="484"/>
      <c r="AH36" s="916"/>
    </row>
    <row r="37" spans="4:37" ht="98" customHeight="1" x14ac:dyDescent="1">
      <c r="E37" s="916"/>
      <c r="F37" s="1867" t="s">
        <v>132</v>
      </c>
      <c r="G37" s="1867"/>
      <c r="H37" s="1867"/>
      <c r="I37" s="1867"/>
      <c r="J37" s="1867"/>
      <c r="K37" s="1867"/>
      <c r="L37" s="1868"/>
      <c r="M37" s="1683"/>
      <c r="N37" s="489" t="s">
        <v>152</v>
      </c>
      <c r="O37" s="1683"/>
      <c r="P37" s="493" t="s">
        <v>152</v>
      </c>
      <c r="Q37" s="916"/>
      <c r="V37" s="469"/>
      <c r="W37" s="1870" t="s">
        <v>132</v>
      </c>
      <c r="X37" s="1870"/>
      <c r="Y37" s="1870"/>
      <c r="Z37" s="1870"/>
      <c r="AA37" s="1870"/>
      <c r="AB37" s="1870"/>
      <c r="AC37" s="1870"/>
      <c r="AD37" s="1870"/>
      <c r="AE37" s="1874"/>
      <c r="AF37" s="930"/>
      <c r="AG37" s="1683" t="s">
        <v>152</v>
      </c>
      <c r="AH37" s="916"/>
    </row>
    <row r="38" spans="4:37" ht="98" customHeight="1" x14ac:dyDescent="1">
      <c r="E38" s="916"/>
      <c r="F38" s="1867" t="s">
        <v>153</v>
      </c>
      <c r="G38" s="1867"/>
      <c r="H38" s="1867"/>
      <c r="I38" s="1867"/>
      <c r="J38" s="1867"/>
      <c r="K38" s="1867"/>
      <c r="L38" s="1868"/>
      <c r="M38" s="1683"/>
      <c r="N38" s="489" t="s">
        <v>154</v>
      </c>
      <c r="O38" s="1683"/>
      <c r="P38" s="493" t="s">
        <v>154</v>
      </c>
      <c r="Q38" s="469"/>
      <c r="V38" s="469"/>
      <c r="W38" s="1870" t="s">
        <v>153</v>
      </c>
      <c r="X38" s="1870"/>
      <c r="Y38" s="1870"/>
      <c r="Z38" s="1870"/>
      <c r="AA38" s="1870"/>
      <c r="AB38" s="1870"/>
      <c r="AC38" s="1870"/>
      <c r="AD38" s="1870"/>
      <c r="AE38" s="1874"/>
      <c r="AF38" s="930"/>
      <c r="AG38" s="1661" t="s">
        <v>154</v>
      </c>
      <c r="AH38" s="916"/>
    </row>
    <row r="39" spans="4:37" ht="98" customHeight="1" x14ac:dyDescent="1">
      <c r="E39" s="916"/>
      <c r="F39" s="1867" t="s">
        <v>20</v>
      </c>
      <c r="G39" s="1867"/>
      <c r="H39" s="1867"/>
      <c r="I39" s="1867"/>
      <c r="J39" s="1867"/>
      <c r="K39" s="1867"/>
      <c r="L39" s="1868"/>
      <c r="M39" s="1683"/>
      <c r="N39" s="489" t="s">
        <v>20</v>
      </c>
      <c r="O39" s="1683"/>
      <c r="P39" s="493" t="s">
        <v>121</v>
      </c>
      <c r="Q39" s="916"/>
      <c r="V39" s="469"/>
      <c r="W39" s="1870" t="s">
        <v>125</v>
      </c>
      <c r="X39" s="1870"/>
      <c r="Y39" s="1870"/>
      <c r="Z39" s="1870"/>
      <c r="AA39" s="1870"/>
      <c r="AB39" s="1870"/>
      <c r="AC39" s="1870"/>
      <c r="AD39" s="1870"/>
      <c r="AE39" s="1870"/>
      <c r="AF39" s="1683"/>
      <c r="AG39" s="1661" t="s">
        <v>121</v>
      </c>
      <c r="AH39" s="916"/>
    </row>
    <row r="40" spans="4:37" ht="98" customHeight="1" x14ac:dyDescent="1">
      <c r="D40" s="475"/>
      <c r="E40" s="469"/>
      <c r="F40" s="1972">
        <v>2000</v>
      </c>
      <c r="G40" s="1972"/>
      <c r="H40" s="1972"/>
      <c r="I40" s="1972"/>
      <c r="J40" s="1972"/>
      <c r="K40" s="1972"/>
      <c r="L40" s="1876"/>
      <c r="M40" s="1683"/>
      <c r="N40" s="489">
        <v>450</v>
      </c>
      <c r="O40" s="1683"/>
      <c r="P40" s="1661">
        <v>300</v>
      </c>
      <c r="Q40" s="916"/>
      <c r="V40" s="469"/>
      <c r="W40" s="1872">
        <v>2400</v>
      </c>
      <c r="X40" s="1870"/>
      <c r="Y40" s="1870"/>
      <c r="Z40" s="1870"/>
      <c r="AA40" s="1870"/>
      <c r="AB40" s="1870"/>
      <c r="AC40" s="1870"/>
      <c r="AD40" s="1870"/>
      <c r="AE40" s="1874"/>
      <c r="AF40" s="1683"/>
      <c r="AG40" s="1661">
        <v>300</v>
      </c>
      <c r="AH40" s="916"/>
    </row>
    <row r="41" spans="4:37" ht="98" customHeight="1" x14ac:dyDescent="1">
      <c r="D41" s="475"/>
      <c r="E41" s="465"/>
      <c r="F41" s="508"/>
      <c r="G41" s="387"/>
      <c r="H41" s="387"/>
      <c r="I41" s="540"/>
      <c r="J41" s="387"/>
      <c r="K41" s="387"/>
      <c r="L41" s="482"/>
      <c r="M41" s="387"/>
      <c r="N41" s="489"/>
      <c r="O41" s="1683"/>
      <c r="P41" s="493"/>
      <c r="Q41" s="469"/>
      <c r="V41" s="469"/>
      <c r="W41" s="387"/>
      <c r="X41" s="1730"/>
      <c r="Y41" s="1730"/>
      <c r="Z41" s="1730"/>
      <c r="AA41" s="1730"/>
      <c r="AB41" s="1730"/>
      <c r="AC41" s="1730"/>
      <c r="AD41" s="1730"/>
      <c r="AE41" s="1731"/>
      <c r="AF41" s="1683"/>
      <c r="AG41" s="1661"/>
      <c r="AH41" s="916"/>
    </row>
    <row r="42" spans="4:37" ht="98" customHeight="1" thickBot="1" x14ac:dyDescent="1.05">
      <c r="D42" s="475"/>
      <c r="E42" s="469"/>
      <c r="F42" s="743"/>
      <c r="G42" s="500"/>
      <c r="H42" s="937"/>
      <c r="I42" s="1599"/>
      <c r="J42" s="960"/>
      <c r="K42" s="386"/>
      <c r="L42" s="496"/>
      <c r="M42" s="386"/>
      <c r="N42" s="495"/>
      <c r="O42" s="570"/>
      <c r="P42" s="484"/>
      <c r="Q42" s="466"/>
      <c r="R42" s="905"/>
      <c r="V42" s="469"/>
      <c r="W42" s="387"/>
      <c r="X42" s="387"/>
      <c r="Y42" s="387"/>
      <c r="Z42" s="387"/>
      <c r="AA42" s="387"/>
      <c r="AB42" s="387"/>
      <c r="AC42" s="387"/>
      <c r="AD42" s="387"/>
      <c r="AE42" s="387"/>
      <c r="AF42" s="387"/>
      <c r="AG42" s="484"/>
      <c r="AH42" s="916"/>
    </row>
    <row r="43" spans="4:37" ht="10" customHeight="1" thickTop="1" thickBot="1" x14ac:dyDescent="1.05">
      <c r="E43" s="928"/>
      <c r="F43" s="742"/>
      <c r="G43" s="467"/>
      <c r="H43" s="467"/>
      <c r="I43" s="1736"/>
      <c r="J43" s="476"/>
      <c r="K43" s="476"/>
      <c r="L43" s="467"/>
      <c r="M43" s="476"/>
      <c r="N43" s="476"/>
      <c r="O43" s="1736"/>
      <c r="P43" s="477"/>
      <c r="Q43" s="478"/>
      <c r="R43" s="905"/>
      <c r="V43" s="514"/>
      <c r="W43" s="477"/>
      <c r="X43" s="476"/>
      <c r="Y43" s="476"/>
      <c r="Z43" s="476"/>
      <c r="AA43" s="476"/>
      <c r="AB43" s="476"/>
      <c r="AC43" s="476"/>
      <c r="AD43" s="476"/>
      <c r="AE43" s="476"/>
      <c r="AF43" s="1753"/>
      <c r="AG43" s="1754"/>
      <c r="AH43" s="1750"/>
    </row>
    <row r="44" spans="4:37" ht="95" customHeight="1" thickTop="1" x14ac:dyDescent="1">
      <c r="K44" s="792"/>
      <c r="U44" s="356"/>
      <c r="V44" s="356"/>
      <c r="W44" s="356"/>
      <c r="X44" s="356"/>
      <c r="Y44" s="356"/>
      <c r="Z44" s="356"/>
      <c r="AA44" s="356"/>
      <c r="AB44" s="356"/>
      <c r="AC44" s="356"/>
      <c r="AD44" s="356"/>
      <c r="AE44" s="356"/>
      <c r="AF44" s="356"/>
      <c r="AG44" s="356"/>
      <c r="AH44" s="356"/>
      <c r="AI44" s="356"/>
      <c r="AJ44" s="408"/>
      <c r="AK44" s="408"/>
    </row>
    <row r="45" spans="4:37" ht="9" customHeight="1" x14ac:dyDescent="1">
      <c r="U45" s="408"/>
      <c r="V45" s="408"/>
      <c r="W45" s="408"/>
      <c r="X45" s="408"/>
      <c r="Y45" s="408"/>
      <c r="Z45" s="408"/>
      <c r="AA45" s="408"/>
      <c r="AB45" s="408"/>
      <c r="AC45" s="408"/>
      <c r="AD45" s="408"/>
      <c r="AE45" s="408"/>
      <c r="AF45" s="408"/>
      <c r="AG45" s="408"/>
      <c r="AH45" s="408"/>
      <c r="AI45" s="408"/>
      <c r="AJ45" s="408"/>
      <c r="AK45" s="408"/>
    </row>
    <row r="46" spans="4:37" ht="95" customHeight="1" x14ac:dyDescent="1">
      <c r="U46" s="408"/>
      <c r="V46" s="408"/>
      <c r="W46" s="408"/>
      <c r="X46" s="408"/>
      <c r="Y46" s="408"/>
      <c r="Z46" s="408"/>
      <c r="AA46" s="408"/>
      <c r="AB46" s="408"/>
      <c r="AC46" s="408"/>
      <c r="AD46" s="408"/>
      <c r="AE46" s="408"/>
      <c r="AF46" s="408"/>
      <c r="AG46" s="408"/>
      <c r="AH46" s="408"/>
      <c r="AI46" s="408"/>
      <c r="AJ46" s="408"/>
      <c r="AK46" s="408"/>
    </row>
    <row r="47" spans="4:37" ht="95" customHeight="1" x14ac:dyDescent="1">
      <c r="J47" s="357"/>
      <c r="K47" s="357"/>
      <c r="L47" s="357"/>
      <c r="M47" s="357"/>
      <c r="P47" s="357"/>
    </row>
    <row r="48" spans="4:37" ht="95" customHeight="1" x14ac:dyDescent="1"/>
    <row r="49" spans="18:19" ht="95" customHeight="1" x14ac:dyDescent="1"/>
    <row r="50" spans="18:19" ht="96" customHeight="1" x14ac:dyDescent="1"/>
    <row r="51" spans="18:19" ht="96" customHeight="1" x14ac:dyDescent="1"/>
    <row r="52" spans="18:19" ht="96" customHeight="1" x14ac:dyDescent="1"/>
    <row r="53" spans="18:19" ht="9" customHeight="1" x14ac:dyDescent="1">
      <c r="R53" s="961"/>
      <c r="S53" s="961"/>
    </row>
    <row r="54" spans="18:19" ht="95" customHeight="1" x14ac:dyDescent="1">
      <c r="R54" s="961"/>
      <c r="S54" s="961"/>
    </row>
    <row r="55" spans="18:19" ht="95" customHeight="1" x14ac:dyDescent="1"/>
    <row r="56" spans="18:19" ht="95" customHeight="1" x14ac:dyDescent="1">
      <c r="R56" s="961"/>
      <c r="S56" s="961"/>
    </row>
    <row r="57" spans="18:19" ht="95" customHeight="1" x14ac:dyDescent="1">
      <c r="R57" s="961"/>
      <c r="S57" s="961"/>
    </row>
    <row r="58" spans="18:19" ht="95" customHeight="1" x14ac:dyDescent="1">
      <c r="R58" s="961"/>
      <c r="S58" s="961"/>
    </row>
    <row r="59" spans="18:19" ht="95" customHeight="1" x14ac:dyDescent="1">
      <c r="R59" s="961"/>
      <c r="S59" s="961"/>
    </row>
    <row r="60" spans="18:19" ht="95" customHeight="1" x14ac:dyDescent="1"/>
    <row r="61" spans="18:19" ht="95" customHeight="1" x14ac:dyDescent="1">
      <c r="R61" s="961"/>
      <c r="S61" s="961"/>
    </row>
    <row r="62" spans="18:19" ht="95" customHeight="1" x14ac:dyDescent="1"/>
    <row r="63" spans="18:19" ht="10" customHeight="1" x14ac:dyDescent="1"/>
    <row r="66" spans="18:19" ht="95" customHeight="1" x14ac:dyDescent="1"/>
    <row r="67" spans="18:19" ht="10" customHeight="1" x14ac:dyDescent="1"/>
    <row r="68" spans="18:19" ht="95" customHeight="1" x14ac:dyDescent="1"/>
    <row r="69" spans="18:19" ht="95" customHeight="1" x14ac:dyDescent="1"/>
    <row r="70" spans="18:19" ht="95" customHeight="1" x14ac:dyDescent="1"/>
    <row r="71" spans="18:19" ht="95" customHeight="1" x14ac:dyDescent="1">
      <c r="R71" s="961"/>
      <c r="S71" s="961"/>
    </row>
    <row r="72" spans="18:19" ht="95" customHeight="1" x14ac:dyDescent="1">
      <c r="R72" s="961"/>
      <c r="S72" s="961"/>
    </row>
    <row r="73" spans="18:19" ht="95" customHeight="1" x14ac:dyDescent="1"/>
    <row r="74" spans="18:19" ht="95" customHeight="1" x14ac:dyDescent="1">
      <c r="R74" s="961"/>
      <c r="S74" s="961"/>
    </row>
    <row r="75" spans="18:19" ht="95" customHeight="1" x14ac:dyDescent="1">
      <c r="R75" s="961"/>
      <c r="S75" s="961"/>
    </row>
    <row r="76" spans="18:19" ht="95" customHeight="1" x14ac:dyDescent="1"/>
    <row r="77" spans="18:19" ht="95" customHeight="1" x14ac:dyDescent="1">
      <c r="R77" s="961"/>
      <c r="S77" s="961"/>
    </row>
    <row r="78" spans="18:19" ht="95" customHeight="1" x14ac:dyDescent="1">
      <c r="R78" s="961"/>
      <c r="S78" s="961"/>
    </row>
    <row r="79" spans="18:19" ht="95" customHeight="1" x14ac:dyDescent="1">
      <c r="R79" s="961"/>
      <c r="S79" s="961"/>
    </row>
    <row r="80" spans="18:19" ht="95" customHeight="1" x14ac:dyDescent="1">
      <c r="R80" s="961"/>
      <c r="S80" s="961"/>
    </row>
    <row r="81" spans="18:19" ht="95" customHeight="1" x14ac:dyDescent="1"/>
    <row r="82" spans="18:19" ht="95" customHeight="1" x14ac:dyDescent="1">
      <c r="R82" s="961"/>
      <c r="S82" s="961"/>
    </row>
    <row r="83" spans="18:19" ht="95" customHeight="1" x14ac:dyDescent="1"/>
    <row r="84" spans="18:19" ht="10" customHeight="1" x14ac:dyDescent="1"/>
  </sheetData>
  <mergeCells count="13">
    <mergeCell ref="F38:L38"/>
    <mergeCell ref="F39:L39"/>
    <mergeCell ref="F40:L40"/>
    <mergeCell ref="W37:AE37"/>
    <mergeCell ref="W38:AE38"/>
    <mergeCell ref="W39:AE39"/>
    <mergeCell ref="W40:AE40"/>
    <mergeCell ref="F37:L37"/>
    <mergeCell ref="F20:P26"/>
    <mergeCell ref="AC21:AE21"/>
    <mergeCell ref="AC22:AE22"/>
    <mergeCell ref="AC23:AE23"/>
    <mergeCell ref="AC24:AE24"/>
  </mergeCells>
  <printOptions horizontalCentered="1"/>
  <pageMargins left="0.25" right="0.25" top="0.75" bottom="0.75" header="0.3" footer="0.3"/>
  <pageSetup scale="13" orientation="landscape" horizontalDpi="1200" verticalDpi="1200" r:id="rId1"/>
  <rowBreaks count="1" manualBreakCount="1">
    <brk id="56" min="1" max="5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0C3D3-DA04-634D-AD2D-72A0F188E201}">
  <dimension ref="B1:AV57"/>
  <sheetViews>
    <sheetView view="pageBreakPreview" topLeftCell="C1" zoomScale="30" zoomScaleNormal="20" zoomScaleSheetLayoutView="30" zoomScalePageLayoutView="30" workbookViewId="0">
      <selection activeCell="E19" sqref="E19:S19"/>
    </sheetView>
  </sheetViews>
  <sheetFormatPr baseColWidth="10" defaultColWidth="10.6640625" defaultRowHeight="50" customHeight="1" x14ac:dyDescent="1"/>
  <cols>
    <col min="1" max="1" width="17.33203125" style="354" customWidth="1"/>
    <col min="2" max="2" width="2.33203125" style="354" customWidth="1"/>
    <col min="3" max="3" width="55.83203125" style="354" customWidth="1"/>
    <col min="4" max="4" width="2.1640625" style="354" customWidth="1"/>
    <col min="5" max="5" width="55.83203125" style="354" customWidth="1"/>
    <col min="6" max="6" width="2.33203125" style="354" customWidth="1"/>
    <col min="7" max="7" width="55.83203125" style="354" customWidth="1"/>
    <col min="8" max="8" width="2.33203125" style="354" customWidth="1"/>
    <col min="9" max="9" width="19.5" style="354" customWidth="1"/>
    <col min="10" max="10" width="2.33203125" style="354" customWidth="1"/>
    <col min="11" max="12" width="24" style="354" customWidth="1"/>
    <col min="13" max="13" width="55.83203125" style="354" customWidth="1"/>
    <col min="14" max="14" width="2.33203125" style="354" customWidth="1"/>
    <col min="15" max="15" width="55.83203125" style="354" customWidth="1"/>
    <col min="16" max="16" width="2.33203125" style="354" customWidth="1"/>
    <col min="17" max="17" width="55.83203125" style="354" customWidth="1"/>
    <col min="18" max="18" width="2.33203125" style="354" customWidth="1"/>
    <col min="19" max="19" width="55.83203125" style="354" customWidth="1"/>
    <col min="20" max="20" width="2.1640625" style="354" customWidth="1"/>
    <col min="21" max="21" width="55.83203125" style="354" customWidth="1"/>
    <col min="22" max="22" width="2.5" style="354" customWidth="1"/>
    <col min="23" max="23" width="55.83203125" style="354" customWidth="1"/>
    <col min="24" max="24" width="2.1640625" style="354" customWidth="1"/>
    <col min="25" max="25" width="55.6640625" style="354" customWidth="1"/>
    <col min="26" max="26" width="2.5" style="354" customWidth="1"/>
    <col min="27" max="27" width="55.6640625" style="354" customWidth="1"/>
    <col min="28" max="28" width="2.5" style="354" customWidth="1"/>
    <col min="29" max="29" width="19.5" style="354" customWidth="1"/>
    <col min="30" max="30" width="2.5" style="354" customWidth="1"/>
    <col min="31" max="31" width="23.6640625" style="354" customWidth="1"/>
    <col min="32" max="32" width="24.1640625" style="354" customWidth="1"/>
    <col min="33" max="33" width="55.83203125" style="354" customWidth="1"/>
    <col min="34" max="34" width="2.1640625" style="354" customWidth="1"/>
    <col min="35" max="35" width="55.6640625" style="354" customWidth="1"/>
    <col min="36" max="36" width="2.5" style="354" customWidth="1"/>
    <col min="37" max="37" width="55.6640625" style="354" customWidth="1"/>
    <col min="38" max="38" width="2.5" style="354" customWidth="1"/>
    <col min="39" max="39" width="55.6640625" style="354" customWidth="1"/>
    <col min="40" max="40" width="2.1640625" style="354" customWidth="1"/>
    <col min="41" max="16384" width="10.6640625" style="354"/>
  </cols>
  <sheetData>
    <row r="1" spans="2:48" ht="95" customHeight="1" x14ac:dyDescent="1">
      <c r="E1" s="354" t="s">
        <v>254</v>
      </c>
    </row>
    <row r="2" spans="2:48" ht="95" customHeight="1" x14ac:dyDescent="1"/>
    <row r="3" spans="2:48" ht="95" customHeight="1" x14ac:dyDescent="1">
      <c r="B3" s="1715"/>
      <c r="C3" s="1715"/>
      <c r="D3" s="1715"/>
      <c r="E3" s="363" t="s">
        <v>313</v>
      </c>
      <c r="F3" s="364"/>
      <c r="G3" s="364"/>
      <c r="H3" s="364"/>
      <c r="I3" s="364"/>
      <c r="J3" s="364"/>
      <c r="K3" s="364"/>
      <c r="L3" s="364"/>
      <c r="M3" s="364"/>
      <c r="N3" s="364"/>
      <c r="O3" s="364"/>
      <c r="P3" s="364"/>
      <c r="Q3" s="364"/>
      <c r="R3" s="364"/>
      <c r="S3" s="364"/>
      <c r="T3" s="364"/>
      <c r="U3" s="364"/>
      <c r="V3" s="364"/>
      <c r="W3" s="364"/>
      <c r="X3" s="364"/>
      <c r="Y3" s="364"/>
      <c r="Z3" s="364"/>
      <c r="AA3" s="364"/>
      <c r="AB3" s="364"/>
      <c r="AC3" s="364"/>
      <c r="AD3" s="364"/>
      <c r="AE3" s="364"/>
      <c r="AF3" s="364"/>
      <c r="AG3" s="364"/>
      <c r="AH3" s="364"/>
      <c r="AI3" s="364"/>
      <c r="AJ3" s="364"/>
      <c r="AK3" s="364"/>
      <c r="AL3" s="364"/>
      <c r="AM3" s="364"/>
      <c r="AN3" s="364"/>
      <c r="AO3" s="364"/>
      <c r="AP3" s="364"/>
      <c r="AQ3" s="364"/>
      <c r="AR3" s="364"/>
      <c r="AS3" s="364"/>
      <c r="AT3" s="364"/>
      <c r="AU3" s="364"/>
      <c r="AV3" s="364"/>
    </row>
    <row r="4" spans="2:48" ht="95" customHeight="1" x14ac:dyDescent="1"/>
    <row r="5" spans="2:48" ht="95" customHeight="1" x14ac:dyDescent="1">
      <c r="E5" s="355" t="s">
        <v>160</v>
      </c>
    </row>
    <row r="6" spans="2:48" ht="95" customHeight="1" x14ac:dyDescent="1"/>
    <row r="7" spans="2:48" ht="95" customHeight="1" x14ac:dyDescent="1">
      <c r="E7" s="1700" t="s">
        <v>358</v>
      </c>
      <c r="Y7" s="1700" t="s">
        <v>324</v>
      </c>
    </row>
    <row r="8" spans="2:48" ht="95" customHeight="1" x14ac:dyDescent="1">
      <c r="E8" s="354" t="s">
        <v>179</v>
      </c>
      <c r="Y8" s="354" t="s">
        <v>304</v>
      </c>
      <c r="AC8" s="359"/>
      <c r="AD8" s="359"/>
      <c r="AE8" s="359"/>
      <c r="AF8" s="359"/>
    </row>
    <row r="9" spans="2:48" ht="95" customHeight="1" x14ac:dyDescent="1">
      <c r="E9" s="629">
        <v>6000</v>
      </c>
      <c r="G9" s="354" t="s">
        <v>33</v>
      </c>
      <c r="Y9" s="629">
        <v>6000</v>
      </c>
      <c r="AA9" s="354" t="s">
        <v>33</v>
      </c>
      <c r="AD9" s="359"/>
      <c r="AE9" s="359"/>
      <c r="AF9" s="359"/>
    </row>
    <row r="10" spans="2:48" ht="95" customHeight="1" thickBot="1" x14ac:dyDescent="1.05">
      <c r="F10" s="372"/>
      <c r="G10" s="372"/>
      <c r="O10" s="1674"/>
    </row>
    <row r="11" spans="2:48" ht="9" customHeight="1" thickTop="1" thickBot="1" x14ac:dyDescent="1.05">
      <c r="C11" s="475"/>
      <c r="D11" s="478"/>
      <c r="E11" s="476"/>
      <c r="F11" s="467"/>
      <c r="G11" s="742"/>
      <c r="H11" s="476"/>
      <c r="I11" s="476"/>
      <c r="J11" s="1737"/>
      <c r="K11" s="476"/>
      <c r="L11" s="476"/>
      <c r="M11" s="476"/>
      <c r="N11" s="476"/>
      <c r="O11" s="476"/>
      <c r="P11" s="476"/>
      <c r="Q11" s="1738"/>
      <c r="R11" s="476"/>
      <c r="S11" s="476"/>
      <c r="T11" s="478"/>
      <c r="X11" s="944"/>
      <c r="Y11" s="476"/>
      <c r="Z11" s="1738"/>
      <c r="AA11" s="476"/>
      <c r="AB11" s="476"/>
      <c r="AC11" s="476"/>
      <c r="AD11" s="1737"/>
      <c r="AE11" s="476"/>
      <c r="AF11" s="476"/>
      <c r="AG11" s="476"/>
      <c r="AH11" s="476"/>
      <c r="AI11" s="476"/>
      <c r="AJ11" s="476"/>
      <c r="AK11" s="1738"/>
      <c r="AL11" s="476"/>
      <c r="AM11" s="478"/>
      <c r="AN11" s="478"/>
    </row>
    <row r="12" spans="2:48" ht="95" customHeight="1" thickTop="1" x14ac:dyDescent="1">
      <c r="C12" s="475"/>
      <c r="D12" s="469"/>
      <c r="E12" s="772"/>
      <c r="F12" s="772"/>
      <c r="G12" s="772"/>
      <c r="H12" s="772"/>
      <c r="I12" s="772"/>
      <c r="J12" s="772"/>
      <c r="K12" s="772"/>
      <c r="L12" s="772"/>
      <c r="M12" s="772"/>
      <c r="N12" s="772"/>
      <c r="O12" s="1985" t="s">
        <v>308</v>
      </c>
      <c r="P12" s="772"/>
      <c r="Q12" s="772"/>
      <c r="R12" s="772"/>
      <c r="S12" s="772"/>
      <c r="T12" s="1761"/>
      <c r="X12" s="916"/>
      <c r="Y12" s="1867" t="s">
        <v>26</v>
      </c>
      <c r="Z12" s="1867"/>
      <c r="AA12" s="1867"/>
      <c r="AB12" s="386"/>
      <c r="AC12" s="1978" t="s">
        <v>208</v>
      </c>
      <c r="AD12" s="1669"/>
      <c r="AE12" s="1767"/>
      <c r="AF12" s="1767"/>
      <c r="AG12" s="1768"/>
      <c r="AH12" s="386"/>
      <c r="AI12" s="2011" t="s">
        <v>308</v>
      </c>
      <c r="AJ12" s="386"/>
      <c r="AK12" s="1768"/>
      <c r="AL12" s="386"/>
      <c r="AM12" s="487"/>
      <c r="AN12" s="702"/>
    </row>
    <row r="13" spans="2:48" ht="95" customHeight="1" x14ac:dyDescent="1">
      <c r="C13" s="475"/>
      <c r="D13" s="469"/>
      <c r="E13" s="772"/>
      <c r="F13" s="400"/>
      <c r="G13" s="400"/>
      <c r="H13" s="400"/>
      <c r="I13" s="400"/>
      <c r="J13" s="400"/>
      <c r="K13" s="400"/>
      <c r="L13" s="400"/>
      <c r="M13" s="400"/>
      <c r="N13" s="400"/>
      <c r="O13" s="1986"/>
      <c r="P13" s="400"/>
      <c r="Q13" s="400"/>
      <c r="R13" s="400"/>
      <c r="S13" s="400"/>
      <c r="T13" s="1762"/>
      <c r="X13" s="916"/>
      <c r="Y13" s="2003" t="s">
        <v>121</v>
      </c>
      <c r="Z13" s="2003"/>
      <c r="AA13" s="2003"/>
      <c r="AB13" s="1683"/>
      <c r="AC13" s="1978"/>
      <c r="AD13" s="1669"/>
      <c r="AE13" s="1679"/>
      <c r="AF13" s="1867" t="s">
        <v>152</v>
      </c>
      <c r="AG13" s="1868"/>
      <c r="AH13" s="1657"/>
      <c r="AI13" s="2012"/>
      <c r="AJ13" s="1683"/>
      <c r="AK13" s="1712" t="s">
        <v>152</v>
      </c>
      <c r="AL13" s="645"/>
      <c r="AM13" s="493" t="s">
        <v>152</v>
      </c>
      <c r="AN13" s="1654"/>
    </row>
    <row r="14" spans="2:48" ht="105" customHeight="1" x14ac:dyDescent="1">
      <c r="C14" s="475"/>
      <c r="D14" s="469"/>
      <c r="E14" s="772"/>
      <c r="F14" s="400"/>
      <c r="G14" s="400"/>
      <c r="H14" s="400"/>
      <c r="I14" s="400"/>
      <c r="J14" s="400"/>
      <c r="K14" s="400"/>
      <c r="L14" s="400"/>
      <c r="M14" s="400"/>
      <c r="N14" s="400"/>
      <c r="O14" s="1986"/>
      <c r="P14" s="400"/>
      <c r="Q14" s="400"/>
      <c r="R14" s="400"/>
      <c r="S14" s="400"/>
      <c r="T14" s="1762"/>
      <c r="X14" s="916"/>
      <c r="Y14" s="1938">
        <v>300</v>
      </c>
      <c r="Z14" s="1938"/>
      <c r="AA14" s="1938"/>
      <c r="AB14" s="1662"/>
      <c r="AC14" s="1978"/>
      <c r="AD14" s="1669"/>
      <c r="AE14" s="1679"/>
      <c r="AF14" s="1870" t="s">
        <v>154</v>
      </c>
      <c r="AG14" s="1868"/>
      <c r="AH14" s="1659"/>
      <c r="AI14" s="2012"/>
      <c r="AJ14" s="1683"/>
      <c r="AK14" s="1712" t="s">
        <v>154</v>
      </c>
      <c r="AL14" s="1683"/>
      <c r="AM14" s="493" t="s">
        <v>154</v>
      </c>
      <c r="AN14" s="1654"/>
    </row>
    <row r="15" spans="2:48" ht="95" customHeight="1" thickBot="1" x14ac:dyDescent="1.05">
      <c r="C15" s="475"/>
      <c r="D15" s="469"/>
      <c r="E15" s="772"/>
      <c r="F15" s="400"/>
      <c r="G15" s="400"/>
      <c r="H15" s="400"/>
      <c r="I15" s="400"/>
      <c r="J15" s="400"/>
      <c r="K15" s="1689"/>
      <c r="L15" s="400"/>
      <c r="M15" s="400"/>
      <c r="N15" s="400"/>
      <c r="O15" s="1986"/>
      <c r="P15" s="400"/>
      <c r="Q15" s="400"/>
      <c r="R15" s="400"/>
      <c r="S15" s="400"/>
      <c r="T15" s="1762"/>
      <c r="X15" s="916"/>
      <c r="Y15" s="1867" t="s">
        <v>26</v>
      </c>
      <c r="Z15" s="1867"/>
      <c r="AA15" s="1867"/>
      <c r="AB15" s="1683"/>
      <c r="AC15" s="1978"/>
      <c r="AD15" s="1669"/>
      <c r="AE15" s="387"/>
      <c r="AF15" s="1867" t="s">
        <v>20</v>
      </c>
      <c r="AG15" s="1868"/>
      <c r="AH15" s="1657"/>
      <c r="AI15" s="2012"/>
      <c r="AJ15" s="1683"/>
      <c r="AK15" s="1712" t="s">
        <v>20</v>
      </c>
      <c r="AL15" s="1683"/>
      <c r="AM15" s="493" t="s">
        <v>121</v>
      </c>
      <c r="AN15" s="1654"/>
    </row>
    <row r="16" spans="2:48" ht="95" customHeight="1" thickTop="1" thickBot="1" x14ac:dyDescent="1.05">
      <c r="D16" s="919"/>
      <c r="E16" s="772"/>
      <c r="F16" s="400"/>
      <c r="G16" s="400"/>
      <c r="H16" s="400"/>
      <c r="I16" s="400"/>
      <c r="J16" s="400"/>
      <c r="K16" s="1689"/>
      <c r="L16" s="400"/>
      <c r="M16" s="400"/>
      <c r="N16" s="400"/>
      <c r="O16" s="1986"/>
      <c r="P16" s="400"/>
      <c r="Q16" s="400"/>
      <c r="R16" s="400"/>
      <c r="S16" s="400"/>
      <c r="T16" s="1762"/>
      <c r="X16" s="919"/>
      <c r="Y16" s="2003" t="s">
        <v>20</v>
      </c>
      <c r="Z16" s="2003"/>
      <c r="AA16" s="2003"/>
      <c r="AB16" s="386"/>
      <c r="AC16" s="1978"/>
      <c r="AD16" s="1669"/>
      <c r="AE16" s="387"/>
      <c r="AF16" s="1881">
        <v>450</v>
      </c>
      <c r="AG16" s="2002"/>
      <c r="AH16" s="1657"/>
      <c r="AI16" s="2012"/>
      <c r="AJ16" s="1683"/>
      <c r="AK16" s="1712">
        <v>450</v>
      </c>
      <c r="AL16" s="1683"/>
      <c r="AM16" s="493">
        <v>300</v>
      </c>
      <c r="AN16" s="1654"/>
    </row>
    <row r="17" spans="2:40" ht="95" customHeight="1" thickTop="1" thickBot="1" x14ac:dyDescent="1.05">
      <c r="D17" s="928"/>
      <c r="E17" s="772"/>
      <c r="F17" s="400"/>
      <c r="G17" s="400"/>
      <c r="H17" s="400"/>
      <c r="I17" s="400"/>
      <c r="J17" s="400"/>
      <c r="K17" s="1689"/>
      <c r="L17" s="400"/>
      <c r="M17" s="400"/>
      <c r="N17" s="400"/>
      <c r="O17" s="1986"/>
      <c r="P17" s="400"/>
      <c r="Q17" s="400"/>
      <c r="R17" s="400"/>
      <c r="S17" s="400"/>
      <c r="T17" s="1762"/>
      <c r="X17" s="916"/>
      <c r="Y17" s="1938">
        <v>450</v>
      </c>
      <c r="Z17" s="1938"/>
      <c r="AA17" s="1938"/>
      <c r="AB17" s="1764"/>
      <c r="AC17" s="1978"/>
      <c r="AD17" s="1669"/>
      <c r="AE17" s="1787"/>
      <c r="AF17" s="1689"/>
      <c r="AG17" s="594"/>
      <c r="AH17" s="1790"/>
      <c r="AI17" s="2012"/>
      <c r="AJ17" s="594"/>
      <c r="AK17" s="1780"/>
      <c r="AL17" s="486"/>
      <c r="AM17" s="2006"/>
      <c r="AN17" s="919"/>
    </row>
    <row r="18" spans="2:40" ht="95" customHeight="1" thickTop="1" thickBot="1" x14ac:dyDescent="1.05">
      <c r="D18" s="928"/>
      <c r="E18" s="772"/>
      <c r="F18" s="400"/>
      <c r="G18" s="400"/>
      <c r="H18" s="400"/>
      <c r="I18" s="400"/>
      <c r="J18" s="400"/>
      <c r="K18" s="1689"/>
      <c r="L18" s="400"/>
      <c r="M18" s="400"/>
      <c r="N18" s="400"/>
      <c r="O18" s="1986"/>
      <c r="P18" s="400"/>
      <c r="Q18" s="400"/>
      <c r="R18" s="400"/>
      <c r="S18" s="400"/>
      <c r="T18" s="758"/>
      <c r="U18" s="357"/>
      <c r="X18" s="944"/>
      <c r="Y18" s="1657"/>
      <c r="Z18" s="1683"/>
      <c r="AA18" s="1683"/>
      <c r="AB18" s="1763"/>
      <c r="AC18" s="1978"/>
      <c r="AD18" s="1669"/>
      <c r="AE18" s="1788"/>
      <c r="AF18" s="1791"/>
      <c r="AG18" s="1789"/>
      <c r="AH18" s="1789"/>
      <c r="AI18" s="2013"/>
      <c r="AJ18" s="387"/>
      <c r="AK18" s="387"/>
      <c r="AL18" s="1809"/>
      <c r="AM18" s="2007"/>
      <c r="AN18" s="1769"/>
    </row>
    <row r="19" spans="2:40" ht="143" customHeight="1" thickTop="1" thickBot="1" x14ac:dyDescent="1.05">
      <c r="C19" s="475"/>
      <c r="D19" s="788"/>
      <c r="E19" s="1990" t="s">
        <v>133</v>
      </c>
      <c r="F19" s="1918"/>
      <c r="G19" s="1918"/>
      <c r="H19" s="1918"/>
      <c r="I19" s="1918"/>
      <c r="J19" s="1918"/>
      <c r="K19" s="1918"/>
      <c r="L19" s="1918"/>
      <c r="M19" s="1918"/>
      <c r="N19" s="1918"/>
      <c r="O19" s="1918"/>
      <c r="P19" s="1918"/>
      <c r="Q19" s="1918"/>
      <c r="R19" s="1918"/>
      <c r="S19" s="1918"/>
      <c r="T19" s="1654"/>
      <c r="U19" s="369"/>
      <c r="X19" s="944"/>
      <c r="Y19" s="1890" t="s">
        <v>26</v>
      </c>
      <c r="Z19" s="1890"/>
      <c r="AA19" s="1890"/>
      <c r="AB19" s="1699"/>
      <c r="AC19" s="1978"/>
      <c r="AD19" s="1669"/>
      <c r="AE19" s="1979" t="s">
        <v>209</v>
      </c>
      <c r="AF19" s="1980"/>
      <c r="AG19" s="1980"/>
      <c r="AH19" s="1980"/>
      <c r="AI19" s="1980"/>
      <c r="AJ19" s="1980"/>
      <c r="AK19" s="1980"/>
      <c r="AL19" s="1980"/>
      <c r="AM19" s="1981"/>
      <c r="AN19" s="469"/>
    </row>
    <row r="20" spans="2:40" ht="95" customHeight="1" thickTop="1" x14ac:dyDescent="1">
      <c r="D20" s="916"/>
      <c r="E20" s="1657"/>
      <c r="F20" s="1683"/>
      <c r="G20" s="1683"/>
      <c r="H20" s="1683"/>
      <c r="I20" s="1683"/>
      <c r="J20" s="1683"/>
      <c r="K20" s="1683"/>
      <c r="L20" s="1683"/>
      <c r="M20" s="1683"/>
      <c r="N20" s="1683"/>
      <c r="O20" s="1683"/>
      <c r="P20" s="1683"/>
      <c r="Q20" s="1683"/>
      <c r="R20" s="1683"/>
      <c r="S20" s="1683"/>
      <c r="T20" s="1654"/>
      <c r="X20" s="916"/>
      <c r="Y20" s="1867" t="s">
        <v>125</v>
      </c>
      <c r="Z20" s="1867"/>
      <c r="AA20" s="1867"/>
      <c r="AB20" s="1683"/>
      <c r="AC20" s="1978"/>
      <c r="AD20" s="1669"/>
      <c r="AE20" s="1635"/>
      <c r="AF20" s="387"/>
      <c r="AG20" s="390"/>
      <c r="AH20" s="387"/>
      <c r="AI20" s="387"/>
      <c r="AJ20" s="387"/>
      <c r="AK20" s="484"/>
      <c r="AL20" s="390"/>
      <c r="AM20" s="387"/>
      <c r="AN20" s="932"/>
    </row>
    <row r="21" spans="2:40" ht="95" customHeight="1" thickBot="1" x14ac:dyDescent="1.05">
      <c r="D21" s="928"/>
      <c r="E21" s="1657"/>
      <c r="F21" s="1683"/>
      <c r="G21" s="1683"/>
      <c r="H21" s="1683"/>
      <c r="I21" s="1683"/>
      <c r="J21" s="1683"/>
      <c r="K21" s="1683"/>
      <c r="L21" s="1683"/>
      <c r="M21" s="1683"/>
      <c r="N21" s="1683"/>
      <c r="O21" s="1683"/>
      <c r="P21" s="1683"/>
      <c r="Q21" s="1683"/>
      <c r="R21" s="1683"/>
      <c r="S21" s="1683"/>
      <c r="T21" s="1654"/>
      <c r="U21" s="961"/>
      <c r="X21" s="928"/>
      <c r="Y21" s="2016">
        <v>500</v>
      </c>
      <c r="Z21" s="1922"/>
      <c r="AA21" s="1922"/>
      <c r="AB21" s="1667"/>
      <c r="AC21" s="1978"/>
      <c r="AD21" s="1669"/>
      <c r="AE21" s="1635"/>
      <c r="AF21" s="1867" t="s">
        <v>152</v>
      </c>
      <c r="AG21" s="1867"/>
      <c r="AH21" s="489"/>
      <c r="AI21" s="1665" t="s">
        <v>152</v>
      </c>
      <c r="AJ21" s="1658"/>
      <c r="AK21" s="489" t="s">
        <v>152</v>
      </c>
      <c r="AL21" s="1658"/>
      <c r="AM21" s="1660" t="s">
        <v>152</v>
      </c>
      <c r="AN21" s="1654"/>
    </row>
    <row r="22" spans="2:40" ht="95" customHeight="1" thickTop="1" x14ac:dyDescent="1">
      <c r="C22" s="475"/>
      <c r="D22" s="919"/>
      <c r="E22" s="1657"/>
      <c r="F22" s="1683"/>
      <c r="G22" s="1683"/>
      <c r="H22" s="1683"/>
      <c r="I22" s="1683"/>
      <c r="J22" s="1683"/>
      <c r="K22" s="1683"/>
      <c r="L22" s="1683"/>
      <c r="M22" s="1683"/>
      <c r="N22" s="1683"/>
      <c r="O22" s="1683"/>
      <c r="P22" s="1683"/>
      <c r="Q22" s="1683"/>
      <c r="R22" s="1683"/>
      <c r="S22" s="1683"/>
      <c r="T22" s="1654"/>
      <c r="U22" s="961"/>
      <c r="X22" s="916"/>
      <c r="Y22" s="1666"/>
      <c r="Z22" s="1666"/>
      <c r="AA22" s="1666"/>
      <c r="AB22" s="1766"/>
      <c r="AC22" s="1978"/>
      <c r="AD22" s="1669"/>
      <c r="AE22" s="1635"/>
      <c r="AF22" s="1886" t="s">
        <v>154</v>
      </c>
      <c r="AG22" s="1869"/>
      <c r="AH22" s="1665"/>
      <c r="AI22" s="1706" t="s">
        <v>153</v>
      </c>
      <c r="AJ22" s="1658"/>
      <c r="AK22" s="1706" t="s">
        <v>153</v>
      </c>
      <c r="AL22" s="1658"/>
      <c r="AM22" s="1655" t="s">
        <v>153</v>
      </c>
      <c r="AN22" s="1654"/>
    </row>
    <row r="23" spans="2:40" ht="95" customHeight="1" thickBot="1" x14ac:dyDescent="1.05">
      <c r="C23" s="475"/>
      <c r="D23" s="469"/>
      <c r="E23" s="1657"/>
      <c r="F23" s="1683"/>
      <c r="G23" s="1683"/>
      <c r="H23" s="1683"/>
      <c r="I23" s="1683"/>
      <c r="J23" s="1683"/>
      <c r="K23" s="1683"/>
      <c r="L23" s="1683"/>
      <c r="M23" s="1683"/>
      <c r="N23" s="1683"/>
      <c r="O23" s="1683"/>
      <c r="P23" s="1683"/>
      <c r="Q23" s="1683"/>
      <c r="R23" s="1683"/>
      <c r="S23" s="1683"/>
      <c r="T23" s="1654"/>
      <c r="U23" s="961"/>
      <c r="X23" s="916"/>
      <c r="Y23" s="1765"/>
      <c r="Z23" s="1765"/>
      <c r="AA23" s="1765"/>
      <c r="AB23" s="1657"/>
      <c r="AC23" s="1978"/>
      <c r="AD23" s="1669"/>
      <c r="AE23" s="1635"/>
      <c r="AF23" s="1886" t="s">
        <v>20</v>
      </c>
      <c r="AG23" s="1869"/>
      <c r="AH23" s="1728"/>
      <c r="AI23" s="1721" t="s">
        <v>121</v>
      </c>
      <c r="AJ23" s="1658"/>
      <c r="AK23" s="489" t="s">
        <v>20</v>
      </c>
      <c r="AL23" s="1683"/>
      <c r="AM23" s="493" t="s">
        <v>121</v>
      </c>
      <c r="AN23" s="1654"/>
    </row>
    <row r="24" spans="2:40" ht="96" customHeight="1" thickTop="1" thickBot="1" x14ac:dyDescent="1.05">
      <c r="C24" s="475"/>
      <c r="D24" s="788"/>
      <c r="E24" s="1657"/>
      <c r="F24" s="1683"/>
      <c r="G24" s="1683"/>
      <c r="H24" s="1683"/>
      <c r="I24" s="1683"/>
      <c r="J24" s="1683"/>
      <c r="K24" s="1683"/>
      <c r="L24" s="1683"/>
      <c r="M24" s="1683"/>
      <c r="N24" s="1683"/>
      <c r="O24" s="1683"/>
      <c r="P24" s="1683"/>
      <c r="Q24" s="1683"/>
      <c r="R24" s="1683"/>
      <c r="S24" s="1683"/>
      <c r="T24" s="1654"/>
      <c r="X24" s="916"/>
      <c r="Y24" s="1991" t="s">
        <v>26</v>
      </c>
      <c r="Z24" s="1991"/>
      <c r="AA24" s="1991"/>
      <c r="AB24" s="452"/>
      <c r="AC24" s="1978"/>
      <c r="AD24" s="1669"/>
      <c r="AE24" s="1636"/>
      <c r="AF24" s="2014">
        <v>450</v>
      </c>
      <c r="AG24" s="2015"/>
      <c r="AH24" s="1729"/>
      <c r="AI24" s="1665">
        <v>300</v>
      </c>
      <c r="AJ24" s="1658"/>
      <c r="AK24" s="489">
        <v>450</v>
      </c>
      <c r="AL24" s="1683"/>
      <c r="AM24" s="493">
        <v>300</v>
      </c>
      <c r="AN24" s="944"/>
    </row>
    <row r="25" spans="2:40" ht="96" customHeight="1" thickTop="1" thickBot="1" x14ac:dyDescent="1.05">
      <c r="C25" s="475"/>
      <c r="D25" s="944"/>
      <c r="E25" s="387"/>
      <c r="F25" s="387"/>
      <c r="G25" s="387"/>
      <c r="H25" s="387"/>
      <c r="I25" s="387"/>
      <c r="J25" s="387"/>
      <c r="K25" s="387"/>
      <c r="L25" s="387"/>
      <c r="M25" s="387"/>
      <c r="N25" s="387"/>
      <c r="O25" s="387"/>
      <c r="P25" s="387"/>
      <c r="Q25" s="387"/>
      <c r="R25" s="387"/>
      <c r="S25" s="387"/>
      <c r="T25" s="1656"/>
      <c r="X25" s="944"/>
      <c r="Y25" s="1867" t="s">
        <v>121</v>
      </c>
      <c r="Z25" s="1867"/>
      <c r="AA25" s="1867"/>
      <c r="AB25" s="387"/>
      <c r="AC25" s="1978"/>
      <c r="AD25" s="1669"/>
      <c r="AE25" s="1634"/>
      <c r="AF25" s="1679"/>
      <c r="AG25" s="390"/>
      <c r="AH25" s="387"/>
      <c r="AI25" s="387"/>
      <c r="AJ25" s="390"/>
      <c r="AK25" s="387"/>
      <c r="AL25" s="387"/>
      <c r="AM25" s="484"/>
      <c r="AN25" s="928"/>
    </row>
    <row r="26" spans="2:40" ht="96" customHeight="1" thickTop="1" thickBot="1" x14ac:dyDescent="1.05">
      <c r="C26" s="475"/>
      <c r="D26" s="788"/>
      <c r="E26" s="387"/>
      <c r="F26" s="387"/>
      <c r="G26" s="387"/>
      <c r="H26" s="387"/>
      <c r="I26" s="387"/>
      <c r="J26" s="387"/>
      <c r="K26" s="387"/>
      <c r="L26" s="387"/>
      <c r="M26" s="387"/>
      <c r="N26" s="387"/>
      <c r="O26" s="387"/>
      <c r="P26" s="387"/>
      <c r="Q26" s="387"/>
      <c r="R26" s="387"/>
      <c r="S26" s="400"/>
      <c r="T26" s="1654"/>
      <c r="X26" s="916"/>
      <c r="Y26" s="1867">
        <v>300</v>
      </c>
      <c r="Z26" s="1867"/>
      <c r="AA26" s="1867"/>
      <c r="AB26" s="387"/>
      <c r="AC26" s="1978"/>
      <c r="AD26" s="1669"/>
      <c r="AE26" s="1767"/>
      <c r="AF26" s="1770"/>
      <c r="AG26" s="1771"/>
      <c r="AH26" s="500"/>
      <c r="AI26" s="500"/>
      <c r="AJ26" s="497"/>
      <c r="AK26" s="938"/>
      <c r="AL26" s="390"/>
      <c r="AM26" s="505"/>
      <c r="AN26" s="944"/>
    </row>
    <row r="27" spans="2:40" ht="9" customHeight="1" thickTop="1" thickBot="1" x14ac:dyDescent="1.05">
      <c r="B27" s="961"/>
      <c r="D27" s="477"/>
      <c r="E27" s="477"/>
      <c r="F27" s="476"/>
      <c r="G27" s="476"/>
      <c r="H27" s="476"/>
      <c r="I27" s="476"/>
      <c r="J27" s="476"/>
      <c r="K27" s="476"/>
      <c r="L27" s="476"/>
      <c r="M27" s="476"/>
      <c r="N27" s="476"/>
      <c r="O27" s="476"/>
      <c r="P27" s="476"/>
      <c r="Q27" s="476"/>
      <c r="R27" s="476"/>
      <c r="S27" s="476"/>
      <c r="T27" s="1656"/>
      <c r="X27" s="919"/>
      <c r="Y27" s="477"/>
      <c r="Z27" s="476"/>
      <c r="AA27" s="476"/>
      <c r="AB27" s="476"/>
      <c r="AC27" s="476"/>
      <c r="AD27" s="476"/>
      <c r="AE27" s="478"/>
      <c r="AF27" s="477"/>
      <c r="AG27" s="478"/>
      <c r="AH27" s="476"/>
      <c r="AI27" s="476"/>
      <c r="AJ27" s="477"/>
      <c r="AK27" s="478"/>
      <c r="AL27" s="477"/>
      <c r="AM27" s="478"/>
      <c r="AN27" s="944"/>
    </row>
    <row r="28" spans="2:40" s="358" customFormat="1" ht="95" customHeight="1" thickTop="1" x14ac:dyDescent="1">
      <c r="B28" s="1756"/>
      <c r="C28" s="356"/>
      <c r="D28" s="356"/>
      <c r="E28" s="356"/>
      <c r="F28" s="356"/>
      <c r="G28" s="356"/>
      <c r="H28" s="356"/>
      <c r="I28" s="356"/>
      <c r="J28" s="356"/>
      <c r="K28" s="356"/>
      <c r="L28" s="356"/>
      <c r="M28" s="356"/>
      <c r="N28" s="356"/>
      <c r="O28" s="356"/>
      <c r="P28" s="356"/>
      <c r="Q28" s="356"/>
      <c r="R28" s="356"/>
      <c r="S28" s="356"/>
      <c r="T28" s="1370"/>
      <c r="U28" s="1089"/>
      <c r="X28" s="1739"/>
      <c r="AN28" s="356"/>
    </row>
    <row r="29" spans="2:40" ht="95" customHeight="1" x14ac:dyDescent="1">
      <c r="C29" s="408"/>
      <c r="D29" s="408"/>
      <c r="E29" s="408"/>
      <c r="F29" s="408"/>
      <c r="G29" s="1757"/>
      <c r="H29" s="1757"/>
      <c r="I29" s="1757"/>
      <c r="J29" s="1757"/>
      <c r="K29" s="1757"/>
      <c r="L29" s="1757"/>
      <c r="M29" s="1757"/>
      <c r="N29" s="1757"/>
      <c r="O29" s="1757"/>
      <c r="P29" s="1757"/>
      <c r="Q29" s="1757"/>
      <c r="R29" s="1757"/>
      <c r="S29" s="1758"/>
      <c r="T29" s="1759"/>
      <c r="U29" s="1760"/>
    </row>
    <row r="30" spans="2:40" ht="95" customHeight="1" x14ac:dyDescent="1">
      <c r="B30" s="961"/>
      <c r="S30" s="1672"/>
      <c r="T30" s="1671"/>
    </row>
    <row r="31" spans="2:40" ht="95" customHeight="1" x14ac:dyDescent="1">
      <c r="B31" s="961"/>
      <c r="G31" s="961"/>
      <c r="H31" s="961"/>
      <c r="I31" s="961"/>
      <c r="J31" s="961"/>
      <c r="K31" s="961"/>
      <c r="L31" s="961"/>
      <c r="M31" s="961"/>
      <c r="N31" s="961"/>
      <c r="S31" s="1672"/>
      <c r="T31" s="1671"/>
    </row>
    <row r="32" spans="2:40" ht="95" customHeight="1" x14ac:dyDescent="1">
      <c r="B32" s="961"/>
      <c r="E32" s="1700" t="s">
        <v>322</v>
      </c>
      <c r="Y32" s="1700" t="s">
        <v>357</v>
      </c>
    </row>
    <row r="33" spans="2:41" ht="95" customHeight="1" x14ac:dyDescent="1">
      <c r="B33" s="961"/>
      <c r="E33" s="354" t="s">
        <v>305</v>
      </c>
      <c r="U33" s="1675"/>
      <c r="Y33" s="354" t="s">
        <v>306</v>
      </c>
    </row>
    <row r="34" spans="2:41" ht="95" customHeight="1" x14ac:dyDescent="1">
      <c r="E34" s="629">
        <v>6000</v>
      </c>
      <c r="G34" s="354" t="s">
        <v>33</v>
      </c>
      <c r="U34" s="1675"/>
      <c r="Y34" s="629">
        <v>6000</v>
      </c>
      <c r="AA34" s="354" t="s">
        <v>33</v>
      </c>
    </row>
    <row r="35" spans="2:41" ht="95" customHeight="1" thickBot="1" x14ac:dyDescent="1.05">
      <c r="B35" s="961"/>
      <c r="M35" s="408"/>
      <c r="N35" s="372"/>
      <c r="O35" s="1772"/>
      <c r="P35" s="372"/>
      <c r="Q35" s="372"/>
      <c r="R35" s="372"/>
      <c r="S35" s="372"/>
      <c r="U35" s="1673"/>
      <c r="AJ35" s="1674"/>
      <c r="AM35" s="372"/>
      <c r="AN35" s="372"/>
    </row>
    <row r="36" spans="2:41" ht="10" customHeight="1" thickTop="1" thickBot="1" x14ac:dyDescent="1.05">
      <c r="C36" s="408"/>
      <c r="D36" s="944"/>
      <c r="E36" s="476"/>
      <c r="F36" s="478"/>
      <c r="G36" s="476"/>
      <c r="H36" s="478"/>
      <c r="I36" s="476"/>
      <c r="J36" s="476"/>
      <c r="K36" s="477"/>
      <c r="L36" s="476"/>
      <c r="M36" s="478"/>
      <c r="N36" s="467"/>
      <c r="O36" s="467"/>
      <c r="P36" s="467"/>
      <c r="Q36" s="478"/>
      <c r="R36" s="467"/>
      <c r="S36" s="467"/>
      <c r="T36" s="478"/>
      <c r="U36" s="1670"/>
      <c r="X36" s="944"/>
      <c r="Y36" s="476"/>
      <c r="Z36" s="476"/>
      <c r="AA36" s="477"/>
      <c r="AB36" s="476"/>
      <c r="AC36" s="476"/>
      <c r="AD36" s="477"/>
      <c r="AE36" s="476"/>
      <c r="AF36" s="476"/>
      <c r="AG36" s="476"/>
      <c r="AH36" s="476"/>
      <c r="AI36" s="476"/>
      <c r="AJ36" s="476"/>
      <c r="AK36" s="478"/>
      <c r="AL36" s="478"/>
      <c r="AM36" s="465"/>
      <c r="AN36" s="788"/>
    </row>
    <row r="37" spans="2:41" ht="96" customHeight="1" thickTop="1" thickBot="1" x14ac:dyDescent="1.05">
      <c r="D37" s="916"/>
      <c r="E37" s="1683"/>
      <c r="F37" s="1683"/>
      <c r="G37" s="1683"/>
      <c r="H37" s="387"/>
      <c r="I37" s="1911" t="s">
        <v>208</v>
      </c>
      <c r="J37" s="1912"/>
      <c r="K37" s="1767"/>
      <c r="L37" s="386"/>
      <c r="M37" s="1949"/>
      <c r="N37" s="1782"/>
      <c r="O37" s="1992" t="s">
        <v>308</v>
      </c>
      <c r="P37" s="386"/>
      <c r="Q37" s="386"/>
      <c r="R37" s="386"/>
      <c r="S37" s="386"/>
      <c r="T37" s="944"/>
      <c r="X37" s="916"/>
      <c r="Y37" s="1657"/>
      <c r="Z37" s="1657"/>
      <c r="AA37" s="1657"/>
      <c r="AB37" s="386"/>
      <c r="AC37" s="1999" t="s">
        <v>208</v>
      </c>
      <c r="AD37" s="1801"/>
      <c r="AE37" s="1767"/>
      <c r="AF37" s="1767"/>
      <c r="AG37" s="386"/>
      <c r="AH37" s="386"/>
      <c r="AI37" s="1992" t="s">
        <v>308</v>
      </c>
      <c r="AJ37" s="386"/>
      <c r="AK37" s="1768"/>
      <c r="AL37" s="386"/>
      <c r="AM37" s="914"/>
      <c r="AN37" s="919"/>
    </row>
    <row r="38" spans="2:41" ht="96" customHeight="1" thickTop="1" thickBot="1" x14ac:dyDescent="1.05">
      <c r="D38" s="916"/>
      <c r="E38" s="1713"/>
      <c r="F38" s="1713"/>
      <c r="G38" s="1713"/>
      <c r="H38" s="1683"/>
      <c r="I38" s="1911"/>
      <c r="J38" s="1912"/>
      <c r="K38" s="1635"/>
      <c r="L38" s="387"/>
      <c r="M38" s="1949"/>
      <c r="N38" s="1783"/>
      <c r="O38" s="1993"/>
      <c r="P38" s="387"/>
      <c r="Q38" s="1870" t="s">
        <v>132</v>
      </c>
      <c r="R38" s="1870"/>
      <c r="S38" s="1867"/>
      <c r="T38" s="944"/>
      <c r="X38" s="916"/>
      <c r="Y38" s="1668"/>
      <c r="Z38" s="1668"/>
      <c r="AA38" s="1668"/>
      <c r="AB38" s="1683"/>
      <c r="AC38" s="1911"/>
      <c r="AD38" s="1802"/>
      <c r="AE38" s="1679"/>
      <c r="AF38" s="1887" t="s">
        <v>221</v>
      </c>
      <c r="AG38" s="1888"/>
      <c r="AH38" s="1699"/>
      <c r="AI38" s="1993"/>
      <c r="AJ38" s="1699"/>
      <c r="AK38" s="1712" t="s">
        <v>152</v>
      </c>
      <c r="AL38" s="645"/>
      <c r="AM38" s="1661" t="s">
        <v>152</v>
      </c>
      <c r="AN38" s="919"/>
    </row>
    <row r="39" spans="2:41" ht="96" customHeight="1" thickTop="1" thickBot="1" x14ac:dyDescent="1.05">
      <c r="D39" s="916"/>
      <c r="E39" s="1597"/>
      <c r="F39" s="1597"/>
      <c r="G39" s="1597"/>
      <c r="H39" s="1667"/>
      <c r="I39" s="1911"/>
      <c r="J39" s="1912"/>
      <c r="K39" s="1679"/>
      <c r="L39" s="1689"/>
      <c r="M39" s="1950"/>
      <c r="N39" s="1783"/>
      <c r="O39" s="1993"/>
      <c r="P39" s="387"/>
      <c r="Q39" s="1870" t="s">
        <v>153</v>
      </c>
      <c r="R39" s="1870"/>
      <c r="S39" s="1867"/>
      <c r="T39" s="944"/>
      <c r="X39" s="916"/>
      <c r="Y39" s="1663"/>
      <c r="Z39" s="1713"/>
      <c r="AA39" s="1713"/>
      <c r="AB39" s="1683"/>
      <c r="AC39" s="1911"/>
      <c r="AD39" s="1802"/>
      <c r="AE39" s="1680"/>
      <c r="AF39" s="1698"/>
      <c r="AG39" s="387" t="s">
        <v>153</v>
      </c>
      <c r="AH39" s="387"/>
      <c r="AI39" s="1993"/>
      <c r="AJ39" s="387"/>
      <c r="AK39" s="1712" t="s">
        <v>154</v>
      </c>
      <c r="AL39" s="1683"/>
      <c r="AM39" s="1661" t="s">
        <v>154</v>
      </c>
      <c r="AN39" s="919"/>
    </row>
    <row r="40" spans="2:41" ht="96" customHeight="1" thickTop="1" thickBot="1" x14ac:dyDescent="1.05">
      <c r="D40" s="928"/>
      <c r="E40" s="1997" t="s">
        <v>132</v>
      </c>
      <c r="F40" s="1998"/>
      <c r="G40" s="1998"/>
      <c r="H40" s="1683"/>
      <c r="I40" s="1911"/>
      <c r="J40" s="1912"/>
      <c r="K40" s="1919"/>
      <c r="L40" s="1689"/>
      <c r="M40" s="1950"/>
      <c r="N40" s="1783"/>
      <c r="O40" s="1993"/>
      <c r="P40" s="387"/>
      <c r="Q40" s="1870" t="s">
        <v>20</v>
      </c>
      <c r="R40" s="1870"/>
      <c r="S40" s="1867"/>
      <c r="T40" s="944"/>
      <c r="X40" s="928"/>
      <c r="Y40" s="1696"/>
      <c r="Z40" s="1696"/>
      <c r="AA40" s="1696"/>
      <c r="AB40" s="1695"/>
      <c r="AC40" s="1911"/>
      <c r="AD40" s="1802"/>
      <c r="AE40" s="1694"/>
      <c r="AF40" s="1995" t="s">
        <v>125</v>
      </c>
      <c r="AG40" s="1996"/>
      <c r="AH40" s="593"/>
      <c r="AI40" s="1993"/>
      <c r="AJ40" s="593"/>
      <c r="AK40" s="1712" t="s">
        <v>20</v>
      </c>
      <c r="AL40" s="1683"/>
      <c r="AM40" s="1661" t="s">
        <v>121</v>
      </c>
      <c r="AN40" s="944"/>
    </row>
    <row r="41" spans="2:41" ht="96" customHeight="1" thickTop="1" thickBot="1" x14ac:dyDescent="1.05">
      <c r="C41" s="475"/>
      <c r="D41" s="469"/>
      <c r="E41" s="1922" t="s">
        <v>154</v>
      </c>
      <c r="F41" s="1922"/>
      <c r="G41" s="1922"/>
      <c r="H41" s="387"/>
      <c r="I41" s="1911"/>
      <c r="J41" s="1912"/>
      <c r="K41" s="1919"/>
      <c r="L41" s="1689"/>
      <c r="M41" s="1950"/>
      <c r="N41" s="1783"/>
      <c r="O41" s="1993"/>
      <c r="P41" s="541"/>
      <c r="Q41" s="1982">
        <v>2000</v>
      </c>
      <c r="R41" s="1870"/>
      <c r="S41" s="1983"/>
      <c r="T41" s="944"/>
      <c r="X41" s="916"/>
      <c r="Y41" s="387"/>
      <c r="Z41" s="387"/>
      <c r="AA41" s="387"/>
      <c r="AB41" s="1693"/>
      <c r="AC41" s="1911"/>
      <c r="AD41" s="1802"/>
      <c r="AE41" s="1691"/>
      <c r="AF41" s="1887">
        <v>500</v>
      </c>
      <c r="AG41" s="1888"/>
      <c r="AH41" s="407"/>
      <c r="AI41" s="1993"/>
      <c r="AJ41" s="407"/>
      <c r="AK41" s="1712">
        <v>450</v>
      </c>
      <c r="AL41" s="1683"/>
      <c r="AM41" s="1661">
        <v>300</v>
      </c>
      <c r="AN41" s="916"/>
    </row>
    <row r="42" spans="2:41" ht="96" customHeight="1" thickTop="1" thickBot="1" x14ac:dyDescent="1.05">
      <c r="C42" s="475"/>
      <c r="D42" s="788"/>
      <c r="E42" s="1959" t="s">
        <v>20</v>
      </c>
      <c r="F42" s="1959"/>
      <c r="G42" s="1959"/>
      <c r="H42" s="1598"/>
      <c r="I42" s="1911"/>
      <c r="J42" s="1912"/>
      <c r="K42" s="1919"/>
      <c r="L42" s="1779"/>
      <c r="M42" s="1950"/>
      <c r="N42" s="1784"/>
      <c r="O42" s="1993"/>
      <c r="P42" s="1786"/>
      <c r="Q42" s="387"/>
      <c r="R42" s="593"/>
      <c r="S42" s="505"/>
      <c r="T42" s="919"/>
      <c r="U42" s="1677"/>
      <c r="X42" s="916"/>
      <c r="Y42" s="387"/>
      <c r="Z42" s="387"/>
      <c r="AA42" s="387"/>
      <c r="AB42" s="1598"/>
      <c r="AC42" s="1911"/>
      <c r="AD42" s="1802"/>
      <c r="AE42" s="1691"/>
      <c r="AF42" s="1689"/>
      <c r="AG42" s="387"/>
      <c r="AH42" s="387"/>
      <c r="AI42" s="1993"/>
      <c r="AJ42" s="541"/>
      <c r="AK42" s="1724"/>
      <c r="AL42" s="1104"/>
      <c r="AM42" s="1793"/>
      <c r="AN42" s="919"/>
    </row>
    <row r="43" spans="2:41" ht="96" customHeight="1" thickTop="1" thickBot="1" x14ac:dyDescent="1.05">
      <c r="C43" s="475"/>
      <c r="D43" s="465"/>
      <c r="E43" s="1984">
        <v>2000</v>
      </c>
      <c r="F43" s="1867"/>
      <c r="G43" s="1867"/>
      <c r="H43" s="399"/>
      <c r="I43" s="1911"/>
      <c r="J43" s="1912"/>
      <c r="K43" s="1777"/>
      <c r="L43" s="598"/>
      <c r="M43" s="1778"/>
      <c r="N43" s="1785"/>
      <c r="O43" s="1994"/>
      <c r="P43" s="1778"/>
      <c r="Q43" s="1778"/>
      <c r="R43" s="598"/>
      <c r="S43" s="1781"/>
      <c r="T43" s="776"/>
      <c r="U43" s="1677"/>
      <c r="X43" s="928"/>
      <c r="Y43" s="2005" t="s">
        <v>132</v>
      </c>
      <c r="Z43" s="1867"/>
      <c r="AA43" s="1867"/>
      <c r="AB43" s="387"/>
      <c r="AC43" s="1911"/>
      <c r="AD43" s="1802"/>
      <c r="AE43" s="1691"/>
      <c r="AF43" s="1810"/>
      <c r="AG43" s="387"/>
      <c r="AH43" s="387"/>
      <c r="AI43" s="1994"/>
      <c r="AJ43" s="387"/>
      <c r="AK43" s="1811"/>
      <c r="AL43" s="1812"/>
      <c r="AM43" s="1598"/>
      <c r="AN43" s="916"/>
    </row>
    <row r="44" spans="2:41" ht="143" customHeight="1" thickTop="1" thickBot="1" x14ac:dyDescent="1.05">
      <c r="B44" s="961"/>
      <c r="C44" s="475"/>
      <c r="D44" s="944"/>
      <c r="E44" s="1984"/>
      <c r="F44" s="1972"/>
      <c r="G44" s="1972"/>
      <c r="H44" s="399"/>
      <c r="I44" s="1911"/>
      <c r="J44" s="1978"/>
      <c r="K44" s="2008" t="s">
        <v>209</v>
      </c>
      <c r="L44" s="2009"/>
      <c r="M44" s="2009"/>
      <c r="N44" s="2009"/>
      <c r="O44" s="1980"/>
      <c r="P44" s="2009"/>
      <c r="Q44" s="2009"/>
      <c r="R44" s="2009"/>
      <c r="S44" s="2010"/>
      <c r="T44" s="776"/>
      <c r="U44" s="1677"/>
      <c r="X44" s="944"/>
      <c r="Y44" s="2005" t="s">
        <v>153</v>
      </c>
      <c r="Z44" s="1867"/>
      <c r="AA44" s="1867"/>
      <c r="AB44" s="399"/>
      <c r="AC44" s="1911"/>
      <c r="AD44" s="1802"/>
      <c r="AE44" s="1905" t="s">
        <v>209</v>
      </c>
      <c r="AF44" s="1906"/>
      <c r="AG44" s="1906"/>
      <c r="AH44" s="1906"/>
      <c r="AI44" s="1906"/>
      <c r="AJ44" s="1906"/>
      <c r="AK44" s="1906"/>
      <c r="AL44" s="1906"/>
      <c r="AM44" s="2001"/>
      <c r="AN44" s="1742"/>
    </row>
    <row r="45" spans="2:41" ht="96" customHeight="1" thickTop="1" thickBot="1" x14ac:dyDescent="1.05">
      <c r="B45" s="961"/>
      <c r="C45" s="475"/>
      <c r="D45" s="1773"/>
      <c r="E45" s="568"/>
      <c r="F45" s="387"/>
      <c r="G45" s="387"/>
      <c r="H45" s="399"/>
      <c r="I45" s="1911"/>
      <c r="J45" s="1912"/>
      <c r="K45" s="1800"/>
      <c r="L45" s="1616"/>
      <c r="M45" s="1615"/>
      <c r="N45" s="1615"/>
      <c r="O45" s="1617"/>
      <c r="P45" s="1616"/>
      <c r="Q45" s="1615"/>
      <c r="R45" s="1619"/>
      <c r="S45" s="1799"/>
      <c r="T45" s="1792"/>
      <c r="W45" s="475"/>
      <c r="X45" s="944"/>
      <c r="Y45" s="2005" t="s">
        <v>125</v>
      </c>
      <c r="Z45" s="1867"/>
      <c r="AA45" s="1867"/>
      <c r="AB45" s="399"/>
      <c r="AC45" s="1911"/>
      <c r="AD45" s="1802"/>
      <c r="AE45" s="387"/>
      <c r="AF45" s="387"/>
      <c r="AG45" s="1798"/>
      <c r="AH45" s="387"/>
      <c r="AI45" s="387"/>
      <c r="AJ45" s="1798"/>
      <c r="AK45" s="387"/>
      <c r="AL45" s="387"/>
      <c r="AM45" s="1794"/>
      <c r="AN45" s="1744"/>
    </row>
    <row r="46" spans="2:41" ht="96" customHeight="1" thickTop="1" thickBot="1" x14ac:dyDescent="1.05">
      <c r="C46" s="475"/>
      <c r="D46" s="944"/>
      <c r="E46" s="386"/>
      <c r="F46" s="387"/>
      <c r="G46" s="387"/>
      <c r="H46" s="1598"/>
      <c r="I46" s="1911"/>
      <c r="J46" s="1912"/>
      <c r="K46" s="1679"/>
      <c r="L46" s="1956" t="s">
        <v>132</v>
      </c>
      <c r="M46" s="1890"/>
      <c r="N46" s="1890"/>
      <c r="O46" s="1890"/>
      <c r="P46" s="1890"/>
      <c r="Q46" s="1890"/>
      <c r="R46" s="1890"/>
      <c r="S46" s="2004"/>
      <c r="T46" s="919"/>
      <c r="U46" s="408"/>
      <c r="W46" s="475"/>
      <c r="X46" s="928"/>
      <c r="Y46" s="1984">
        <v>2400</v>
      </c>
      <c r="Z46" s="1972"/>
      <c r="AA46" s="1972"/>
      <c r="AB46" s="1598"/>
      <c r="AC46" s="1911"/>
      <c r="AD46" s="1802"/>
      <c r="AE46" s="1635"/>
      <c r="AF46" s="1886" t="s">
        <v>221</v>
      </c>
      <c r="AG46" s="1869"/>
      <c r="AH46" s="489"/>
      <c r="AI46" s="1665" t="s">
        <v>152</v>
      </c>
      <c r="AJ46" s="1658"/>
      <c r="AK46" s="1665" t="s">
        <v>152</v>
      </c>
      <c r="AL46" s="1657"/>
      <c r="AM46" s="493" t="s">
        <v>154</v>
      </c>
      <c r="AN46" s="1795"/>
    </row>
    <row r="47" spans="2:41" ht="96" customHeight="1" thickTop="1" x14ac:dyDescent="1">
      <c r="B47" s="961"/>
      <c r="C47" s="475"/>
      <c r="D47" s="1734"/>
      <c r="E47" s="1976"/>
      <c r="F47" s="1977"/>
      <c r="G47" s="1977"/>
      <c r="H47" s="1776"/>
      <c r="I47" s="1911"/>
      <c r="J47" s="1912"/>
      <c r="K47" s="1679"/>
      <c r="L47" s="1870" t="s">
        <v>153</v>
      </c>
      <c r="M47" s="1870"/>
      <c r="N47" s="1870"/>
      <c r="O47" s="1870"/>
      <c r="P47" s="1870"/>
      <c r="Q47" s="1870"/>
      <c r="R47" s="1870"/>
      <c r="S47" s="1983"/>
      <c r="T47" s="932"/>
      <c r="U47" s="1675"/>
      <c r="W47" s="475"/>
      <c r="X47" s="916"/>
      <c r="Y47" s="386"/>
      <c r="Z47" s="387"/>
      <c r="AA47" s="387"/>
      <c r="AB47" s="1683"/>
      <c r="AC47" s="1911"/>
      <c r="AD47" s="1802"/>
      <c r="AE47" s="1635"/>
      <c r="AF47" s="1886" t="s">
        <v>153</v>
      </c>
      <c r="AG47" s="1869"/>
      <c r="AH47" s="489"/>
      <c r="AI47" s="1665" t="s">
        <v>154</v>
      </c>
      <c r="AJ47" s="1658"/>
      <c r="AK47" s="489" t="s">
        <v>154</v>
      </c>
      <c r="AL47" s="1683"/>
      <c r="AM47" s="493" t="s">
        <v>154</v>
      </c>
      <c r="AN47" s="465"/>
      <c r="AO47" s="905"/>
    </row>
    <row r="48" spans="2:41" ht="96" customHeight="1" thickBot="1" x14ac:dyDescent="1.05">
      <c r="B48" s="961"/>
      <c r="C48" s="475"/>
      <c r="D48" s="469"/>
      <c r="E48" s="387"/>
      <c r="F48" s="387"/>
      <c r="G48" s="387"/>
      <c r="H48" s="1683"/>
      <c r="I48" s="1911"/>
      <c r="J48" s="1912"/>
      <c r="K48" s="1679"/>
      <c r="L48" s="1886" t="s">
        <v>20</v>
      </c>
      <c r="M48" s="1867"/>
      <c r="N48" s="1867"/>
      <c r="O48" s="1867"/>
      <c r="P48" s="1867"/>
      <c r="Q48" s="1867"/>
      <c r="R48" s="1867"/>
      <c r="S48" s="1983"/>
      <c r="T48" s="1654"/>
      <c r="U48" s="1676"/>
      <c r="W48" s="475"/>
      <c r="X48" s="916"/>
      <c r="Y48" s="386"/>
      <c r="Z48" s="387"/>
      <c r="AA48" s="387"/>
      <c r="AB48" s="1683"/>
      <c r="AC48" s="1911"/>
      <c r="AD48" s="1802"/>
      <c r="AE48" s="1635"/>
      <c r="AF48" s="1886" t="s">
        <v>125</v>
      </c>
      <c r="AG48" s="1869"/>
      <c r="AH48" s="489"/>
      <c r="AI48" s="1665" t="s">
        <v>20</v>
      </c>
      <c r="AJ48" s="1658"/>
      <c r="AK48" s="489" t="s">
        <v>121</v>
      </c>
      <c r="AL48" s="1683"/>
      <c r="AM48" s="493" t="s">
        <v>121</v>
      </c>
      <c r="AN48" s="932"/>
    </row>
    <row r="49" spans="2:43" ht="96" customHeight="1" thickTop="1" thickBot="1" x14ac:dyDescent="1.05">
      <c r="C49" s="475"/>
      <c r="D49" s="1973"/>
      <c r="E49" s="1975" t="s">
        <v>26</v>
      </c>
      <c r="F49" s="1898"/>
      <c r="G49" s="1898"/>
      <c r="H49" s="1775"/>
      <c r="I49" s="1911"/>
      <c r="J49" s="1912"/>
      <c r="K49" s="1679"/>
      <c r="L49" s="1972">
        <v>2000</v>
      </c>
      <c r="M49" s="1867"/>
      <c r="N49" s="1867"/>
      <c r="O49" s="1867"/>
      <c r="P49" s="1867"/>
      <c r="Q49" s="1867"/>
      <c r="R49" s="1867"/>
      <c r="S49" s="1983"/>
      <c r="T49" s="1654"/>
      <c r="U49" s="1675"/>
      <c r="W49" s="475"/>
      <c r="X49" s="916"/>
      <c r="Y49" s="386"/>
      <c r="Z49" s="387"/>
      <c r="AA49" s="593"/>
      <c r="AB49" s="1703"/>
      <c r="AC49" s="1911"/>
      <c r="AD49" s="1802"/>
      <c r="AE49" s="1635"/>
      <c r="AF49" s="1886">
        <v>500</v>
      </c>
      <c r="AG49" s="1869"/>
      <c r="AH49" s="489"/>
      <c r="AI49" s="1665">
        <v>450</v>
      </c>
      <c r="AJ49" s="1658"/>
      <c r="AK49" s="489">
        <v>300</v>
      </c>
      <c r="AL49" s="1683"/>
      <c r="AM49" s="493">
        <v>300</v>
      </c>
      <c r="AN49" s="1654"/>
    </row>
    <row r="50" spans="2:43" ht="96" customHeight="1" thickTop="1" thickBot="1" x14ac:dyDescent="1.05">
      <c r="B50" s="961"/>
      <c r="C50" s="475"/>
      <c r="D50" s="1974"/>
      <c r="E50" s="1867" t="s">
        <v>20</v>
      </c>
      <c r="F50" s="1870"/>
      <c r="G50" s="1870"/>
      <c r="H50" s="1683"/>
      <c r="I50" s="1911"/>
      <c r="J50" s="1912"/>
      <c r="K50" s="1679"/>
      <c r="L50" s="1681"/>
      <c r="M50" s="1972"/>
      <c r="N50" s="1972"/>
      <c r="O50" s="1972"/>
      <c r="P50" s="1972"/>
      <c r="Q50" s="1972"/>
      <c r="R50" s="1972"/>
      <c r="S50" s="1987"/>
      <c r="T50" s="1653"/>
      <c r="U50" s="905"/>
      <c r="W50" s="475"/>
      <c r="X50" s="919"/>
      <c r="Y50" s="1664"/>
      <c r="Z50" s="1664"/>
      <c r="AA50" s="1664"/>
      <c r="AB50" s="1696"/>
      <c r="AC50" s="1911"/>
      <c r="AD50" s="1802"/>
      <c r="AE50" s="1635"/>
      <c r="AF50" s="387"/>
      <c r="AG50" s="390"/>
      <c r="AH50" s="387"/>
      <c r="AI50" s="387"/>
      <c r="AJ50" s="390"/>
      <c r="AK50" s="387"/>
      <c r="AL50" s="390"/>
      <c r="AM50" s="487"/>
      <c r="AN50" s="1654"/>
    </row>
    <row r="51" spans="2:43" ht="96" customHeight="1" thickTop="1" thickBot="1" x14ac:dyDescent="1.05">
      <c r="B51" s="961"/>
      <c r="C51" s="475"/>
      <c r="D51" s="1974"/>
      <c r="E51" s="1867">
        <v>450</v>
      </c>
      <c r="F51" s="1870"/>
      <c r="G51" s="1870"/>
      <c r="H51" s="1683"/>
      <c r="I51" s="1911"/>
      <c r="J51" s="1912"/>
      <c r="K51" s="1679"/>
      <c r="L51" s="1988"/>
      <c r="M51" s="1989"/>
      <c r="N51" s="1989"/>
      <c r="O51" s="1989"/>
      <c r="P51" s="1989"/>
      <c r="Q51" s="1989"/>
      <c r="R51" s="1989"/>
      <c r="S51" s="1989"/>
      <c r="T51" s="916"/>
      <c r="W51" s="475"/>
      <c r="X51" s="916"/>
      <c r="Y51" s="1796"/>
      <c r="Z51" s="1797"/>
      <c r="AA51" s="1797"/>
      <c r="AB51" s="1803"/>
      <c r="AC51" s="2000"/>
      <c r="AD51" s="1804"/>
      <c r="AE51" s="1805"/>
      <c r="AF51" s="387"/>
      <c r="AG51" s="387"/>
      <c r="AH51" s="484"/>
      <c r="AI51" s="500"/>
      <c r="AJ51" s="497"/>
      <c r="AK51" s="387"/>
      <c r="AL51" s="387"/>
      <c r="AM51" s="938"/>
      <c r="AN51" s="932"/>
    </row>
    <row r="52" spans="2:43" ht="10" customHeight="1" thickTop="1" thickBot="1" x14ac:dyDescent="1.05">
      <c r="C52" s="408"/>
      <c r="D52" s="944"/>
      <c r="E52" s="476"/>
      <c r="F52" s="476"/>
      <c r="G52" s="476"/>
      <c r="H52" s="478"/>
      <c r="I52" s="476"/>
      <c r="J52" s="476"/>
      <c r="K52" s="478"/>
      <c r="L52" s="467"/>
      <c r="M52" s="477"/>
      <c r="N52" s="476"/>
      <c r="O52" s="476"/>
      <c r="P52" s="477"/>
      <c r="Q52" s="476"/>
      <c r="R52" s="476"/>
      <c r="S52" s="478"/>
      <c r="T52" s="928"/>
      <c r="U52" s="1675"/>
      <c r="W52" s="475"/>
      <c r="X52" s="928"/>
      <c r="Y52" s="1745"/>
      <c r="Z52" s="502"/>
      <c r="AA52" s="502"/>
      <c r="AB52" s="478"/>
      <c r="AC52" s="1806"/>
      <c r="AD52" s="1806"/>
      <c r="AE52" s="1807"/>
      <c r="AF52" s="1808"/>
      <c r="AG52" s="477"/>
      <c r="AH52" s="477"/>
      <c r="AI52" s="467"/>
      <c r="AJ52" s="476"/>
      <c r="AK52" s="698"/>
      <c r="AL52" s="478"/>
      <c r="AM52" s="469"/>
      <c r="AN52" s="916"/>
    </row>
    <row r="53" spans="2:43" ht="95" customHeight="1" thickTop="1" x14ac:dyDescent="1">
      <c r="B53" s="961"/>
      <c r="C53" s="408"/>
      <c r="D53" s="408"/>
      <c r="E53" s="408"/>
      <c r="F53" s="408"/>
      <c r="G53" s="1774"/>
      <c r="H53" s="408"/>
      <c r="I53" s="408"/>
      <c r="J53" s="942"/>
      <c r="K53" s="942"/>
      <c r="L53" s="961"/>
      <c r="M53" s="1674"/>
      <c r="P53" s="961"/>
      <c r="Q53" s="961"/>
      <c r="S53" s="1672"/>
      <c r="T53" s="1671"/>
      <c r="U53" s="1673"/>
      <c r="W53" s="356"/>
      <c r="X53" s="356"/>
      <c r="Y53" s="356"/>
      <c r="Z53" s="356"/>
      <c r="AA53" s="356"/>
      <c r="AB53" s="356"/>
      <c r="AC53" s="356"/>
      <c r="AD53" s="356"/>
      <c r="AE53" s="356"/>
      <c r="AF53" s="356"/>
      <c r="AG53" s="356"/>
      <c r="AH53" s="356"/>
      <c r="AI53" s="356"/>
      <c r="AJ53" s="356"/>
      <c r="AK53" s="1739"/>
      <c r="AL53" s="356"/>
      <c r="AM53" s="1739"/>
      <c r="AN53" s="1739"/>
      <c r="AO53" s="356"/>
      <c r="AP53" s="356"/>
      <c r="AQ53" s="356"/>
    </row>
    <row r="54" spans="2:43" ht="95" customHeight="1" x14ac:dyDescent="1">
      <c r="C54" s="408"/>
      <c r="D54" s="408"/>
      <c r="E54" s="408"/>
      <c r="F54" s="408"/>
      <c r="G54" s="408"/>
      <c r="H54" s="408"/>
      <c r="I54" s="408"/>
      <c r="J54" s="408"/>
      <c r="K54" s="408"/>
      <c r="S54" s="1672"/>
      <c r="T54" s="1671"/>
      <c r="U54" s="1670"/>
      <c r="W54" s="356"/>
      <c r="X54" s="356"/>
      <c r="Y54" s="356"/>
      <c r="Z54" s="356"/>
      <c r="AA54" s="356"/>
      <c r="AB54" s="356"/>
      <c r="AC54" s="356"/>
      <c r="AD54" s="356"/>
      <c r="AE54" s="356"/>
      <c r="AF54" s="356"/>
      <c r="AG54" s="356"/>
      <c r="AH54" s="356"/>
      <c r="AI54" s="356"/>
      <c r="AJ54" s="356"/>
      <c r="AK54" s="356"/>
      <c r="AL54" s="356"/>
      <c r="AM54" s="356"/>
      <c r="AN54" s="356"/>
      <c r="AO54" s="356"/>
      <c r="AP54" s="356"/>
      <c r="AQ54" s="356"/>
    </row>
    <row r="55" spans="2:43" ht="10" customHeight="1" x14ac:dyDescent="1">
      <c r="W55" s="356"/>
      <c r="X55" s="356"/>
      <c r="Y55" s="356"/>
      <c r="Z55" s="356"/>
      <c r="AA55" s="356"/>
      <c r="AB55" s="356"/>
      <c r="AC55" s="356"/>
      <c r="AD55" s="356"/>
      <c r="AE55" s="356"/>
      <c r="AF55" s="356"/>
      <c r="AG55" s="356"/>
      <c r="AH55" s="356"/>
      <c r="AI55" s="356"/>
      <c r="AJ55" s="356"/>
      <c r="AK55" s="356"/>
      <c r="AL55" s="356"/>
      <c r="AM55" s="356"/>
      <c r="AN55" s="356"/>
      <c r="AO55" s="356"/>
      <c r="AP55" s="356"/>
      <c r="AQ55" s="356"/>
    </row>
    <row r="56" spans="2:43" ht="50" customHeight="1" x14ac:dyDescent="1">
      <c r="W56" s="356"/>
      <c r="X56" s="356"/>
      <c r="Y56" s="356"/>
      <c r="Z56" s="356"/>
      <c r="AA56" s="356"/>
      <c r="AB56" s="356"/>
      <c r="AC56" s="356"/>
      <c r="AD56" s="356"/>
      <c r="AE56" s="356"/>
      <c r="AF56" s="356"/>
      <c r="AG56" s="356"/>
      <c r="AH56" s="356"/>
      <c r="AI56" s="356"/>
      <c r="AJ56" s="356"/>
      <c r="AK56" s="356"/>
      <c r="AL56" s="356"/>
      <c r="AM56" s="356"/>
      <c r="AN56" s="356"/>
      <c r="AO56" s="356"/>
      <c r="AP56" s="356"/>
      <c r="AQ56" s="356"/>
    </row>
    <row r="57" spans="2:43" ht="50" customHeight="1" x14ac:dyDescent="1">
      <c r="W57" s="356"/>
      <c r="X57" s="356"/>
      <c r="Y57" s="356"/>
      <c r="Z57" s="356"/>
      <c r="AA57" s="356"/>
      <c r="AB57" s="356"/>
      <c r="AC57" s="356"/>
      <c r="AD57" s="356"/>
      <c r="AE57" s="356"/>
      <c r="AF57" s="356"/>
      <c r="AG57" s="356"/>
      <c r="AH57" s="356"/>
      <c r="AI57" s="356"/>
      <c r="AJ57" s="356"/>
      <c r="AK57" s="356"/>
      <c r="AL57" s="356"/>
      <c r="AM57" s="356"/>
      <c r="AN57" s="356"/>
      <c r="AO57" s="356"/>
      <c r="AP57" s="356"/>
      <c r="AQ57" s="356"/>
    </row>
  </sheetData>
  <mergeCells count="65">
    <mergeCell ref="L46:S46"/>
    <mergeCell ref="Y45:AA45"/>
    <mergeCell ref="Y46:AA46"/>
    <mergeCell ref="AM17:AM18"/>
    <mergeCell ref="L47:S47"/>
    <mergeCell ref="K44:S44"/>
    <mergeCell ref="O37:O43"/>
    <mergeCell ref="AI12:AI18"/>
    <mergeCell ref="AF24:AG24"/>
    <mergeCell ref="Y21:AA21"/>
    <mergeCell ref="Y43:AA43"/>
    <mergeCell ref="Y44:AA44"/>
    <mergeCell ref="AF22:AG22"/>
    <mergeCell ref="AF23:AG23"/>
    <mergeCell ref="AF38:AG38"/>
    <mergeCell ref="AF13:AG13"/>
    <mergeCell ref="AF16:AG16"/>
    <mergeCell ref="AF21:AG21"/>
    <mergeCell ref="Y19:AA19"/>
    <mergeCell ref="Y20:AA20"/>
    <mergeCell ref="Y12:AA12"/>
    <mergeCell ref="Y13:AA13"/>
    <mergeCell ref="Y14:AA14"/>
    <mergeCell ref="Y15:AA15"/>
    <mergeCell ref="Y16:AA16"/>
    <mergeCell ref="Y17:AA17"/>
    <mergeCell ref="AF14:AG14"/>
    <mergeCell ref="AF15:AG15"/>
    <mergeCell ref="E19:S19"/>
    <mergeCell ref="Y24:AA24"/>
    <mergeCell ref="Y25:AA25"/>
    <mergeCell ref="Y26:AA26"/>
    <mergeCell ref="AI37:AI43"/>
    <mergeCell ref="AF40:AG40"/>
    <mergeCell ref="AF41:AG41"/>
    <mergeCell ref="E40:G40"/>
    <mergeCell ref="E43:G43"/>
    <mergeCell ref="AC37:AC51"/>
    <mergeCell ref="AF46:AG46"/>
    <mergeCell ref="AF47:AG47"/>
    <mergeCell ref="AF48:AG48"/>
    <mergeCell ref="AF49:AG49"/>
    <mergeCell ref="AE44:AM44"/>
    <mergeCell ref="E50:G50"/>
    <mergeCell ref="M50:S50"/>
    <mergeCell ref="E51:G51"/>
    <mergeCell ref="L51:S51"/>
    <mergeCell ref="L48:S48"/>
    <mergeCell ref="L49:S49"/>
    <mergeCell ref="D49:D51"/>
    <mergeCell ref="E49:G49"/>
    <mergeCell ref="E47:G47"/>
    <mergeCell ref="AC12:AC26"/>
    <mergeCell ref="AE19:AM19"/>
    <mergeCell ref="Q41:S41"/>
    <mergeCell ref="E41:G41"/>
    <mergeCell ref="E42:G42"/>
    <mergeCell ref="E44:G44"/>
    <mergeCell ref="Q38:S38"/>
    <mergeCell ref="Q39:S39"/>
    <mergeCell ref="K40:K42"/>
    <mergeCell ref="Q40:S40"/>
    <mergeCell ref="I37:J51"/>
    <mergeCell ref="M37:M42"/>
    <mergeCell ref="O12:O18"/>
  </mergeCells>
  <printOptions horizontalCentered="1"/>
  <pageMargins left="0.25" right="0.25" top="0.75" bottom="0.75" header="0.3" footer="0.3"/>
  <pageSetup scale="10" orientation="landscape" horizontalDpi="1200" verticalDpi="1200" r:id="rId1"/>
  <colBreaks count="1" manualBreakCount="1">
    <brk id="51" max="56"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6B8B-E62F-004D-AC98-534C06298A07}">
  <sheetPr>
    <pageSetUpPr fitToPage="1"/>
  </sheetPr>
  <dimension ref="B2:BJ51"/>
  <sheetViews>
    <sheetView view="pageBreakPreview" zoomScale="20" zoomScaleNormal="20" zoomScaleSheetLayoutView="20" zoomScalePageLayoutView="30" workbookViewId="0">
      <selection activeCell="F5" sqref="F5"/>
    </sheetView>
  </sheetViews>
  <sheetFormatPr baseColWidth="10" defaultColWidth="10.6640625" defaultRowHeight="50" customHeight="1" x14ac:dyDescent="1"/>
  <cols>
    <col min="1" max="1" width="17.33203125" style="354" customWidth="1"/>
    <col min="2" max="2" width="21.1640625" style="354" customWidth="1"/>
    <col min="3" max="3" width="2.33203125" style="408" customWidth="1"/>
    <col min="4" max="4" width="3.83203125" style="354" customWidth="1"/>
    <col min="5" max="5" width="2.33203125" style="354" customWidth="1"/>
    <col min="6" max="6" width="35.83203125" style="354" customWidth="1"/>
    <col min="7" max="7" width="2.33203125" style="354" customWidth="1"/>
    <col min="8" max="8" width="35.83203125" style="354" customWidth="1"/>
    <col min="9" max="9" width="2.33203125" style="354" customWidth="1"/>
    <col min="10" max="10" width="35.83203125" style="354" customWidth="1"/>
    <col min="11" max="11" width="2.33203125" style="354" customWidth="1"/>
    <col min="12" max="12" width="35.83203125" style="354" customWidth="1"/>
    <col min="13" max="13" width="2.33203125" style="354" customWidth="1"/>
    <col min="14" max="14" width="50.83203125" style="354" customWidth="1"/>
    <col min="15" max="15" width="2.33203125" style="354" customWidth="1"/>
    <col min="16" max="16" width="35.83203125" style="354" customWidth="1"/>
    <col min="17" max="17" width="2.33203125" style="354" customWidth="1"/>
    <col min="18" max="18" width="35.83203125" style="354" customWidth="1"/>
    <col min="19" max="19" width="2.33203125" style="354" customWidth="1"/>
    <col min="20" max="20" width="35.83203125" style="354" customWidth="1"/>
    <col min="21" max="21" width="2.33203125" style="354" customWidth="1"/>
    <col min="22" max="22" width="35.83203125" style="354" customWidth="1"/>
    <col min="23" max="23" width="2.33203125" style="354" customWidth="1"/>
    <col min="24" max="24" width="35.83203125" style="354" customWidth="1"/>
    <col min="25" max="25" width="2.33203125" style="354" customWidth="1"/>
    <col min="26" max="26" width="35.83203125" style="354" customWidth="1"/>
    <col min="27" max="27" width="2.33203125" style="354" customWidth="1"/>
    <col min="28" max="28" width="35.83203125" style="354" customWidth="1"/>
    <col min="29" max="29" width="2.33203125" style="354" customWidth="1"/>
    <col min="30" max="30" width="35.83203125" style="354" customWidth="1"/>
    <col min="31" max="31" width="2.33203125" style="354" customWidth="1"/>
    <col min="32" max="32" width="35.83203125" style="354" customWidth="1"/>
    <col min="33" max="33" width="2.33203125" style="354" customWidth="1"/>
    <col min="34" max="34" width="35.83203125" style="354" customWidth="1"/>
    <col min="35" max="35" width="2.33203125" style="354" customWidth="1"/>
    <col min="36" max="36" width="35.83203125" style="354" customWidth="1"/>
    <col min="37" max="37" width="2.33203125" style="354" customWidth="1"/>
    <col min="38" max="38" width="35.83203125" style="354" customWidth="1"/>
    <col min="39" max="39" width="2.33203125" style="354" customWidth="1"/>
    <col min="40" max="40" width="35.83203125" style="354" customWidth="1"/>
    <col min="41" max="41" width="2.33203125" style="354" customWidth="1"/>
    <col min="42" max="42" width="40.1640625" style="354" customWidth="1"/>
    <col min="43" max="43" width="2.83203125" style="354" customWidth="1"/>
    <col min="44" max="44" width="35.83203125" style="354" customWidth="1"/>
    <col min="45" max="45" width="2.33203125" style="354" customWidth="1"/>
    <col min="46" max="46" width="35.83203125" style="354" customWidth="1"/>
    <col min="47" max="47" width="2.33203125" style="354" customWidth="1"/>
    <col min="48" max="48" width="35.83203125" style="354" customWidth="1"/>
    <col min="49" max="49" width="2.33203125" style="354" customWidth="1"/>
    <col min="50" max="50" width="35.83203125" style="354" customWidth="1"/>
    <col min="51" max="51" width="2.33203125" style="354" customWidth="1"/>
    <col min="52" max="52" width="50.83203125" style="354" customWidth="1"/>
    <col min="53" max="53" width="2.33203125" style="354" customWidth="1"/>
    <col min="54" max="54" width="35.83203125" style="354" customWidth="1"/>
    <col min="55" max="55" width="2.33203125" style="354" customWidth="1"/>
    <col min="56" max="56" width="35.83203125" style="354" customWidth="1"/>
    <col min="57" max="57" width="2.5" style="354" customWidth="1"/>
    <col min="58" max="58" width="35.83203125" style="354" customWidth="1"/>
    <col min="59" max="59" width="2.33203125" style="354" customWidth="1"/>
    <col min="60" max="60" width="4.6640625" style="354" customWidth="1"/>
    <col min="61" max="61" width="2.33203125" style="354" customWidth="1"/>
    <col min="62" max="62" width="1.1640625" style="354" customWidth="1"/>
    <col min="63" max="63" width="3.1640625" style="354" customWidth="1"/>
    <col min="64" max="64" width="12" style="354" customWidth="1"/>
    <col min="65" max="67" width="10.6640625" style="354"/>
    <col min="68" max="68" width="3.83203125" style="354" customWidth="1"/>
    <col min="69" max="16384" width="10.6640625" style="354"/>
  </cols>
  <sheetData>
    <row r="2" spans="2:62" s="275" customFormat="1" ht="92" x14ac:dyDescent="0.3">
      <c r="C2" s="296"/>
      <c r="D2" s="296"/>
      <c r="E2" s="276"/>
      <c r="F2" s="1535" t="s">
        <v>270</v>
      </c>
      <c r="G2" s="276"/>
      <c r="H2" s="276"/>
      <c r="I2" s="276"/>
      <c r="J2" s="276"/>
      <c r="K2" s="276"/>
      <c r="L2" s="276"/>
      <c r="M2" s="276"/>
      <c r="N2" s="276"/>
      <c r="O2" s="276"/>
      <c r="P2" s="276"/>
      <c r="Q2" s="276"/>
      <c r="R2" s="276"/>
      <c r="S2" s="276"/>
      <c r="T2" s="276"/>
      <c r="U2" s="276"/>
      <c r="V2" s="276"/>
      <c r="W2" s="276"/>
      <c r="X2" s="276"/>
      <c r="Y2" s="276"/>
      <c r="Z2" s="276"/>
      <c r="AA2" s="276"/>
      <c r="AB2" s="276"/>
    </row>
    <row r="3" spans="2:62" s="275" customFormat="1" ht="92" x14ac:dyDescent="1">
      <c r="C3" s="296"/>
      <c r="D3" s="296"/>
      <c r="E3" s="276"/>
      <c r="F3" s="354" t="s">
        <v>23</v>
      </c>
      <c r="G3" s="276"/>
      <c r="H3" s="276"/>
      <c r="I3" s="276"/>
      <c r="J3" s="276"/>
      <c r="K3" s="276"/>
      <c r="L3" s="276"/>
      <c r="M3" s="276"/>
      <c r="N3" s="276"/>
      <c r="O3" s="276"/>
      <c r="P3" s="276"/>
      <c r="Q3" s="276"/>
      <c r="R3" s="276"/>
      <c r="S3" s="276"/>
      <c r="T3" s="276"/>
      <c r="U3" s="276"/>
      <c r="V3" s="276"/>
      <c r="W3" s="276"/>
      <c r="X3" s="276"/>
      <c r="Y3" s="276"/>
      <c r="Z3" s="276"/>
      <c r="AA3" s="276"/>
      <c r="AB3" s="276"/>
    </row>
    <row r="4" spans="2:62" s="275" customFormat="1" ht="92" x14ac:dyDescent="1">
      <c r="C4" s="296"/>
      <c r="D4" s="296"/>
      <c r="E4" s="276"/>
      <c r="F4" s="354" t="s">
        <v>24</v>
      </c>
      <c r="G4" s="276"/>
      <c r="H4" s="276"/>
      <c r="I4" s="276"/>
      <c r="J4" s="276"/>
      <c r="K4" s="276"/>
      <c r="L4" s="276"/>
      <c r="M4" s="276"/>
      <c r="N4" s="276"/>
      <c r="O4" s="276"/>
      <c r="P4" s="276"/>
      <c r="Q4" s="276"/>
      <c r="R4" s="276"/>
      <c r="S4" s="276"/>
      <c r="T4" s="276"/>
      <c r="U4" s="276"/>
      <c r="V4" s="276"/>
      <c r="W4" s="276"/>
      <c r="X4" s="276"/>
      <c r="Y4" s="276"/>
      <c r="Z4" s="276"/>
      <c r="AA4" s="276"/>
      <c r="AB4" s="276"/>
    </row>
    <row r="5" spans="2:62" s="275" customFormat="1" ht="92" x14ac:dyDescent="1">
      <c r="C5" s="296"/>
      <c r="D5" s="296"/>
      <c r="E5" s="276"/>
      <c r="F5" s="1536" t="s">
        <v>367</v>
      </c>
      <c r="G5" s="276"/>
      <c r="H5" s="276"/>
      <c r="I5" s="276"/>
      <c r="J5" s="276"/>
      <c r="K5" s="276"/>
      <c r="L5" s="276"/>
      <c r="M5" s="276"/>
      <c r="N5" s="276"/>
      <c r="O5" s="276"/>
      <c r="P5" s="276"/>
      <c r="Q5" s="276"/>
      <c r="R5" s="276"/>
      <c r="S5" s="276"/>
      <c r="T5" s="276"/>
      <c r="U5" s="276"/>
      <c r="V5" s="276"/>
      <c r="W5" s="276"/>
      <c r="X5" s="276"/>
      <c r="Y5" s="276"/>
      <c r="Z5" s="276"/>
      <c r="AA5" s="276"/>
      <c r="AB5" s="276"/>
    </row>
    <row r="6" spans="2:62" s="275" customFormat="1" ht="92" x14ac:dyDescent="1">
      <c r="C6" s="296"/>
      <c r="D6" s="296"/>
      <c r="E6" s="276"/>
      <c r="F6" s="354" t="s">
        <v>366</v>
      </c>
      <c r="G6" s="276"/>
      <c r="H6" s="276"/>
      <c r="I6" s="276"/>
      <c r="J6" s="276"/>
      <c r="K6" s="276"/>
      <c r="L6" s="276"/>
      <c r="M6" s="276"/>
      <c r="N6" s="276"/>
      <c r="O6" s="276"/>
      <c r="P6" s="276"/>
      <c r="Q6" s="276"/>
      <c r="R6" s="276"/>
      <c r="S6" s="276"/>
      <c r="T6" s="276"/>
      <c r="U6" s="276"/>
      <c r="V6" s="276"/>
      <c r="W6" s="276"/>
      <c r="X6" s="276"/>
      <c r="Y6" s="276"/>
      <c r="Z6" s="276"/>
      <c r="AA6" s="276"/>
      <c r="AB6" s="276"/>
    </row>
    <row r="7" spans="2:62" s="275" customFormat="1" ht="92" x14ac:dyDescent="1">
      <c r="B7" s="354"/>
      <c r="C7" s="296"/>
      <c r="D7" s="296"/>
      <c r="E7" s="276"/>
      <c r="F7" s="276"/>
      <c r="G7" s="276"/>
      <c r="H7" s="276"/>
      <c r="I7" s="276"/>
      <c r="J7" s="276"/>
      <c r="K7" s="276"/>
      <c r="L7" s="276"/>
      <c r="M7" s="276"/>
      <c r="N7" s="276"/>
      <c r="O7" s="276"/>
      <c r="P7" s="276"/>
      <c r="Q7" s="276"/>
      <c r="R7" s="276"/>
      <c r="S7" s="276"/>
      <c r="T7" s="276"/>
      <c r="U7" s="276"/>
      <c r="V7" s="276"/>
      <c r="W7" s="276"/>
      <c r="X7" s="276"/>
      <c r="Y7" s="276"/>
      <c r="Z7" s="276"/>
      <c r="AA7" s="276"/>
      <c r="AB7" s="276"/>
    </row>
    <row r="8" spans="2:62" ht="95" customHeight="1" x14ac:dyDescent="1">
      <c r="F8" s="354" t="s">
        <v>254</v>
      </c>
    </row>
    <row r="9" spans="2:62" ht="95" customHeight="1" x14ac:dyDescent="1">
      <c r="F9" s="409"/>
      <c r="G9" s="409"/>
      <c r="H9" s="409"/>
      <c r="I9" s="409"/>
      <c r="J9" s="409"/>
      <c r="K9" s="409"/>
      <c r="L9" s="409"/>
      <c r="M9" s="409"/>
      <c r="N9" s="409"/>
      <c r="O9" s="409"/>
      <c r="P9" s="409"/>
      <c r="Q9" s="409"/>
      <c r="R9" s="409"/>
      <c r="S9" s="409"/>
      <c r="T9" s="409"/>
      <c r="U9" s="409"/>
      <c r="V9" s="409"/>
      <c r="W9" s="409"/>
      <c r="X9" s="409"/>
      <c r="Y9" s="409"/>
      <c r="Z9" s="410"/>
      <c r="AA9" s="410"/>
      <c r="AB9" s="409"/>
      <c r="AC9" s="409"/>
      <c r="AD9" s="409"/>
      <c r="AE9" s="409"/>
      <c r="AF9" s="409"/>
      <c r="AG9" s="409"/>
      <c r="AH9" s="409"/>
      <c r="AI9" s="409"/>
      <c r="AJ9" s="409"/>
      <c r="AK9" s="409"/>
      <c r="AL9" s="409"/>
      <c r="AM9" s="409"/>
      <c r="AN9" s="409"/>
      <c r="AO9" s="409"/>
      <c r="AP9" s="409"/>
      <c r="AQ9" s="409"/>
      <c r="AR9" s="409"/>
      <c r="AS9" s="409"/>
      <c r="AT9" s="409"/>
      <c r="AU9" s="409"/>
      <c r="AV9" s="409"/>
      <c r="AW9" s="409"/>
      <c r="AX9" s="409"/>
      <c r="AY9" s="409"/>
      <c r="AZ9" s="409"/>
      <c r="BA9" s="409"/>
      <c r="BB9" s="409"/>
      <c r="BC9" s="409"/>
      <c r="BD9" s="409"/>
      <c r="BE9" s="409"/>
      <c r="BF9" s="409"/>
    </row>
    <row r="10" spans="2:62" ht="95" customHeight="1" x14ac:dyDescent="1">
      <c r="F10" s="363" t="s">
        <v>136</v>
      </c>
      <c r="G10" s="363"/>
      <c r="H10" s="364"/>
      <c r="I10" s="364"/>
      <c r="J10" s="365"/>
      <c r="K10" s="365"/>
      <c r="L10" s="366"/>
      <c r="M10" s="366"/>
      <c r="N10" s="411"/>
      <c r="O10" s="411"/>
      <c r="P10" s="411"/>
      <c r="Q10" s="411"/>
      <c r="R10" s="411"/>
      <c r="S10" s="411"/>
      <c r="T10" s="411"/>
      <c r="U10" s="411"/>
      <c r="V10" s="411"/>
      <c r="W10" s="411"/>
      <c r="X10" s="411"/>
      <c r="Y10" s="411"/>
      <c r="Z10" s="411"/>
      <c r="AA10" s="411"/>
      <c r="AB10" s="411"/>
      <c r="AC10" s="411"/>
      <c r="AD10" s="411"/>
      <c r="AE10" s="411"/>
      <c r="AF10" s="411"/>
      <c r="AG10" s="411"/>
      <c r="AH10" s="411"/>
      <c r="AI10" s="411"/>
      <c r="AJ10" s="411"/>
      <c r="AK10" s="411"/>
      <c r="AL10" s="411"/>
      <c r="AM10" s="411"/>
      <c r="AN10" s="411"/>
      <c r="AO10" s="411"/>
      <c r="AP10" s="411"/>
      <c r="AQ10" s="411"/>
      <c r="AR10" s="411"/>
      <c r="AS10" s="411"/>
      <c r="AT10" s="411"/>
      <c r="AU10" s="411"/>
      <c r="AV10" s="411"/>
      <c r="AW10" s="411"/>
      <c r="AX10" s="411"/>
      <c r="AY10" s="411"/>
      <c r="AZ10" s="411"/>
      <c r="BA10" s="411"/>
      <c r="BB10" s="411"/>
      <c r="BC10" s="411"/>
      <c r="BD10" s="411"/>
      <c r="BE10" s="411"/>
      <c r="BF10" s="364"/>
      <c r="BG10" s="364"/>
      <c r="BH10" s="364"/>
      <c r="BI10" s="364"/>
      <c r="BJ10" s="364"/>
    </row>
    <row r="11" spans="2:62" ht="95" customHeight="1" x14ac:dyDescent="1">
      <c r="F11" s="412" t="s">
        <v>137</v>
      </c>
      <c r="G11" s="412"/>
      <c r="H11" s="413"/>
      <c r="I11" s="413"/>
      <c r="J11" s="413"/>
      <c r="K11" s="413"/>
      <c r="L11" s="413"/>
      <c r="M11" s="413"/>
      <c r="N11" s="414"/>
      <c r="O11" s="414"/>
      <c r="P11" s="414"/>
      <c r="Q11" s="414"/>
      <c r="R11" s="414"/>
      <c r="S11" s="414"/>
      <c r="T11" s="414"/>
      <c r="U11" s="414"/>
      <c r="V11" s="414"/>
      <c r="W11" s="414"/>
      <c r="X11" s="414"/>
      <c r="Y11" s="414"/>
      <c r="Z11" s="414"/>
      <c r="AA11" s="414"/>
      <c r="AB11" s="414"/>
      <c r="AC11" s="414"/>
      <c r="AD11" s="414"/>
      <c r="AE11" s="414"/>
      <c r="AF11" s="414"/>
      <c r="AG11" s="414"/>
      <c r="AH11" s="414"/>
      <c r="AI11" s="414"/>
      <c r="AJ11" s="414"/>
      <c r="AK11" s="414"/>
      <c r="AL11" s="414"/>
      <c r="AM11" s="414"/>
      <c r="AN11" s="414"/>
      <c r="AO11" s="414"/>
      <c r="AP11" s="414"/>
      <c r="AQ11" s="414"/>
      <c r="AR11" s="414"/>
      <c r="AS11" s="414"/>
      <c r="AT11" s="414"/>
      <c r="AU11" s="414"/>
      <c r="AV11" s="414"/>
      <c r="AW11" s="414"/>
      <c r="AX11" s="414"/>
      <c r="AY11" s="414"/>
      <c r="AZ11" s="414"/>
      <c r="BA11" s="414"/>
      <c r="BB11" s="414"/>
      <c r="BC11" s="414"/>
      <c r="BD11" s="414"/>
      <c r="BE11" s="414"/>
      <c r="BF11" s="414"/>
      <c r="BG11" s="414"/>
      <c r="BH11" s="414"/>
      <c r="BI11" s="414"/>
      <c r="BJ11" s="414"/>
    </row>
    <row r="12" spans="2:62" ht="95" customHeight="1" x14ac:dyDescent="1">
      <c r="F12" s="355"/>
      <c r="G12" s="355"/>
      <c r="N12" s="409"/>
      <c r="O12" s="409"/>
      <c r="P12" s="409"/>
      <c r="Q12" s="409"/>
      <c r="R12" s="409"/>
      <c r="S12" s="409"/>
      <c r="T12" s="409"/>
      <c r="U12" s="409"/>
      <c r="V12" s="409"/>
      <c r="W12" s="409"/>
      <c r="X12" s="409"/>
      <c r="Y12" s="409"/>
      <c r="Z12" s="409"/>
      <c r="AA12" s="409"/>
      <c r="AB12" s="409"/>
      <c r="AC12" s="409"/>
      <c r="AD12" s="409"/>
      <c r="AE12" s="409"/>
      <c r="AF12" s="409"/>
      <c r="AG12" s="409"/>
      <c r="AH12" s="409"/>
      <c r="AI12" s="409"/>
      <c r="AJ12" s="409"/>
      <c r="AK12" s="409"/>
      <c r="AL12" s="409"/>
      <c r="AM12" s="409"/>
      <c r="AN12" s="409"/>
      <c r="AO12" s="409"/>
      <c r="AP12" s="409"/>
      <c r="AQ12" s="409"/>
      <c r="AR12" s="409"/>
      <c r="AS12" s="409"/>
      <c r="AT12" s="409"/>
      <c r="AU12" s="409"/>
      <c r="AV12" s="409"/>
      <c r="AW12" s="409"/>
      <c r="AX12" s="409"/>
      <c r="AY12" s="409"/>
      <c r="AZ12" s="409"/>
      <c r="BA12" s="409"/>
      <c r="BB12" s="409"/>
      <c r="BC12" s="409"/>
      <c r="BD12" s="409"/>
      <c r="BE12" s="409"/>
      <c r="BF12" s="409"/>
    </row>
    <row r="13" spans="2:62" ht="95" customHeight="1" x14ac:dyDescent="1">
      <c r="F13" s="387"/>
      <c r="G13" s="387"/>
      <c r="H13" s="354" t="s">
        <v>272</v>
      </c>
      <c r="N13" s="409"/>
      <c r="O13" s="409"/>
      <c r="P13" s="409"/>
      <c r="Q13" s="409"/>
      <c r="R13" s="409"/>
      <c r="S13" s="409"/>
      <c r="T13" s="409"/>
      <c r="U13" s="409"/>
      <c r="V13" s="409"/>
      <c r="W13" s="409"/>
      <c r="X13" s="409"/>
      <c r="Y13" s="409"/>
      <c r="Z13" s="409"/>
      <c r="AA13" s="409"/>
      <c r="AB13" s="409"/>
      <c r="AC13" s="409"/>
      <c r="AD13" s="409"/>
      <c r="AE13" s="409"/>
      <c r="AF13" s="409"/>
      <c r="AG13" s="409"/>
      <c r="AH13" s="409"/>
      <c r="AI13" s="409"/>
      <c r="AJ13" s="409"/>
      <c r="AK13" s="409"/>
      <c r="AL13" s="409"/>
      <c r="AM13" s="409"/>
      <c r="AN13" s="409"/>
      <c r="AO13" s="409"/>
      <c r="AP13" s="409"/>
      <c r="AQ13" s="409"/>
      <c r="AR13" s="409"/>
      <c r="AS13" s="409"/>
      <c r="AT13" s="409"/>
      <c r="AU13" s="409"/>
      <c r="AV13" s="409"/>
      <c r="AW13" s="409"/>
      <c r="AX13" s="409"/>
      <c r="AY13" s="409"/>
      <c r="AZ13" s="409"/>
      <c r="BA13" s="409"/>
      <c r="BB13" s="409"/>
      <c r="BC13" s="409"/>
      <c r="BD13" s="409"/>
      <c r="BE13" s="409"/>
      <c r="BF13" s="409"/>
    </row>
    <row r="14" spans="2:62" ht="95" customHeight="1" x14ac:dyDescent="1">
      <c r="F14" s="409"/>
      <c r="G14" s="409"/>
      <c r="H14" s="409"/>
      <c r="I14" s="409"/>
      <c r="J14" s="409"/>
      <c r="K14" s="409"/>
      <c r="L14" s="409"/>
      <c r="M14" s="409"/>
      <c r="N14" s="409"/>
      <c r="O14" s="409"/>
      <c r="P14" s="409"/>
      <c r="Q14" s="409"/>
      <c r="R14" s="409"/>
      <c r="S14" s="409"/>
      <c r="T14" s="409"/>
      <c r="U14" s="409"/>
      <c r="V14" s="409"/>
      <c r="W14" s="409"/>
      <c r="X14" s="409"/>
      <c r="Y14" s="409"/>
      <c r="Z14" s="409"/>
      <c r="AA14" s="409"/>
      <c r="AB14" s="409"/>
      <c r="AC14" s="409"/>
      <c r="AD14" s="409"/>
      <c r="AE14" s="409"/>
      <c r="AF14" s="409"/>
      <c r="AG14" s="409"/>
      <c r="AH14" s="409"/>
      <c r="AI14" s="409"/>
      <c r="AJ14" s="409"/>
      <c r="AK14" s="409"/>
      <c r="AL14" s="409"/>
      <c r="AM14" s="409"/>
      <c r="AN14" s="409"/>
      <c r="AO14" s="409"/>
      <c r="AP14" s="409"/>
      <c r="AQ14" s="409"/>
      <c r="AR14" s="409"/>
      <c r="AS14" s="409"/>
      <c r="AT14" s="409"/>
      <c r="AU14" s="409"/>
      <c r="AV14" s="409"/>
      <c r="AW14" s="409"/>
      <c r="AX14" s="409"/>
      <c r="AY14" s="409"/>
      <c r="AZ14" s="409"/>
      <c r="BA14" s="409"/>
      <c r="BB14" s="409"/>
      <c r="BC14" s="409"/>
      <c r="BD14" s="409"/>
      <c r="BE14" s="415"/>
      <c r="BF14" s="409"/>
    </row>
    <row r="15" spans="2:62" ht="95" customHeight="1" x14ac:dyDescent="1">
      <c r="F15" s="409"/>
      <c r="G15" s="409"/>
      <c r="H15" s="409"/>
      <c r="I15" s="409"/>
      <c r="J15" s="416"/>
      <c r="K15" s="417"/>
      <c r="L15" s="417"/>
      <c r="M15" s="417"/>
      <c r="N15" s="417"/>
      <c r="O15" s="417"/>
      <c r="P15" s="417"/>
      <c r="Q15" s="417"/>
      <c r="R15" s="417"/>
      <c r="S15" s="417"/>
      <c r="T15" s="417"/>
      <c r="U15" s="417"/>
      <c r="V15" s="417"/>
      <c r="W15" s="417"/>
      <c r="X15" s="417"/>
      <c r="Y15" s="417"/>
      <c r="Z15" s="417"/>
      <c r="AA15" s="417"/>
      <c r="AB15" s="417"/>
      <c r="AC15" s="417"/>
      <c r="AD15" s="417"/>
      <c r="AE15" s="417"/>
      <c r="AF15" s="417"/>
      <c r="AG15" s="417"/>
      <c r="AH15" s="417"/>
      <c r="AI15" s="417"/>
      <c r="AJ15" s="417"/>
      <c r="AK15" s="417"/>
      <c r="AL15" s="417"/>
      <c r="AM15" s="417"/>
      <c r="AN15" s="417"/>
      <c r="AO15" s="417"/>
      <c r="AP15" s="417"/>
      <c r="AQ15" s="417"/>
      <c r="AR15" s="417"/>
      <c r="AS15" s="417"/>
      <c r="AT15" s="417"/>
      <c r="AU15" s="417"/>
      <c r="AV15" s="417"/>
      <c r="AW15" s="417"/>
      <c r="AX15" s="417"/>
      <c r="AY15" s="417"/>
      <c r="AZ15" s="417"/>
      <c r="BA15" s="417"/>
      <c r="BB15" s="417"/>
      <c r="BC15" s="417"/>
      <c r="BD15" s="417"/>
      <c r="BE15" s="418"/>
      <c r="BF15" s="409"/>
    </row>
    <row r="16" spans="2:62" ht="95" customHeight="1" x14ac:dyDescent="1">
      <c r="F16" s="419"/>
      <c r="G16" s="419"/>
      <c r="H16" s="409"/>
      <c r="I16" s="409"/>
      <c r="J16" s="420"/>
      <c r="K16" s="421"/>
      <c r="L16" s="422"/>
      <c r="M16" s="422"/>
      <c r="N16" s="422"/>
      <c r="O16" s="422"/>
      <c r="P16" s="422"/>
      <c r="Q16" s="422"/>
      <c r="R16" s="422"/>
      <c r="S16" s="422"/>
      <c r="T16" s="422"/>
      <c r="U16" s="422"/>
      <c r="V16" s="422"/>
      <c r="W16" s="422"/>
      <c r="X16" s="422"/>
      <c r="Y16" s="422"/>
      <c r="Z16" s="422"/>
      <c r="AA16" s="422"/>
      <c r="AB16" s="422"/>
      <c r="AC16" s="422"/>
      <c r="AD16" s="422"/>
      <c r="AE16" s="422"/>
      <c r="AF16" s="422"/>
      <c r="AG16" s="422"/>
      <c r="AH16" s="422"/>
      <c r="AI16" s="422"/>
      <c r="AJ16" s="422"/>
      <c r="AK16" s="422"/>
      <c r="AL16" s="422"/>
      <c r="AM16" s="422"/>
      <c r="AN16" s="422"/>
      <c r="AO16" s="422"/>
      <c r="AP16" s="422"/>
      <c r="AQ16" s="422"/>
      <c r="AR16" s="422"/>
      <c r="AS16" s="422"/>
      <c r="AT16" s="422"/>
      <c r="AU16" s="422"/>
      <c r="AV16" s="422"/>
      <c r="AW16" s="422"/>
      <c r="AX16" s="422"/>
      <c r="AY16" s="422"/>
      <c r="AZ16" s="422"/>
      <c r="BA16" s="422"/>
      <c r="BB16" s="422"/>
      <c r="BC16" s="422"/>
      <c r="BD16" s="421"/>
      <c r="BE16" s="423"/>
      <c r="BF16" s="409"/>
    </row>
    <row r="17" spans="4:58" ht="95" customHeight="1" x14ac:dyDescent="1">
      <c r="F17" s="424"/>
      <c r="G17" s="424"/>
      <c r="H17" s="419"/>
      <c r="I17" s="419"/>
      <c r="J17" s="425"/>
      <c r="K17" s="426"/>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6"/>
      <c r="BE17" s="428"/>
      <c r="BF17" s="409"/>
    </row>
    <row r="18" spans="4:58" ht="95" customHeight="1" x14ac:dyDescent="1">
      <c r="F18" s="409"/>
      <c r="G18" s="409"/>
      <c r="H18" s="419"/>
      <c r="I18" s="419"/>
      <c r="J18" s="425"/>
      <c r="K18" s="426"/>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6"/>
      <c r="BE18" s="428"/>
      <c r="BF18" s="419"/>
    </row>
    <row r="19" spans="4:58" ht="95" customHeight="1" x14ac:dyDescent="1">
      <c r="F19" s="409"/>
      <c r="G19" s="409"/>
      <c r="H19" s="409"/>
      <c r="I19" s="409"/>
      <c r="J19" s="420"/>
      <c r="K19" s="421"/>
      <c r="L19" s="422"/>
      <c r="M19" s="422"/>
      <c r="N19" s="422"/>
      <c r="O19" s="422"/>
      <c r="P19" s="422"/>
      <c r="Q19" s="422"/>
      <c r="R19" s="422"/>
      <c r="S19" s="422"/>
      <c r="T19" s="422"/>
      <c r="U19" s="422"/>
      <c r="V19" s="422"/>
      <c r="W19" s="422"/>
      <c r="X19" s="422"/>
      <c r="Y19" s="422"/>
      <c r="Z19" s="422"/>
      <c r="AA19" s="422"/>
      <c r="AB19" s="422"/>
      <c r="AC19" s="422"/>
      <c r="AD19" s="422"/>
      <c r="AE19" s="422"/>
      <c r="AF19" s="422"/>
      <c r="AG19" s="422"/>
      <c r="AH19" s="422"/>
      <c r="AI19" s="422"/>
      <c r="AJ19" s="422"/>
      <c r="AK19" s="422"/>
      <c r="AL19" s="422"/>
      <c r="AM19" s="422"/>
      <c r="AN19" s="422"/>
      <c r="AO19" s="422"/>
      <c r="AP19" s="422"/>
      <c r="AQ19" s="422"/>
      <c r="AR19" s="422"/>
      <c r="AS19" s="422"/>
      <c r="AT19" s="422"/>
      <c r="AU19" s="422"/>
      <c r="AV19" s="422"/>
      <c r="AW19" s="422"/>
      <c r="AX19" s="422"/>
      <c r="AY19" s="422"/>
      <c r="AZ19" s="422"/>
      <c r="BA19" s="422"/>
      <c r="BB19" s="422"/>
      <c r="BC19" s="422"/>
      <c r="BD19" s="421"/>
      <c r="BE19" s="423"/>
      <c r="BF19" s="409"/>
    </row>
    <row r="20" spans="4:58" ht="95" customHeight="1" x14ac:dyDescent="1">
      <c r="F20" s="419"/>
      <c r="G20" s="419"/>
      <c r="H20" s="409"/>
      <c r="I20" s="409"/>
      <c r="J20" s="420"/>
      <c r="K20" s="421"/>
      <c r="L20" s="422"/>
      <c r="M20" s="422"/>
      <c r="N20" s="422"/>
      <c r="O20" s="422"/>
      <c r="P20" s="422"/>
      <c r="Q20" s="422"/>
      <c r="R20" s="422"/>
      <c r="S20" s="422"/>
      <c r="T20" s="422"/>
      <c r="U20" s="422"/>
      <c r="V20" s="422"/>
      <c r="W20" s="422"/>
      <c r="X20" s="422"/>
      <c r="Y20" s="422"/>
      <c r="Z20" s="422"/>
      <c r="AA20" s="422"/>
      <c r="AB20" s="422"/>
      <c r="AC20" s="422"/>
      <c r="AD20" s="422"/>
      <c r="AE20" s="422"/>
      <c r="AF20" s="422"/>
      <c r="AG20" s="422"/>
      <c r="AH20" s="422"/>
      <c r="AI20" s="422"/>
      <c r="AJ20" s="422"/>
      <c r="AK20" s="422"/>
      <c r="AL20" s="422"/>
      <c r="AM20" s="422"/>
      <c r="AN20" s="422"/>
      <c r="AO20" s="422"/>
      <c r="AP20" s="422"/>
      <c r="AQ20" s="422"/>
      <c r="AR20" s="422"/>
      <c r="AS20" s="422"/>
      <c r="AT20" s="422"/>
      <c r="AU20" s="422"/>
      <c r="AV20" s="422"/>
      <c r="AW20" s="422"/>
      <c r="AX20" s="422"/>
      <c r="AY20" s="422"/>
      <c r="AZ20" s="422"/>
      <c r="BA20" s="422"/>
      <c r="BB20" s="422"/>
      <c r="BC20" s="422"/>
      <c r="BD20" s="421"/>
      <c r="BE20" s="423"/>
      <c r="BF20" s="409"/>
    </row>
    <row r="21" spans="4:58" ht="95" customHeight="1" x14ac:dyDescent="1">
      <c r="F21" s="424"/>
      <c r="G21" s="424"/>
      <c r="H21" s="409"/>
      <c r="I21" s="409"/>
      <c r="J21" s="420"/>
      <c r="K21" s="421"/>
      <c r="L21" s="422"/>
      <c r="M21" s="422"/>
      <c r="N21" s="422"/>
      <c r="O21" s="422"/>
      <c r="P21" s="422"/>
      <c r="Q21" s="422"/>
      <c r="R21" s="422"/>
      <c r="S21" s="422"/>
      <c r="T21" s="422"/>
      <c r="U21" s="422"/>
      <c r="V21" s="422"/>
      <c r="W21" s="422"/>
      <c r="X21" s="422"/>
      <c r="Y21" s="422"/>
      <c r="Z21" s="422"/>
      <c r="AA21" s="422"/>
      <c r="AB21" s="422"/>
      <c r="AC21" s="422"/>
      <c r="AD21" s="422"/>
      <c r="AE21" s="422"/>
      <c r="AF21" s="422"/>
      <c r="AG21" s="422"/>
      <c r="AH21" s="422"/>
      <c r="AI21" s="422"/>
      <c r="AJ21" s="422"/>
      <c r="AK21" s="422"/>
      <c r="AL21" s="422"/>
      <c r="AM21" s="422"/>
      <c r="AN21" s="422"/>
      <c r="AO21" s="422"/>
      <c r="AP21" s="422"/>
      <c r="AQ21" s="422"/>
      <c r="AR21" s="422"/>
      <c r="AS21" s="422"/>
      <c r="AT21" s="422"/>
      <c r="AU21" s="422"/>
      <c r="AV21" s="422"/>
      <c r="AW21" s="422"/>
      <c r="AX21" s="422"/>
      <c r="AY21" s="422"/>
      <c r="AZ21" s="422"/>
      <c r="BA21" s="422"/>
      <c r="BB21" s="422"/>
      <c r="BC21" s="422"/>
      <c r="BD21" s="421"/>
      <c r="BE21" s="423"/>
      <c r="BF21" s="409"/>
    </row>
    <row r="22" spans="4:58" ht="95" customHeight="1" x14ac:dyDescent="1">
      <c r="F22" s="409"/>
      <c r="G22" s="409"/>
      <c r="H22" s="409"/>
      <c r="I22" s="409"/>
      <c r="J22" s="420"/>
      <c r="K22" s="421"/>
      <c r="L22" s="422"/>
      <c r="M22" s="422"/>
      <c r="N22" s="422"/>
      <c r="O22" s="422"/>
      <c r="P22" s="422"/>
      <c r="Q22" s="422"/>
      <c r="R22" s="422"/>
      <c r="S22" s="422"/>
      <c r="T22" s="422"/>
      <c r="U22" s="422"/>
      <c r="V22" s="422"/>
      <c r="W22" s="422"/>
      <c r="X22" s="422"/>
      <c r="Y22" s="422"/>
      <c r="Z22" s="422"/>
      <c r="AA22" s="422"/>
      <c r="AB22" s="422"/>
      <c r="AC22" s="422"/>
      <c r="AD22" s="422"/>
      <c r="AE22" s="422"/>
      <c r="AF22" s="422"/>
      <c r="AG22" s="422"/>
      <c r="AH22" s="422"/>
      <c r="AI22" s="422"/>
      <c r="AJ22" s="422"/>
      <c r="AK22" s="422"/>
      <c r="AL22" s="422"/>
      <c r="AM22" s="422"/>
      <c r="AN22" s="422"/>
      <c r="AO22" s="422"/>
      <c r="AP22" s="422"/>
      <c r="AQ22" s="422"/>
      <c r="AR22" s="422"/>
      <c r="AS22" s="422"/>
      <c r="AT22" s="422"/>
      <c r="AU22" s="422"/>
      <c r="AV22" s="422"/>
      <c r="AW22" s="422"/>
      <c r="AX22" s="422"/>
      <c r="AY22" s="422"/>
      <c r="AZ22" s="422"/>
      <c r="BA22" s="422"/>
      <c r="BB22" s="422"/>
      <c r="BC22" s="422"/>
      <c r="BD22" s="421"/>
      <c r="BE22" s="423"/>
      <c r="BF22" s="409"/>
    </row>
    <row r="23" spans="4:58" ht="95" customHeight="1" x14ac:dyDescent="1">
      <c r="F23" s="409"/>
      <c r="G23" s="409"/>
      <c r="H23" s="409"/>
      <c r="I23" s="409"/>
      <c r="J23" s="420"/>
      <c r="K23" s="421"/>
      <c r="L23" s="422"/>
      <c r="M23" s="422"/>
      <c r="N23" s="429"/>
      <c r="O23" s="429"/>
      <c r="P23" s="429"/>
      <c r="Q23" s="429"/>
      <c r="R23" s="422"/>
      <c r="S23" s="422"/>
      <c r="T23" s="422"/>
      <c r="U23" s="422"/>
      <c r="V23" s="422"/>
      <c r="W23" s="422"/>
      <c r="X23" s="422"/>
      <c r="Y23" s="422"/>
      <c r="Z23" s="430"/>
      <c r="AA23" s="430"/>
      <c r="AB23" s="430"/>
      <c r="AC23" s="430"/>
      <c r="AD23" s="422"/>
      <c r="AE23" s="422"/>
      <c r="AF23" s="422"/>
      <c r="AG23" s="422"/>
      <c r="AH23" s="422"/>
      <c r="AI23" s="422"/>
      <c r="AJ23" s="422"/>
      <c r="AK23" s="422"/>
      <c r="AL23" s="422"/>
      <c r="AM23" s="422"/>
      <c r="AN23" s="422"/>
      <c r="AO23" s="422"/>
      <c r="AP23" s="422"/>
      <c r="AQ23" s="422"/>
      <c r="AR23" s="422"/>
      <c r="AS23" s="422"/>
      <c r="AT23" s="422"/>
      <c r="AU23" s="422"/>
      <c r="AV23" s="422"/>
      <c r="AW23" s="422"/>
      <c r="AX23" s="422"/>
      <c r="AY23" s="422"/>
      <c r="AZ23" s="422"/>
      <c r="BA23" s="422"/>
      <c r="BB23" s="422"/>
      <c r="BC23" s="422"/>
      <c r="BD23" s="421"/>
      <c r="BE23" s="423"/>
      <c r="BF23" s="409"/>
    </row>
    <row r="24" spans="4:58" ht="95" customHeight="1" x14ac:dyDescent="1">
      <c r="F24" s="409"/>
      <c r="G24" s="409"/>
      <c r="H24" s="409"/>
      <c r="I24" s="409"/>
      <c r="J24" s="420"/>
      <c r="K24" s="421"/>
      <c r="L24" s="422"/>
      <c r="M24" s="422"/>
      <c r="N24" s="429"/>
      <c r="O24" s="429"/>
      <c r="P24" s="429"/>
      <c r="Q24" s="429"/>
      <c r="R24" s="422"/>
      <c r="S24" s="422"/>
      <c r="T24" s="422"/>
      <c r="U24" s="422"/>
      <c r="V24" s="422"/>
      <c r="W24" s="422"/>
      <c r="X24" s="422"/>
      <c r="Y24" s="422"/>
      <c r="Z24" s="430"/>
      <c r="AA24" s="430"/>
      <c r="AB24" s="430"/>
      <c r="AC24" s="430"/>
      <c r="AD24" s="422"/>
      <c r="AE24" s="422"/>
      <c r="AF24" s="422"/>
      <c r="AG24" s="422"/>
      <c r="AH24" s="422"/>
      <c r="AI24" s="422"/>
      <c r="AJ24" s="422"/>
      <c r="AK24" s="422"/>
      <c r="AL24" s="422"/>
      <c r="AM24" s="422"/>
      <c r="AN24" s="422"/>
      <c r="AO24" s="422"/>
      <c r="AP24" s="422"/>
      <c r="AQ24" s="422"/>
      <c r="AR24" s="422"/>
      <c r="AS24" s="422"/>
      <c r="AT24" s="422"/>
      <c r="AU24" s="422"/>
      <c r="AV24" s="422"/>
      <c r="AW24" s="422"/>
      <c r="AX24" s="422"/>
      <c r="AY24" s="422"/>
      <c r="AZ24" s="422"/>
      <c r="BA24" s="422"/>
      <c r="BB24" s="422"/>
      <c r="BC24" s="422"/>
      <c r="BD24" s="421"/>
      <c r="BE24" s="423"/>
      <c r="BF24" s="409"/>
    </row>
    <row r="25" spans="4:58" ht="95" customHeight="1" x14ac:dyDescent="1">
      <c r="F25" s="409"/>
      <c r="G25" s="409"/>
      <c r="H25" s="419"/>
      <c r="I25" s="419"/>
      <c r="J25" s="431"/>
      <c r="K25" s="432"/>
      <c r="L25" s="433"/>
      <c r="M25" s="433"/>
      <c r="N25" s="433"/>
      <c r="O25" s="433"/>
      <c r="P25" s="433"/>
      <c r="Q25" s="433"/>
      <c r="R25" s="433"/>
      <c r="S25" s="433"/>
      <c r="T25" s="433"/>
      <c r="U25" s="433"/>
      <c r="V25" s="433"/>
      <c r="W25" s="433"/>
      <c r="X25" s="433"/>
      <c r="Y25" s="433"/>
      <c r="Z25" s="429"/>
      <c r="AA25" s="429"/>
      <c r="AB25" s="429"/>
      <c r="AC25" s="429"/>
      <c r="AD25" s="433"/>
      <c r="AE25" s="433"/>
      <c r="AF25" s="433"/>
      <c r="AG25" s="433"/>
      <c r="AH25" s="427"/>
      <c r="AI25" s="427"/>
      <c r="AJ25" s="434"/>
      <c r="AK25" s="434"/>
      <c r="AL25" s="427"/>
      <c r="AM25" s="427"/>
      <c r="AN25" s="434"/>
      <c r="AO25" s="434"/>
      <c r="AP25" s="422"/>
      <c r="AQ25" s="422"/>
      <c r="AR25" s="427"/>
      <c r="AS25" s="427"/>
      <c r="AT25" s="427"/>
      <c r="AU25" s="427"/>
      <c r="AV25" s="427"/>
      <c r="AW25" s="427"/>
      <c r="AX25" s="427"/>
      <c r="AY25" s="427"/>
      <c r="AZ25" s="427"/>
      <c r="BA25" s="427"/>
      <c r="BB25" s="427"/>
      <c r="BC25" s="427"/>
      <c r="BD25" s="426"/>
      <c r="BE25" s="428"/>
      <c r="BF25" s="409"/>
    </row>
    <row r="26" spans="4:58" ht="95" customHeight="1" x14ac:dyDescent="1">
      <c r="F26" s="409"/>
      <c r="G26" s="409"/>
      <c r="H26" s="419"/>
      <c r="I26" s="419"/>
      <c r="J26" s="435"/>
      <c r="K26" s="436"/>
      <c r="L26" s="437"/>
      <c r="M26" s="437"/>
      <c r="N26" s="437"/>
      <c r="O26" s="437"/>
      <c r="P26" s="433"/>
      <c r="Q26" s="433"/>
      <c r="R26" s="437"/>
      <c r="S26" s="437"/>
      <c r="T26" s="437"/>
      <c r="U26" s="437"/>
      <c r="V26" s="437"/>
      <c r="W26" s="437"/>
      <c r="X26" s="437"/>
      <c r="Y26" s="437"/>
      <c r="Z26" s="438"/>
      <c r="AA26" s="438"/>
      <c r="AB26" s="430"/>
      <c r="AC26" s="430"/>
      <c r="AD26" s="437"/>
      <c r="AE26" s="437"/>
      <c r="AF26" s="437"/>
      <c r="AG26" s="437"/>
      <c r="AH26" s="439"/>
      <c r="AI26" s="439"/>
      <c r="AJ26" s="440"/>
      <c r="AK26" s="440"/>
      <c r="AL26" s="422"/>
      <c r="AM26" s="422"/>
      <c r="AN26" s="441"/>
      <c r="AO26" s="441"/>
      <c r="AP26" s="422"/>
      <c r="AQ26" s="422"/>
      <c r="AR26" s="439"/>
      <c r="AS26" s="439"/>
      <c r="AT26" s="439"/>
      <c r="AU26" s="439"/>
      <c r="AV26" s="439"/>
      <c r="AW26" s="439"/>
      <c r="AX26" s="439"/>
      <c r="AY26" s="439"/>
      <c r="AZ26" s="427"/>
      <c r="BA26" s="427"/>
      <c r="BB26" s="439"/>
      <c r="BC26" s="439"/>
      <c r="BD26" s="442"/>
      <c r="BE26" s="443"/>
      <c r="BF26" s="419"/>
    </row>
    <row r="27" spans="4:58" ht="95" customHeight="1" x14ac:dyDescent="1">
      <c r="F27" s="409"/>
      <c r="G27" s="409"/>
      <c r="H27" s="409"/>
      <c r="I27" s="409"/>
      <c r="J27" s="420"/>
      <c r="K27" s="421"/>
      <c r="L27" s="422"/>
      <c r="M27" s="422"/>
      <c r="N27" s="429"/>
      <c r="O27" s="429"/>
      <c r="P27" s="429"/>
      <c r="Q27" s="429"/>
      <c r="R27" s="422"/>
      <c r="S27" s="422"/>
      <c r="T27" s="422"/>
      <c r="U27" s="422"/>
      <c r="V27" s="422"/>
      <c r="W27" s="422"/>
      <c r="X27" s="422"/>
      <c r="Y27" s="422"/>
      <c r="Z27" s="430"/>
      <c r="AA27" s="430"/>
      <c r="AB27" s="430"/>
      <c r="AC27" s="430"/>
      <c r="AD27" s="422"/>
      <c r="AE27" s="422"/>
      <c r="AF27" s="422"/>
      <c r="AG27" s="422"/>
      <c r="AH27" s="422"/>
      <c r="AI27" s="422"/>
      <c r="AJ27" s="422"/>
      <c r="AK27" s="422"/>
      <c r="AL27" s="422"/>
      <c r="AM27" s="422"/>
      <c r="AN27" s="422"/>
      <c r="AO27" s="422"/>
      <c r="AP27" s="422"/>
      <c r="AQ27" s="422"/>
      <c r="AR27" s="422"/>
      <c r="AS27" s="422"/>
      <c r="AT27" s="422"/>
      <c r="AU27" s="422"/>
      <c r="AV27" s="422"/>
      <c r="AW27" s="422"/>
      <c r="AX27" s="422"/>
      <c r="AY27" s="422"/>
      <c r="AZ27" s="422"/>
      <c r="BA27" s="422"/>
      <c r="BB27" s="422"/>
      <c r="BC27" s="422"/>
      <c r="BD27" s="421"/>
      <c r="BE27" s="423"/>
      <c r="BF27" s="409"/>
    </row>
    <row r="28" spans="4:58" ht="95" customHeight="1" x14ac:dyDescent="1">
      <c r="F28" s="409"/>
      <c r="G28" s="409"/>
      <c r="H28" s="409"/>
      <c r="I28" s="409"/>
      <c r="J28" s="444"/>
      <c r="K28" s="445"/>
      <c r="L28" s="445"/>
      <c r="M28" s="445"/>
      <c r="N28" s="445"/>
      <c r="O28" s="445"/>
      <c r="P28" s="445"/>
      <c r="Q28" s="445"/>
      <c r="R28" s="445"/>
      <c r="S28" s="445"/>
      <c r="T28" s="445"/>
      <c r="U28" s="445"/>
      <c r="V28" s="445"/>
      <c r="W28" s="445"/>
      <c r="X28" s="445"/>
      <c r="Y28" s="445"/>
      <c r="Z28" s="445"/>
      <c r="AA28" s="445"/>
      <c r="AB28" s="445"/>
      <c r="AC28" s="445"/>
      <c r="AD28" s="445"/>
      <c r="AE28" s="445"/>
      <c r="AF28" s="445"/>
      <c r="AG28" s="445"/>
      <c r="AH28" s="445"/>
      <c r="AI28" s="445"/>
      <c r="AJ28" s="445"/>
      <c r="AK28" s="445"/>
      <c r="AL28" s="445"/>
      <c r="AM28" s="445"/>
      <c r="AN28" s="445"/>
      <c r="AO28" s="445"/>
      <c r="AP28" s="445"/>
      <c r="AQ28" s="445"/>
      <c r="AR28" s="445"/>
      <c r="AS28" s="445"/>
      <c r="AT28" s="445"/>
      <c r="AU28" s="445"/>
      <c r="AV28" s="445"/>
      <c r="AW28" s="445"/>
      <c r="AX28" s="445"/>
      <c r="AY28" s="445"/>
      <c r="AZ28" s="445"/>
      <c r="BA28" s="445"/>
      <c r="BB28" s="445"/>
      <c r="BC28" s="445"/>
      <c r="BD28" s="445"/>
      <c r="BE28" s="446"/>
      <c r="BF28" s="447"/>
    </row>
    <row r="29" spans="4:58" ht="95" customHeight="1" x14ac:dyDescent="1">
      <c r="F29" s="409"/>
      <c r="G29" s="409"/>
      <c r="H29" s="409"/>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409"/>
      <c r="AH29" s="409"/>
      <c r="AI29" s="409"/>
      <c r="AJ29" s="409"/>
      <c r="AK29" s="409"/>
      <c r="AL29" s="409"/>
      <c r="AM29" s="409"/>
      <c r="AN29" s="409"/>
      <c r="AO29" s="409"/>
      <c r="AP29" s="409"/>
      <c r="AQ29" s="409"/>
      <c r="AR29" s="409"/>
      <c r="AS29" s="409"/>
      <c r="AT29" s="409"/>
      <c r="AU29" s="409"/>
      <c r="AV29" s="409"/>
      <c r="AW29" s="409"/>
      <c r="AX29" s="409"/>
      <c r="AY29" s="409"/>
      <c r="AZ29" s="409"/>
      <c r="BA29" s="409"/>
      <c r="BB29" s="409"/>
      <c r="BC29" s="409"/>
      <c r="BD29" s="409"/>
      <c r="BE29" s="409"/>
      <c r="BF29" s="409"/>
    </row>
    <row r="30" spans="4:58" ht="95" customHeight="1" x14ac:dyDescent="1">
      <c r="F30" s="412" t="s">
        <v>273</v>
      </c>
      <c r="G30" s="412"/>
      <c r="H30" s="414"/>
      <c r="I30" s="414"/>
      <c r="J30" s="414"/>
      <c r="K30" s="414"/>
      <c r="L30" s="414"/>
      <c r="M30" s="414"/>
      <c r="N30" s="414"/>
      <c r="O30" s="414"/>
      <c r="P30" s="414"/>
      <c r="Q30" s="414"/>
      <c r="R30" s="414"/>
      <c r="S30" s="414"/>
      <c r="T30" s="414"/>
      <c r="U30" s="414"/>
      <c r="V30" s="414"/>
      <c r="W30" s="414"/>
      <c r="X30" s="414"/>
      <c r="Y30" s="414"/>
      <c r="Z30" s="414"/>
      <c r="AA30" s="414"/>
      <c r="AB30" s="414"/>
      <c r="AC30" s="414"/>
      <c r="AD30" s="414"/>
      <c r="AE30" s="414"/>
      <c r="AF30" s="414"/>
      <c r="AG30" s="414"/>
      <c r="AH30" s="414"/>
      <c r="AI30" s="414"/>
      <c r="AJ30" s="414"/>
      <c r="AK30" s="414"/>
      <c r="AL30" s="414"/>
      <c r="AM30" s="414"/>
      <c r="AN30" s="414"/>
      <c r="AO30" s="414"/>
      <c r="AP30" s="414"/>
      <c r="AQ30" s="414"/>
      <c r="AR30" s="414"/>
      <c r="AS30" s="414"/>
      <c r="AT30" s="414"/>
      <c r="AU30" s="414"/>
      <c r="AV30" s="414"/>
      <c r="AW30" s="414"/>
      <c r="AX30" s="414"/>
      <c r="AY30" s="414"/>
      <c r="AZ30" s="414"/>
      <c r="BA30" s="414"/>
      <c r="BB30" s="414"/>
      <c r="BC30" s="414"/>
      <c r="BD30" s="414"/>
      <c r="BE30" s="414"/>
      <c r="BF30" s="414"/>
    </row>
    <row r="31" spans="4:58" ht="95" customHeight="1" x14ac:dyDescent="1">
      <c r="D31" s="408"/>
      <c r="E31" s="408"/>
      <c r="F31" s="447"/>
      <c r="G31" s="447"/>
      <c r="H31" s="447"/>
      <c r="I31" s="447"/>
      <c r="J31" s="447"/>
      <c r="K31" s="409"/>
      <c r="L31" s="409"/>
      <c r="M31" s="409"/>
      <c r="N31" s="409"/>
      <c r="O31" s="409"/>
      <c r="P31" s="409"/>
      <c r="Q31" s="409"/>
      <c r="R31" s="409"/>
      <c r="S31" s="409"/>
      <c r="T31" s="409"/>
      <c r="U31" s="409"/>
      <c r="V31" s="409"/>
      <c r="W31" s="409"/>
      <c r="X31" s="409"/>
      <c r="Y31" s="409"/>
      <c r="Z31" s="409"/>
      <c r="AA31" s="409"/>
      <c r="AB31" s="409"/>
      <c r="AC31" s="409"/>
      <c r="AD31" s="409"/>
      <c r="AE31" s="409"/>
      <c r="AF31" s="409"/>
      <c r="AG31" s="409"/>
      <c r="AH31" s="409"/>
      <c r="AI31" s="409"/>
      <c r="AJ31" s="409"/>
      <c r="AK31" s="409"/>
      <c r="AL31" s="409"/>
      <c r="AM31" s="409"/>
      <c r="AN31" s="409"/>
      <c r="AO31" s="409"/>
      <c r="AP31" s="409"/>
      <c r="AQ31" s="409"/>
      <c r="AR31" s="409"/>
      <c r="AS31" s="409"/>
      <c r="AT31" s="409"/>
      <c r="AU31" s="409"/>
      <c r="AV31" s="409"/>
      <c r="AW31" s="409"/>
      <c r="AX31" s="409"/>
      <c r="AY31" s="409"/>
      <c r="AZ31" s="409"/>
      <c r="BA31" s="409"/>
      <c r="BB31" s="409"/>
      <c r="BC31" s="409"/>
      <c r="BD31" s="409"/>
      <c r="BE31" s="409"/>
      <c r="BF31" s="409"/>
    </row>
    <row r="32" spans="4:58" ht="95" customHeight="1" x14ac:dyDescent="1">
      <c r="F32" s="448"/>
      <c r="G32" s="449"/>
      <c r="H32" s="450"/>
      <c r="I32" s="451"/>
      <c r="J32" s="452"/>
      <c r="K32" s="452"/>
      <c r="L32" s="452"/>
      <c r="M32" s="452"/>
      <c r="N32" s="453"/>
      <c r="O32" s="453"/>
      <c r="P32" s="452"/>
      <c r="Q32" s="452"/>
      <c r="R32" s="452"/>
      <c r="S32" s="452"/>
      <c r="T32" s="452"/>
      <c r="U32" s="452"/>
      <c r="V32" s="452"/>
      <c r="W32" s="452"/>
      <c r="X32" s="452"/>
      <c r="Y32" s="452"/>
      <c r="Z32" s="452"/>
      <c r="AA32" s="452"/>
      <c r="AB32" s="452"/>
      <c r="AC32" s="452"/>
      <c r="AD32" s="452"/>
      <c r="AE32" s="452"/>
      <c r="AF32" s="452"/>
      <c r="AG32" s="452"/>
      <c r="AH32" s="452"/>
      <c r="AI32" s="452"/>
      <c r="AJ32" s="453"/>
      <c r="AK32" s="453"/>
      <c r="AL32" s="453"/>
      <c r="AM32" s="453"/>
      <c r="AN32" s="453"/>
      <c r="AO32" s="453"/>
      <c r="AP32" s="454"/>
      <c r="AQ32" s="453"/>
      <c r="AR32" s="452"/>
      <c r="AS32" s="452"/>
      <c r="AT32" s="452"/>
      <c r="AU32" s="452"/>
      <c r="AV32" s="452"/>
      <c r="AW32" s="452"/>
      <c r="AX32" s="452"/>
      <c r="AY32" s="452"/>
      <c r="AZ32" s="453"/>
      <c r="BA32" s="453"/>
      <c r="BB32" s="452"/>
      <c r="BC32" s="452"/>
      <c r="BD32" s="455"/>
      <c r="BE32" s="449"/>
      <c r="BF32" s="456"/>
    </row>
    <row r="33" spans="3:58" ht="95" customHeight="1" x14ac:dyDescent="1">
      <c r="F33" s="383"/>
      <c r="G33" s="384"/>
      <c r="H33" s="385"/>
      <c r="I33" s="386"/>
      <c r="J33" s="387"/>
      <c r="K33" s="387"/>
      <c r="L33" s="387"/>
      <c r="M33" s="387"/>
      <c r="N33" s="388"/>
      <c r="O33" s="388"/>
      <c r="P33" s="387"/>
      <c r="Q33" s="387"/>
      <c r="R33" s="387"/>
      <c r="S33" s="387"/>
      <c r="T33" s="387"/>
      <c r="U33" s="387"/>
      <c r="V33" s="387"/>
      <c r="W33" s="387"/>
      <c r="X33" s="387"/>
      <c r="Y33" s="387"/>
      <c r="Z33" s="387"/>
      <c r="AA33" s="387"/>
      <c r="AB33" s="387"/>
      <c r="AC33" s="387"/>
      <c r="AD33" s="387"/>
      <c r="AE33" s="387"/>
      <c r="AF33" s="387"/>
      <c r="AG33" s="387"/>
      <c r="AH33" s="387"/>
      <c r="AI33" s="387"/>
      <c r="AJ33" s="388"/>
      <c r="AK33" s="388"/>
      <c r="AL33" s="388"/>
      <c r="AM33" s="388"/>
      <c r="AN33" s="388"/>
      <c r="AO33" s="388"/>
      <c r="AP33" s="391"/>
      <c r="AQ33" s="392"/>
      <c r="AR33" s="387"/>
      <c r="AS33" s="387"/>
      <c r="AT33" s="387"/>
      <c r="AU33" s="387"/>
      <c r="AV33" s="387"/>
      <c r="AW33" s="387"/>
      <c r="AX33" s="387"/>
      <c r="AY33" s="387"/>
      <c r="AZ33" s="388"/>
      <c r="BA33" s="388"/>
      <c r="BB33" s="387"/>
      <c r="BC33" s="387"/>
      <c r="BD33" s="385"/>
      <c r="BE33" s="389"/>
      <c r="BF33" s="390"/>
    </row>
    <row r="34" spans="3:58" ht="95" customHeight="1" x14ac:dyDescent="1">
      <c r="F34" s="373"/>
      <c r="G34" s="374"/>
      <c r="H34" s="375"/>
      <c r="I34" s="376"/>
      <c r="J34" s="377"/>
      <c r="K34" s="377"/>
      <c r="L34" s="377"/>
      <c r="M34" s="377"/>
      <c r="N34" s="378"/>
      <c r="O34" s="378"/>
      <c r="P34" s="377"/>
      <c r="Q34" s="377"/>
      <c r="R34" s="377"/>
      <c r="S34" s="377"/>
      <c r="T34" s="377"/>
      <c r="U34" s="377"/>
      <c r="V34" s="377"/>
      <c r="W34" s="377"/>
      <c r="X34" s="377"/>
      <c r="Y34" s="377"/>
      <c r="Z34" s="377"/>
      <c r="AA34" s="377"/>
      <c r="AB34" s="377"/>
      <c r="AC34" s="377"/>
      <c r="AD34" s="377"/>
      <c r="AE34" s="377"/>
      <c r="AF34" s="377"/>
      <c r="AG34" s="377"/>
      <c r="AH34" s="377"/>
      <c r="AI34" s="377"/>
      <c r="AJ34" s="378"/>
      <c r="AK34" s="378"/>
      <c r="AL34" s="378"/>
      <c r="AM34" s="378"/>
      <c r="AN34" s="378"/>
      <c r="AO34" s="378"/>
      <c r="AP34" s="379"/>
      <c r="AQ34" s="380"/>
      <c r="AR34" s="377"/>
      <c r="AS34" s="377"/>
      <c r="AT34" s="377"/>
      <c r="AU34" s="377"/>
      <c r="AV34" s="377"/>
      <c r="AW34" s="377"/>
      <c r="AX34" s="377"/>
      <c r="AY34" s="377"/>
      <c r="AZ34" s="378"/>
      <c r="BA34" s="378"/>
      <c r="BB34" s="377"/>
      <c r="BC34" s="377"/>
      <c r="BD34" s="375"/>
      <c r="BE34" s="381"/>
      <c r="BF34" s="390"/>
    </row>
    <row r="35" spans="3:58" ht="95" customHeight="1" x14ac:dyDescent="1">
      <c r="F35" s="373" t="s">
        <v>124</v>
      </c>
      <c r="G35" s="374"/>
      <c r="H35" s="375" t="s">
        <v>127</v>
      </c>
      <c r="I35" s="376"/>
      <c r="J35" s="377"/>
      <c r="K35" s="377"/>
      <c r="L35" s="377"/>
      <c r="M35" s="377"/>
      <c r="N35" s="378" t="s">
        <v>175</v>
      </c>
      <c r="O35" s="378"/>
      <c r="P35" s="377"/>
      <c r="Q35" s="377"/>
      <c r="R35" s="377"/>
      <c r="S35" s="377"/>
      <c r="T35" s="377"/>
      <c r="U35" s="377"/>
      <c r="V35" s="377"/>
      <c r="W35" s="377"/>
      <c r="X35" s="377"/>
      <c r="Y35" s="377"/>
      <c r="Z35" s="377"/>
      <c r="AA35" s="377"/>
      <c r="AB35" s="377"/>
      <c r="AC35" s="377"/>
      <c r="AD35" s="377"/>
      <c r="AE35" s="377"/>
      <c r="AF35" s="377"/>
      <c r="AG35" s="377"/>
      <c r="AH35" s="377"/>
      <c r="AI35" s="377"/>
      <c r="AJ35" s="2017" t="s">
        <v>124</v>
      </c>
      <c r="AK35" s="2017"/>
      <c r="AL35" s="2017"/>
      <c r="AM35" s="2017"/>
      <c r="AN35" s="2017"/>
      <c r="AO35" s="2018"/>
      <c r="AP35" s="379" t="s">
        <v>177</v>
      </c>
      <c r="AQ35" s="380"/>
      <c r="AR35" s="377"/>
      <c r="AS35" s="377"/>
      <c r="AT35" s="377"/>
      <c r="AU35" s="377"/>
      <c r="AV35" s="377"/>
      <c r="AW35" s="377"/>
      <c r="AX35" s="377"/>
      <c r="AY35" s="377"/>
      <c r="AZ35" s="378" t="s">
        <v>175</v>
      </c>
      <c r="BA35" s="378"/>
      <c r="BB35" s="377"/>
      <c r="BC35" s="377"/>
      <c r="BD35" s="375"/>
      <c r="BE35" s="381"/>
      <c r="BF35" s="382" t="s">
        <v>124</v>
      </c>
    </row>
    <row r="36" spans="3:58" ht="95" customHeight="1" x14ac:dyDescent="1">
      <c r="F36" s="383"/>
      <c r="G36" s="384"/>
      <c r="H36" s="385"/>
      <c r="I36" s="386"/>
      <c r="J36" s="387"/>
      <c r="K36" s="387"/>
      <c r="L36" s="387"/>
      <c r="M36" s="387"/>
      <c r="N36" s="378" t="s">
        <v>127</v>
      </c>
      <c r="O36" s="378"/>
      <c r="P36" s="387"/>
      <c r="Q36" s="387"/>
      <c r="R36" s="387"/>
      <c r="S36" s="387"/>
      <c r="T36" s="387"/>
      <c r="U36" s="387"/>
      <c r="V36" s="387"/>
      <c r="W36" s="387"/>
      <c r="X36" s="387"/>
      <c r="Y36" s="387"/>
      <c r="Z36" s="387"/>
      <c r="AA36" s="387"/>
      <c r="AB36" s="387"/>
      <c r="AC36" s="387"/>
      <c r="AD36" s="387"/>
      <c r="AE36" s="387"/>
      <c r="AF36" s="387"/>
      <c r="AG36" s="387"/>
      <c r="AH36" s="387"/>
      <c r="AI36" s="387"/>
      <c r="AJ36" s="388"/>
      <c r="AK36" s="388"/>
      <c r="AL36" s="388"/>
      <c r="AM36" s="388"/>
      <c r="AN36" s="388"/>
      <c r="AO36" s="388"/>
      <c r="AP36" s="379" t="s">
        <v>127</v>
      </c>
      <c r="AQ36" s="380"/>
      <c r="AR36" s="387"/>
      <c r="AS36" s="387"/>
      <c r="AT36" s="387"/>
      <c r="AU36" s="387"/>
      <c r="AV36" s="387"/>
      <c r="AW36" s="387"/>
      <c r="AX36" s="387"/>
      <c r="AY36" s="387"/>
      <c r="AZ36" s="378" t="s">
        <v>127</v>
      </c>
      <c r="BA36" s="378"/>
      <c r="BB36" s="387"/>
      <c r="BC36" s="387"/>
      <c r="BD36" s="385"/>
      <c r="BE36" s="389"/>
      <c r="BF36" s="390"/>
    </row>
    <row r="37" spans="3:58" ht="95" customHeight="1" x14ac:dyDescent="1">
      <c r="F37" s="383"/>
      <c r="G37" s="384"/>
      <c r="H37" s="385"/>
      <c r="I37" s="386"/>
      <c r="J37" s="387"/>
      <c r="K37" s="387"/>
      <c r="L37" s="387"/>
      <c r="M37" s="387"/>
      <c r="N37" s="388"/>
      <c r="O37" s="388"/>
      <c r="P37" s="387"/>
      <c r="Q37" s="387"/>
      <c r="R37" s="387"/>
      <c r="S37" s="387"/>
      <c r="T37" s="387"/>
      <c r="U37" s="387"/>
      <c r="V37" s="387"/>
      <c r="W37" s="387"/>
      <c r="X37" s="387"/>
      <c r="Y37" s="387"/>
      <c r="Z37" s="387"/>
      <c r="AA37" s="387"/>
      <c r="AB37" s="387"/>
      <c r="AC37" s="387"/>
      <c r="AD37" s="387"/>
      <c r="AE37" s="387"/>
      <c r="AF37" s="387"/>
      <c r="AG37" s="387"/>
      <c r="AH37" s="387"/>
      <c r="AI37" s="387"/>
      <c r="AJ37" s="388"/>
      <c r="AK37" s="388"/>
      <c r="AL37" s="388"/>
      <c r="AM37" s="388"/>
      <c r="AN37" s="388"/>
      <c r="AO37" s="388"/>
      <c r="AP37" s="391"/>
      <c r="AQ37" s="392"/>
      <c r="AR37" s="387"/>
      <c r="AS37" s="387"/>
      <c r="AT37" s="387"/>
      <c r="AU37" s="387"/>
      <c r="AV37" s="387"/>
      <c r="AW37" s="387"/>
      <c r="AX37" s="387"/>
      <c r="AY37" s="387"/>
      <c r="AZ37" s="388"/>
      <c r="BA37" s="388"/>
      <c r="BB37" s="387"/>
      <c r="BC37" s="387"/>
      <c r="BD37" s="385"/>
      <c r="BE37" s="389"/>
      <c r="BF37" s="390"/>
    </row>
    <row r="38" spans="3:58" ht="95" customHeight="1" x14ac:dyDescent="1">
      <c r="F38" s="383"/>
      <c r="G38" s="384"/>
      <c r="H38" s="385"/>
      <c r="I38" s="386"/>
      <c r="J38" s="387"/>
      <c r="K38" s="387"/>
      <c r="L38" s="387"/>
      <c r="M38" s="387"/>
      <c r="N38" s="388"/>
      <c r="O38" s="388"/>
      <c r="P38" s="387"/>
      <c r="Q38" s="387"/>
      <c r="R38" s="387"/>
      <c r="S38" s="387"/>
      <c r="T38" s="387"/>
      <c r="U38" s="387"/>
      <c r="V38" s="387"/>
      <c r="W38" s="387"/>
      <c r="X38" s="387"/>
      <c r="Y38" s="387"/>
      <c r="Z38" s="387"/>
      <c r="AA38" s="387"/>
      <c r="AB38" s="387"/>
      <c r="AC38" s="387"/>
      <c r="AD38" s="387"/>
      <c r="AE38" s="387"/>
      <c r="AF38" s="387"/>
      <c r="AG38" s="387"/>
      <c r="AH38" s="387"/>
      <c r="AI38" s="387"/>
      <c r="AJ38" s="388"/>
      <c r="AK38" s="388"/>
      <c r="AL38" s="388"/>
      <c r="AM38" s="388"/>
      <c r="AN38" s="388"/>
      <c r="AO38" s="388"/>
      <c r="AP38" s="391"/>
      <c r="AQ38" s="392"/>
      <c r="AR38" s="387"/>
      <c r="AS38" s="387"/>
      <c r="AT38" s="387"/>
      <c r="AU38" s="387"/>
      <c r="AV38" s="387"/>
      <c r="AW38" s="387"/>
      <c r="AX38" s="387"/>
      <c r="AY38" s="387"/>
      <c r="AZ38" s="388"/>
      <c r="BA38" s="388"/>
      <c r="BB38" s="387"/>
      <c r="BC38" s="387"/>
      <c r="BD38" s="385"/>
      <c r="BE38" s="389"/>
      <c r="BF38" s="390"/>
    </row>
    <row r="39" spans="3:58" ht="95" customHeight="1" x14ac:dyDescent="1">
      <c r="F39" s="393"/>
      <c r="G39" s="394"/>
      <c r="H39" s="395"/>
      <c r="I39" s="396"/>
      <c r="J39" s="2019" t="s">
        <v>78</v>
      </c>
      <c r="K39" s="1990"/>
      <c r="L39" s="1990"/>
      <c r="M39" s="1990"/>
      <c r="N39" s="1990"/>
      <c r="O39" s="1990"/>
      <c r="P39" s="1990"/>
      <c r="Q39" s="1990"/>
      <c r="R39" s="1990"/>
      <c r="S39" s="1990"/>
      <c r="T39" s="1990"/>
      <c r="U39" s="1990"/>
      <c r="V39" s="1990"/>
      <c r="W39" s="1990"/>
      <c r="X39" s="1990"/>
      <c r="Y39" s="1990"/>
      <c r="Z39" s="1990"/>
      <c r="AA39" s="1990"/>
      <c r="AB39" s="1990"/>
      <c r="AC39" s="1990"/>
      <c r="AD39" s="1990"/>
      <c r="AE39" s="1990"/>
      <c r="AF39" s="1990"/>
      <c r="AG39" s="1990"/>
      <c r="AH39" s="1990"/>
      <c r="AI39" s="1990"/>
      <c r="AJ39" s="1990"/>
      <c r="AK39" s="1990"/>
      <c r="AL39" s="1990"/>
      <c r="AM39" s="1990"/>
      <c r="AN39" s="1990"/>
      <c r="AO39" s="1990"/>
      <c r="AP39" s="1990"/>
      <c r="AQ39" s="1990"/>
      <c r="AR39" s="1990"/>
      <c r="AS39" s="1990"/>
      <c r="AT39" s="1990"/>
      <c r="AU39" s="1990"/>
      <c r="AV39" s="1990"/>
      <c r="AW39" s="1990"/>
      <c r="AX39" s="1990"/>
      <c r="AY39" s="1990"/>
      <c r="AZ39" s="1990"/>
      <c r="BA39" s="1990"/>
      <c r="BB39" s="1990"/>
      <c r="BC39" s="1990"/>
      <c r="BD39" s="2020"/>
      <c r="BE39" s="397"/>
      <c r="BF39" s="398"/>
    </row>
    <row r="40" spans="3:58" ht="95" customHeight="1" x14ac:dyDescent="1">
      <c r="F40" s="393"/>
      <c r="G40" s="394"/>
      <c r="H40" s="395"/>
      <c r="I40" s="396"/>
      <c r="J40" s="2019"/>
      <c r="K40" s="1990"/>
      <c r="L40" s="1990"/>
      <c r="M40" s="1990"/>
      <c r="N40" s="1990"/>
      <c r="O40" s="1990"/>
      <c r="P40" s="1990"/>
      <c r="Q40" s="1990"/>
      <c r="R40" s="1990"/>
      <c r="S40" s="1990"/>
      <c r="T40" s="1990"/>
      <c r="U40" s="1990"/>
      <c r="V40" s="1990"/>
      <c r="W40" s="1990"/>
      <c r="X40" s="1990"/>
      <c r="Y40" s="1990"/>
      <c r="Z40" s="1990"/>
      <c r="AA40" s="1990"/>
      <c r="AB40" s="1990"/>
      <c r="AC40" s="1990"/>
      <c r="AD40" s="1990"/>
      <c r="AE40" s="1990"/>
      <c r="AF40" s="1990"/>
      <c r="AG40" s="1990"/>
      <c r="AH40" s="1990"/>
      <c r="AI40" s="1990"/>
      <c r="AJ40" s="1990"/>
      <c r="AK40" s="1990"/>
      <c r="AL40" s="1990"/>
      <c r="AM40" s="1990"/>
      <c r="AN40" s="1990"/>
      <c r="AO40" s="1990"/>
      <c r="AP40" s="1990"/>
      <c r="AQ40" s="1990"/>
      <c r="AR40" s="1990"/>
      <c r="AS40" s="1990"/>
      <c r="AT40" s="1990"/>
      <c r="AU40" s="1990"/>
      <c r="AV40" s="1990"/>
      <c r="AW40" s="1990"/>
      <c r="AX40" s="1990"/>
      <c r="AY40" s="1990"/>
      <c r="AZ40" s="1990"/>
      <c r="BA40" s="1990"/>
      <c r="BB40" s="1990"/>
      <c r="BC40" s="1990"/>
      <c r="BD40" s="2020"/>
      <c r="BE40" s="397"/>
      <c r="BF40" s="398"/>
    </row>
    <row r="41" spans="3:58" ht="95" customHeight="1" x14ac:dyDescent="1">
      <c r="F41" s="383"/>
      <c r="G41" s="384"/>
      <c r="H41" s="385"/>
      <c r="I41" s="386"/>
      <c r="J41" s="387"/>
      <c r="K41" s="387"/>
      <c r="L41" s="387"/>
      <c r="M41" s="387"/>
      <c r="N41" s="387"/>
      <c r="O41" s="387"/>
      <c r="P41" s="387"/>
      <c r="Q41" s="387"/>
      <c r="R41" s="387"/>
      <c r="S41" s="387"/>
      <c r="T41" s="387"/>
      <c r="U41" s="387"/>
      <c r="V41" s="387"/>
      <c r="W41" s="387"/>
      <c r="X41" s="387"/>
      <c r="Y41" s="387"/>
      <c r="Z41" s="387"/>
      <c r="AA41" s="387"/>
      <c r="AB41" s="387"/>
      <c r="AC41" s="387"/>
      <c r="AD41" s="387"/>
      <c r="AE41" s="387"/>
      <c r="AF41" s="387"/>
      <c r="AG41" s="387"/>
      <c r="AH41" s="387"/>
      <c r="AI41" s="387"/>
      <c r="AJ41" s="387"/>
      <c r="AK41" s="387"/>
      <c r="AL41" s="387"/>
      <c r="AM41" s="387"/>
      <c r="AN41" s="387"/>
      <c r="AO41" s="387"/>
      <c r="AP41" s="387"/>
      <c r="AQ41" s="387"/>
      <c r="AR41" s="387"/>
      <c r="AS41" s="387"/>
      <c r="AT41" s="387"/>
      <c r="AU41" s="387"/>
      <c r="AV41" s="387"/>
      <c r="AW41" s="387"/>
      <c r="AX41" s="387"/>
      <c r="AY41" s="387"/>
      <c r="AZ41" s="387"/>
      <c r="BA41" s="387"/>
      <c r="BB41" s="387"/>
      <c r="BC41" s="387"/>
      <c r="BD41" s="385"/>
      <c r="BE41" s="389"/>
      <c r="BF41" s="390"/>
    </row>
    <row r="42" spans="3:58" ht="95" customHeight="1" x14ac:dyDescent="1">
      <c r="F42" s="383"/>
      <c r="G42" s="384"/>
      <c r="H42" s="385"/>
      <c r="I42" s="386"/>
      <c r="J42" s="387"/>
      <c r="K42" s="387"/>
      <c r="L42" s="387"/>
      <c r="M42" s="387"/>
      <c r="N42" s="399"/>
      <c r="O42" s="399"/>
      <c r="P42" s="399"/>
      <c r="Q42" s="399"/>
      <c r="R42" s="387"/>
      <c r="S42" s="387"/>
      <c r="T42" s="387"/>
      <c r="U42" s="387"/>
      <c r="V42" s="387"/>
      <c r="W42" s="387"/>
      <c r="X42" s="387"/>
      <c r="Y42" s="387"/>
      <c r="Z42" s="400"/>
      <c r="AA42" s="400"/>
      <c r="AB42" s="400"/>
      <c r="AC42" s="400"/>
      <c r="AD42" s="387"/>
      <c r="AE42" s="387"/>
      <c r="AF42" s="387"/>
      <c r="AG42" s="387"/>
      <c r="AH42" s="387"/>
      <c r="AI42" s="387"/>
      <c r="AJ42" s="387"/>
      <c r="AK42" s="387"/>
      <c r="AL42" s="387"/>
      <c r="AM42" s="387"/>
      <c r="AN42" s="387"/>
      <c r="AO42" s="387"/>
      <c r="AP42" s="387"/>
      <c r="AQ42" s="387"/>
      <c r="AR42" s="387"/>
      <c r="AS42" s="387"/>
      <c r="AT42" s="387"/>
      <c r="AU42" s="387"/>
      <c r="AV42" s="387"/>
      <c r="AW42" s="387"/>
      <c r="AX42" s="387"/>
      <c r="AY42" s="387"/>
      <c r="AZ42" s="387"/>
      <c r="BA42" s="387"/>
      <c r="BB42" s="387"/>
      <c r="BC42" s="387"/>
      <c r="BD42" s="385"/>
      <c r="BE42" s="389"/>
      <c r="BF42" s="390"/>
    </row>
    <row r="43" spans="3:58" ht="95" customHeight="1" x14ac:dyDescent="1">
      <c r="F43" s="373"/>
      <c r="G43" s="374"/>
      <c r="H43" s="375"/>
      <c r="I43" s="376"/>
      <c r="J43" s="387"/>
      <c r="K43" s="387"/>
      <c r="L43" s="387"/>
      <c r="M43" s="387"/>
      <c r="N43" s="399"/>
      <c r="O43" s="399"/>
      <c r="P43" s="399"/>
      <c r="Q43" s="399"/>
      <c r="R43" s="387"/>
      <c r="S43" s="387"/>
      <c r="T43" s="387"/>
      <c r="U43" s="387"/>
      <c r="V43" s="387"/>
      <c r="W43" s="387"/>
      <c r="X43" s="387"/>
      <c r="Y43" s="387"/>
      <c r="Z43" s="400"/>
      <c r="AA43" s="400"/>
      <c r="AB43" s="400"/>
      <c r="AC43" s="400"/>
      <c r="AD43" s="387"/>
      <c r="AE43" s="387"/>
      <c r="AF43" s="387"/>
      <c r="AG43" s="387"/>
      <c r="AH43" s="387"/>
      <c r="AI43" s="387"/>
      <c r="AJ43" s="387"/>
      <c r="AK43" s="387"/>
      <c r="AL43" s="387"/>
      <c r="AM43" s="387"/>
      <c r="AN43" s="387"/>
      <c r="AO43" s="387"/>
      <c r="AP43" s="387"/>
      <c r="AQ43" s="387"/>
      <c r="AR43" s="387"/>
      <c r="AS43" s="387"/>
      <c r="AT43" s="387"/>
      <c r="AU43" s="387"/>
      <c r="AV43" s="387"/>
      <c r="AW43" s="387"/>
      <c r="AX43" s="387"/>
      <c r="AY43" s="387"/>
      <c r="AZ43" s="387"/>
      <c r="BA43" s="387"/>
      <c r="BB43" s="387"/>
      <c r="BC43" s="387"/>
      <c r="BD43" s="385"/>
      <c r="BE43" s="389"/>
      <c r="BF43" s="390"/>
    </row>
    <row r="44" spans="3:58" ht="95" customHeight="1" x14ac:dyDescent="1">
      <c r="F44" s="373" t="s">
        <v>124</v>
      </c>
      <c r="G44" s="374"/>
      <c r="H44" s="375" t="s">
        <v>127</v>
      </c>
      <c r="I44" s="376"/>
      <c r="J44" s="377"/>
      <c r="K44" s="377"/>
      <c r="L44" s="401"/>
      <c r="M44" s="401"/>
      <c r="N44" s="401"/>
      <c r="O44" s="401"/>
      <c r="P44" s="401"/>
      <c r="Q44" s="401"/>
      <c r="R44" s="401"/>
      <c r="S44" s="401"/>
      <c r="T44" s="401"/>
      <c r="U44" s="401"/>
      <c r="V44" s="401"/>
      <c r="W44" s="401"/>
      <c r="X44" s="401"/>
      <c r="Y44" s="401"/>
      <c r="Z44" s="399"/>
      <c r="AA44" s="399"/>
      <c r="AB44" s="399"/>
      <c r="AC44" s="399"/>
      <c r="AD44" s="401"/>
      <c r="AE44" s="401"/>
      <c r="AF44" s="401"/>
      <c r="AG44" s="401"/>
      <c r="AH44" s="377"/>
      <c r="AI44" s="377"/>
      <c r="AJ44" s="402"/>
      <c r="AK44" s="402"/>
      <c r="AL44" s="377"/>
      <c r="AM44" s="377"/>
      <c r="AN44" s="402"/>
      <c r="AO44" s="402"/>
      <c r="AP44" s="387"/>
      <c r="AQ44" s="387"/>
      <c r="AR44" s="377"/>
      <c r="AS44" s="377"/>
      <c r="AT44" s="377"/>
      <c r="AU44" s="377"/>
      <c r="AV44" s="377"/>
      <c r="AW44" s="377"/>
      <c r="AX44" s="377"/>
      <c r="AY44" s="377"/>
      <c r="AZ44" s="377"/>
      <c r="BA44" s="377"/>
      <c r="BB44" s="377"/>
      <c r="BC44" s="377"/>
      <c r="BD44" s="375"/>
      <c r="BE44" s="381"/>
      <c r="BF44" s="382" t="s">
        <v>124</v>
      </c>
    </row>
    <row r="45" spans="3:58" ht="95" customHeight="1" x14ac:dyDescent="1">
      <c r="F45" s="383"/>
      <c r="G45" s="384"/>
      <c r="H45" s="385"/>
      <c r="I45" s="386"/>
      <c r="J45" s="377"/>
      <c r="K45" s="377"/>
      <c r="L45" s="403"/>
      <c r="M45" s="403"/>
      <c r="N45" s="403"/>
      <c r="O45" s="403"/>
      <c r="P45" s="401"/>
      <c r="Q45" s="401"/>
      <c r="R45" s="403"/>
      <c r="S45" s="403"/>
      <c r="T45" s="403"/>
      <c r="U45" s="403"/>
      <c r="V45" s="403"/>
      <c r="W45" s="403"/>
      <c r="X45" s="403"/>
      <c r="Y45" s="403"/>
      <c r="Z45" s="404"/>
      <c r="AA45" s="404"/>
      <c r="AB45" s="400"/>
      <c r="AC45" s="400"/>
      <c r="AD45" s="403"/>
      <c r="AE45" s="403"/>
      <c r="AF45" s="403"/>
      <c r="AG45" s="403"/>
      <c r="AH45" s="405"/>
      <c r="AI45" s="405"/>
      <c r="AJ45" s="406"/>
      <c r="AK45" s="406"/>
      <c r="AL45" s="387"/>
      <c r="AM45" s="387"/>
      <c r="AN45" s="407"/>
      <c r="AO45" s="407"/>
      <c r="AP45" s="387"/>
      <c r="AQ45" s="387"/>
      <c r="AR45" s="405"/>
      <c r="AS45" s="405"/>
      <c r="AT45" s="405"/>
      <c r="AU45" s="405"/>
      <c r="AV45" s="405"/>
      <c r="AW45" s="405"/>
      <c r="AX45" s="405"/>
      <c r="AY45" s="405"/>
      <c r="AZ45" s="377"/>
      <c r="BA45" s="377"/>
      <c r="BB45" s="405"/>
      <c r="BC45" s="405"/>
      <c r="BD45" s="375"/>
      <c r="BE45" s="381"/>
      <c r="BF45" s="390"/>
    </row>
    <row r="46" spans="3:58" ht="95" customHeight="1" x14ac:dyDescent="1">
      <c r="F46" s="383"/>
      <c r="G46" s="384"/>
      <c r="H46" s="385"/>
      <c r="I46" s="386"/>
      <c r="J46" s="387"/>
      <c r="K46" s="387"/>
      <c r="L46" s="387"/>
      <c r="M46" s="387"/>
      <c r="N46" s="399"/>
      <c r="O46" s="399"/>
      <c r="P46" s="399"/>
      <c r="Q46" s="399"/>
      <c r="R46" s="387"/>
      <c r="S46" s="387"/>
      <c r="T46" s="387"/>
      <c r="U46" s="387"/>
      <c r="V46" s="387"/>
      <c r="W46" s="387"/>
      <c r="X46" s="387"/>
      <c r="Y46" s="387"/>
      <c r="Z46" s="400"/>
      <c r="AA46" s="400"/>
      <c r="AB46" s="400"/>
      <c r="AC46" s="400"/>
      <c r="AD46" s="387"/>
      <c r="AE46" s="387"/>
      <c r="AF46" s="387"/>
      <c r="AG46" s="387"/>
      <c r="AH46" s="387"/>
      <c r="AI46" s="387"/>
      <c r="AJ46" s="387"/>
      <c r="AK46" s="387"/>
      <c r="AL46" s="387"/>
      <c r="AM46" s="387"/>
      <c r="AN46" s="387"/>
      <c r="AO46" s="387"/>
      <c r="AP46" s="387"/>
      <c r="AQ46" s="387"/>
      <c r="AR46" s="387"/>
      <c r="AS46" s="387"/>
      <c r="AT46" s="387"/>
      <c r="AU46" s="387"/>
      <c r="AV46" s="387"/>
      <c r="AW46" s="387"/>
      <c r="AX46" s="387"/>
      <c r="AY46" s="387"/>
      <c r="AZ46" s="387"/>
      <c r="BA46" s="387"/>
      <c r="BB46" s="387"/>
      <c r="BC46" s="387"/>
      <c r="BD46" s="385"/>
      <c r="BE46" s="389"/>
      <c r="BF46" s="390"/>
    </row>
    <row r="47" spans="3:58" ht="95" customHeight="1" x14ac:dyDescent="1">
      <c r="F47" s="457"/>
      <c r="G47" s="458"/>
      <c r="H47" s="459"/>
      <c r="I47" s="458"/>
      <c r="J47" s="460"/>
      <c r="K47" s="461"/>
      <c r="L47" s="461"/>
      <c r="M47" s="461"/>
      <c r="N47" s="461"/>
      <c r="O47" s="461"/>
      <c r="P47" s="461"/>
      <c r="Q47" s="461"/>
      <c r="R47" s="461"/>
      <c r="S47" s="461"/>
      <c r="T47" s="461"/>
      <c r="U47" s="461"/>
      <c r="V47" s="461"/>
      <c r="W47" s="461"/>
      <c r="X47" s="461"/>
      <c r="Y47" s="461"/>
      <c r="Z47" s="461"/>
      <c r="AA47" s="461"/>
      <c r="AB47" s="461"/>
      <c r="AC47" s="461"/>
      <c r="AD47" s="461"/>
      <c r="AE47" s="461"/>
      <c r="AF47" s="461"/>
      <c r="AG47" s="461"/>
      <c r="AH47" s="461"/>
      <c r="AI47" s="461"/>
      <c r="AJ47" s="461"/>
      <c r="AK47" s="461"/>
      <c r="AL47" s="461"/>
      <c r="AM47" s="461"/>
      <c r="AN47" s="461"/>
      <c r="AO47" s="461"/>
      <c r="AP47" s="461"/>
      <c r="AQ47" s="461"/>
      <c r="AR47" s="461"/>
      <c r="AS47" s="461"/>
      <c r="AT47" s="461"/>
      <c r="AU47" s="461"/>
      <c r="AV47" s="461"/>
      <c r="AW47" s="461"/>
      <c r="AX47" s="461"/>
      <c r="AY47" s="461"/>
      <c r="AZ47" s="461"/>
      <c r="BA47" s="461"/>
      <c r="BB47" s="461"/>
      <c r="BC47" s="461"/>
      <c r="BD47" s="462"/>
      <c r="BE47" s="463"/>
      <c r="BF47" s="464"/>
    </row>
    <row r="48" spans="3:58" s="358" customFormat="1" ht="95" customHeight="1" x14ac:dyDescent="1">
      <c r="C48" s="356"/>
      <c r="F48" s="362"/>
      <c r="G48" s="362"/>
      <c r="H48" s="362"/>
      <c r="I48" s="362"/>
      <c r="J48" s="362"/>
      <c r="K48" s="362"/>
      <c r="L48" s="362"/>
      <c r="M48" s="362"/>
      <c r="N48" s="362"/>
      <c r="O48" s="362"/>
      <c r="P48" s="362"/>
      <c r="Q48" s="362"/>
      <c r="R48" s="362"/>
      <c r="S48" s="362"/>
      <c r="T48" s="362"/>
      <c r="U48" s="362"/>
      <c r="V48" s="362"/>
      <c r="W48" s="362"/>
      <c r="X48" s="362"/>
      <c r="Y48" s="362"/>
      <c r="Z48" s="362"/>
      <c r="AA48" s="362"/>
      <c r="AB48" s="362"/>
      <c r="AC48" s="362"/>
      <c r="AD48" s="362"/>
      <c r="AE48" s="362"/>
      <c r="AF48" s="362"/>
      <c r="AG48" s="362"/>
      <c r="AH48" s="362"/>
      <c r="AI48" s="362"/>
      <c r="AJ48" s="362"/>
      <c r="AK48" s="362"/>
      <c r="AL48" s="362"/>
      <c r="AM48" s="362"/>
      <c r="AN48" s="362"/>
      <c r="AO48" s="362"/>
      <c r="AP48" s="362"/>
      <c r="AQ48" s="362"/>
      <c r="AR48" s="362"/>
      <c r="AS48" s="362"/>
      <c r="AT48" s="362"/>
      <c r="AU48" s="362"/>
      <c r="AV48" s="362"/>
      <c r="AW48" s="362"/>
      <c r="AX48" s="362"/>
      <c r="AY48" s="362"/>
      <c r="AZ48" s="362"/>
      <c r="BA48" s="362"/>
      <c r="BB48" s="362"/>
      <c r="BC48" s="362"/>
      <c r="BD48" s="362"/>
      <c r="BE48" s="362"/>
      <c r="BF48" s="362"/>
    </row>
    <row r="49" spans="3:58" s="358" customFormat="1" ht="95" customHeight="1" x14ac:dyDescent="1">
      <c r="C49" s="356"/>
      <c r="F49" s="360" t="s">
        <v>123</v>
      </c>
      <c r="G49" s="361"/>
      <c r="I49" s="356" t="s">
        <v>242</v>
      </c>
      <c r="K49" s="356"/>
      <c r="L49" s="356"/>
      <c r="M49" s="356"/>
      <c r="N49" s="356"/>
      <c r="O49" s="356"/>
      <c r="P49" s="356"/>
      <c r="Q49" s="356"/>
      <c r="R49" s="356"/>
      <c r="S49" s="356"/>
      <c r="T49" s="356"/>
      <c r="U49" s="362"/>
      <c r="V49" s="362"/>
      <c r="W49" s="362"/>
      <c r="X49" s="362"/>
      <c r="Y49" s="362"/>
      <c r="Z49" s="362"/>
      <c r="AA49" s="362"/>
      <c r="AB49" s="362"/>
      <c r="AC49" s="362"/>
      <c r="AD49" s="362"/>
      <c r="AE49" s="362"/>
      <c r="AF49" s="362"/>
      <c r="AG49" s="362"/>
      <c r="AH49" s="362"/>
      <c r="AI49" s="362"/>
      <c r="AJ49" s="362"/>
      <c r="AK49" s="362"/>
      <c r="AL49" s="362"/>
      <c r="AM49" s="362"/>
      <c r="AN49" s="362"/>
      <c r="AO49" s="362"/>
      <c r="AP49" s="362"/>
      <c r="AQ49" s="362"/>
      <c r="AR49" s="362"/>
      <c r="AS49" s="362"/>
      <c r="AT49" s="362"/>
      <c r="AU49" s="362"/>
      <c r="AV49" s="362"/>
      <c r="AW49" s="362"/>
      <c r="AX49" s="362"/>
      <c r="AY49" s="362"/>
      <c r="AZ49" s="362"/>
      <c r="BA49" s="362"/>
      <c r="BB49" s="362"/>
      <c r="BC49" s="362"/>
      <c r="BD49" s="362"/>
      <c r="BE49" s="362"/>
      <c r="BF49" s="362"/>
    </row>
    <row r="50" spans="3:58" s="356" customFormat="1" ht="95" customHeight="1" x14ac:dyDescent="1">
      <c r="F50" s="362"/>
      <c r="G50" s="362"/>
      <c r="I50" s="362"/>
      <c r="J50" s="362"/>
      <c r="K50" s="362"/>
      <c r="L50" s="362"/>
      <c r="M50" s="362"/>
      <c r="N50" s="362"/>
      <c r="O50" s="362"/>
      <c r="P50" s="362"/>
      <c r="Q50" s="362"/>
      <c r="R50" s="362"/>
      <c r="S50" s="362"/>
      <c r="T50" s="362"/>
      <c r="U50" s="362"/>
      <c r="V50" s="362"/>
      <c r="W50" s="362"/>
      <c r="X50" s="362"/>
      <c r="Y50" s="362"/>
      <c r="Z50" s="362"/>
      <c r="AA50" s="362"/>
      <c r="AB50" s="362"/>
      <c r="AC50" s="362"/>
      <c r="AD50" s="362"/>
      <c r="AE50" s="362"/>
      <c r="AF50" s="362"/>
      <c r="AG50" s="362"/>
      <c r="AH50" s="362"/>
      <c r="AI50" s="362"/>
      <c r="AJ50" s="362"/>
      <c r="AK50" s="362"/>
      <c r="AL50" s="362"/>
      <c r="AM50" s="362"/>
      <c r="AN50" s="362"/>
      <c r="AO50" s="362"/>
      <c r="AP50" s="362"/>
      <c r="AQ50" s="362"/>
      <c r="AR50" s="362"/>
      <c r="AS50" s="362"/>
      <c r="AT50" s="362"/>
      <c r="AU50" s="362"/>
      <c r="AV50" s="362"/>
      <c r="AW50" s="362"/>
      <c r="AX50" s="362"/>
      <c r="AY50" s="362"/>
      <c r="AZ50" s="362"/>
      <c r="BA50" s="362"/>
      <c r="BB50" s="362"/>
      <c r="BC50" s="362"/>
      <c r="BD50" s="362"/>
      <c r="BE50" s="362"/>
      <c r="BF50" s="362"/>
    </row>
    <row r="51" spans="3:58" ht="95" customHeight="1" x14ac:dyDescent="1"/>
  </sheetData>
  <mergeCells count="2">
    <mergeCell ref="AJ35:AO35"/>
    <mergeCell ref="J39:BD40"/>
  </mergeCells>
  <printOptions horizontalCentered="1"/>
  <pageMargins left="0.25" right="0.25" top="0.75" bottom="0.75" header="0.3" footer="0.3"/>
  <pageSetup scale="11" orientation="landscape" horizontalDpi="1200" verticalDpi="1200" r:id="rId1"/>
  <rowBreaks count="1" manualBreakCount="1">
    <brk id="50" min="2" max="6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89240-77EE-BE4D-9092-0AB947BCA8F7}">
  <dimension ref="B1:CY142"/>
  <sheetViews>
    <sheetView view="pageBreakPreview" zoomScale="20" zoomScaleNormal="40" zoomScaleSheetLayoutView="20" zoomScalePageLayoutView="30" workbookViewId="0">
      <selection activeCell="AB128" sqref="AB128"/>
    </sheetView>
  </sheetViews>
  <sheetFormatPr baseColWidth="10" defaultColWidth="10.6640625" defaultRowHeight="50" customHeight="1" x14ac:dyDescent="1"/>
  <cols>
    <col min="1" max="1" width="17.33203125" style="354" customWidth="1"/>
    <col min="2" max="2" width="21.1640625" style="354" customWidth="1"/>
    <col min="3" max="3" width="2.33203125" style="408" customWidth="1"/>
    <col min="4" max="4" width="3.83203125" style="354" customWidth="1"/>
    <col min="5" max="5" width="2.33203125" style="354" customWidth="1"/>
    <col min="6" max="6" width="55.83203125" style="354" customWidth="1"/>
    <col min="7" max="7" width="2.33203125" style="354" customWidth="1"/>
    <col min="8" max="8" width="55.83203125" style="354" customWidth="1"/>
    <col min="9" max="9" width="2.33203125" style="354" customWidth="1"/>
    <col min="10" max="10" width="55.83203125" style="354" customWidth="1"/>
    <col min="11" max="11" width="2.33203125" style="354" customWidth="1"/>
    <col min="12" max="12" width="55.83203125" style="354" customWidth="1"/>
    <col min="13" max="13" width="2.33203125" style="354" customWidth="1"/>
    <col min="14" max="14" width="55.83203125" style="354" customWidth="1"/>
    <col min="15" max="15" width="2.33203125" style="354" customWidth="1"/>
    <col min="16" max="16" width="55.83203125" style="354" customWidth="1"/>
    <col min="17" max="17" width="2.33203125" style="354" customWidth="1"/>
    <col min="18" max="18" width="55.83203125" style="354" customWidth="1"/>
    <col min="19" max="19" width="2.33203125" style="354" customWidth="1"/>
    <col min="20" max="20" width="55.83203125" style="354" customWidth="1"/>
    <col min="21" max="21" width="2.33203125" style="354" customWidth="1"/>
    <col min="22" max="22" width="55.83203125" style="354" customWidth="1"/>
    <col min="23" max="23" width="2.33203125" style="354" customWidth="1"/>
    <col min="24" max="24" width="55.83203125" style="354" customWidth="1"/>
    <col min="25" max="25" width="2.33203125" style="354" customWidth="1"/>
    <col min="26" max="26" width="55.83203125" style="354" customWidth="1"/>
    <col min="27" max="27" width="2.33203125" style="354" customWidth="1"/>
    <col min="28" max="28" width="55.83203125" style="354" customWidth="1"/>
    <col min="29" max="29" width="2.33203125" style="354" customWidth="1"/>
    <col min="30" max="30" width="55.83203125" style="354" customWidth="1"/>
    <col min="31" max="31" width="2.33203125" style="354" customWidth="1"/>
    <col min="32" max="32" width="55.83203125" style="354" customWidth="1"/>
    <col min="33" max="33" width="2.33203125" style="354" customWidth="1"/>
    <col min="34" max="34" width="55.83203125" style="354" customWidth="1"/>
    <col min="35" max="35" width="2.33203125" style="354" customWidth="1"/>
    <col min="36" max="36" width="55.83203125" style="354" customWidth="1"/>
    <col min="37" max="37" width="2.33203125" style="354" customWidth="1"/>
    <col min="38" max="38" width="55.83203125" style="354" customWidth="1"/>
    <col min="39" max="39" width="2.33203125" style="354" customWidth="1"/>
    <col min="40" max="40" width="55.83203125" style="354" customWidth="1"/>
    <col min="41" max="41" width="2.33203125" style="354" customWidth="1"/>
    <col min="42" max="42" width="55.83203125" style="354" customWidth="1"/>
    <col min="43" max="43" width="2.83203125" style="354" customWidth="1"/>
    <col min="44" max="44" width="55.83203125" style="354" customWidth="1"/>
    <col min="45" max="45" width="2.33203125" style="354" customWidth="1"/>
    <col min="46" max="46" width="55.83203125" style="354" customWidth="1"/>
    <col min="47" max="47" width="2.33203125" style="354" customWidth="1"/>
    <col min="48" max="48" width="55.83203125" style="354" customWidth="1"/>
    <col min="49" max="49" width="2.33203125" style="354" customWidth="1"/>
    <col min="50" max="50" width="55.83203125" style="354" customWidth="1"/>
    <col min="51" max="51" width="2.33203125" style="354" customWidth="1"/>
    <col min="52" max="52" width="55.83203125" style="354" customWidth="1"/>
    <col min="53" max="53" width="2.33203125" style="354" customWidth="1"/>
    <col min="54" max="54" width="55.83203125" style="354" customWidth="1"/>
    <col min="55" max="55" width="2.33203125" style="354" customWidth="1"/>
    <col min="56" max="56" width="55.83203125" style="354" customWidth="1"/>
    <col min="57" max="57" width="2.5" style="354" customWidth="1"/>
    <col min="58" max="58" width="55.83203125" style="354" customWidth="1"/>
    <col min="59" max="59" width="2.33203125" style="354" customWidth="1"/>
    <col min="60" max="60" width="4.6640625" style="354" customWidth="1"/>
    <col min="61" max="61" width="2.33203125" style="354" customWidth="1"/>
    <col min="62" max="62" width="1.1640625" style="354" customWidth="1"/>
    <col min="63" max="63" width="3.1640625" style="354" customWidth="1"/>
    <col min="64" max="64" width="12" style="354" customWidth="1"/>
    <col min="65" max="67" width="10.6640625" style="354"/>
    <col min="68" max="68" width="3.83203125" style="354" customWidth="1"/>
    <col min="69" max="16384" width="10.6640625" style="354"/>
  </cols>
  <sheetData>
    <row r="1" spans="5:67" ht="95" customHeight="1" x14ac:dyDescent="1">
      <c r="F1" s="354" t="s">
        <v>254</v>
      </c>
    </row>
    <row r="2" spans="5:67" ht="95" customHeight="1" x14ac:dyDescent="1"/>
    <row r="3" spans="5:67" ht="95" customHeight="1" x14ac:dyDescent="1">
      <c r="F3" s="363" t="s">
        <v>159</v>
      </c>
      <c r="G3" s="363"/>
      <c r="H3" s="364"/>
      <c r="I3" s="364"/>
      <c r="J3" s="365"/>
      <c r="K3" s="365"/>
      <c r="L3" s="366"/>
      <c r="M3" s="366"/>
      <c r="N3" s="364"/>
      <c r="O3" s="364"/>
      <c r="P3" s="364"/>
      <c r="Q3" s="364"/>
      <c r="R3" s="364"/>
      <c r="S3" s="364"/>
      <c r="T3" s="364"/>
      <c r="U3" s="364"/>
      <c r="V3" s="364"/>
      <c r="W3" s="364"/>
      <c r="X3" s="364"/>
      <c r="Y3" s="364"/>
      <c r="Z3" s="364"/>
      <c r="AA3" s="364"/>
      <c r="AB3" s="364"/>
      <c r="AC3" s="364"/>
      <c r="AD3" s="364"/>
      <c r="AE3" s="364"/>
      <c r="AF3" s="364"/>
      <c r="AG3" s="364"/>
      <c r="AH3" s="364"/>
      <c r="AI3" s="364"/>
      <c r="AJ3" s="364"/>
      <c r="AK3" s="364"/>
      <c r="AL3" s="364"/>
      <c r="AM3" s="364"/>
      <c r="AN3" s="364"/>
      <c r="AO3" s="364"/>
      <c r="AP3" s="364"/>
      <c r="AQ3" s="364"/>
      <c r="AR3" s="364"/>
      <c r="AS3" s="364"/>
      <c r="AT3" s="364"/>
      <c r="AU3" s="364"/>
      <c r="AV3" s="364"/>
      <c r="AW3" s="364"/>
      <c r="AX3" s="364"/>
      <c r="AY3" s="364"/>
      <c r="AZ3" s="364"/>
      <c r="BA3" s="364"/>
      <c r="BB3" s="364"/>
      <c r="BC3" s="364"/>
      <c r="BD3" s="364"/>
      <c r="BE3" s="364"/>
      <c r="BF3" s="364"/>
      <c r="BG3" s="364"/>
      <c r="BH3" s="364"/>
      <c r="BI3" s="364"/>
      <c r="BJ3" s="364"/>
      <c r="BK3" s="364"/>
      <c r="BL3" s="364"/>
      <c r="BM3" s="364"/>
      <c r="BN3" s="364"/>
      <c r="BO3" s="364"/>
    </row>
    <row r="4" spans="5:67" ht="45" customHeight="1" x14ac:dyDescent="1">
      <c r="F4" s="367"/>
      <c r="G4" s="367"/>
      <c r="J4" s="368"/>
      <c r="K4" s="368"/>
      <c r="L4" s="369"/>
      <c r="M4" s="369"/>
    </row>
    <row r="5" spans="5:67" ht="95" customHeight="1" x14ac:dyDescent="1">
      <c r="F5" s="355" t="s">
        <v>160</v>
      </c>
      <c r="G5" s="355"/>
      <c r="J5" s="368"/>
      <c r="K5" s="368"/>
      <c r="L5" s="369"/>
      <c r="M5" s="369"/>
    </row>
    <row r="6" spans="5:67" ht="25" customHeight="1" x14ac:dyDescent="1">
      <c r="F6" s="355"/>
      <c r="G6" s="355"/>
      <c r="J6" s="368"/>
      <c r="K6" s="368"/>
      <c r="L6" s="369"/>
      <c r="M6" s="369"/>
    </row>
    <row r="7" spans="5:67" ht="95" customHeight="1" x14ac:dyDescent="1">
      <c r="F7" s="1813" t="s">
        <v>325</v>
      </c>
      <c r="G7" s="472"/>
      <c r="H7" s="1719"/>
      <c r="I7" s="474"/>
      <c r="J7" s="408"/>
      <c r="K7" s="408"/>
      <c r="L7" s="472"/>
      <c r="M7" s="369"/>
    </row>
    <row r="8" spans="5:67" ht="95" customHeight="1" thickBot="1" x14ac:dyDescent="1.05">
      <c r="E8" s="372"/>
      <c r="F8" s="370" t="s">
        <v>121</v>
      </c>
      <c r="G8" s="472"/>
      <c r="H8" s="1719">
        <v>2700</v>
      </c>
      <c r="I8" s="474"/>
      <c r="J8" s="472" t="s">
        <v>33</v>
      </c>
      <c r="K8" s="408"/>
      <c r="M8" s="372"/>
      <c r="N8" s="372"/>
      <c r="O8" s="372"/>
      <c r="P8" s="372"/>
      <c r="Q8" s="372"/>
      <c r="V8" s="355" t="s">
        <v>142</v>
      </c>
      <c r="W8" s="355"/>
      <c r="Z8" s="355" t="s">
        <v>123</v>
      </c>
      <c r="AW8" s="1814"/>
      <c r="AX8" s="1814"/>
      <c r="AY8" s="1815"/>
      <c r="AZ8" s="1815"/>
      <c r="BA8" s="1815"/>
      <c r="BB8" s="1815"/>
      <c r="BC8" s="1815"/>
      <c r="BD8" s="1815"/>
      <c r="BE8" s="1815"/>
      <c r="BL8" s="356"/>
      <c r="BM8" s="408"/>
      <c r="BN8" s="408"/>
    </row>
    <row r="9" spans="5:67" ht="10" customHeight="1" thickTop="1" thickBot="1" x14ac:dyDescent="1.05">
      <c r="E9" s="465"/>
      <c r="F9" s="1718"/>
      <c r="G9" s="476"/>
      <c r="H9" s="476"/>
      <c r="I9" s="476"/>
      <c r="J9" s="476"/>
      <c r="K9" s="476"/>
      <c r="L9" s="476"/>
      <c r="M9" s="465"/>
      <c r="N9" s="2049"/>
      <c r="O9" s="2049"/>
      <c r="P9" s="1974"/>
      <c r="Q9" s="468"/>
      <c r="AW9" s="1814"/>
      <c r="AX9" s="1814"/>
      <c r="AY9" s="1815"/>
      <c r="AZ9" s="1815"/>
      <c r="BA9" s="1815"/>
      <c r="BB9" s="1815"/>
      <c r="BC9" s="1815"/>
      <c r="BD9" s="1815"/>
      <c r="BE9" s="1815"/>
      <c r="BL9" s="356"/>
      <c r="BM9" s="408"/>
      <c r="BN9" s="408"/>
    </row>
    <row r="10" spans="5:67" ht="95" customHeight="1" thickTop="1" x14ac:dyDescent="1">
      <c r="E10" s="465"/>
      <c r="F10" s="1963" t="s">
        <v>213</v>
      </c>
      <c r="G10" s="1964"/>
      <c r="H10" s="1964"/>
      <c r="I10" s="1964"/>
      <c r="J10" s="1964"/>
      <c r="K10" s="1964"/>
      <c r="L10" s="1964"/>
      <c r="M10" s="1964"/>
      <c r="N10" s="1964"/>
      <c r="O10" s="1964"/>
      <c r="P10" s="1965"/>
      <c r="Q10" s="469"/>
      <c r="V10" s="354" t="s">
        <v>143</v>
      </c>
      <c r="Z10" s="357" t="s">
        <v>344</v>
      </c>
      <c r="AA10" s="357"/>
      <c r="AW10" s="1814"/>
      <c r="AX10" s="1814"/>
      <c r="AY10" s="1815"/>
      <c r="AZ10" s="1815"/>
      <c r="BA10" s="1815"/>
      <c r="BB10" s="1815"/>
      <c r="BC10" s="1815"/>
      <c r="BD10" s="1815"/>
      <c r="BE10" s="1815"/>
      <c r="BL10" s="356"/>
      <c r="BM10" s="408"/>
      <c r="BN10" s="408"/>
    </row>
    <row r="11" spans="5:67" ht="95" customHeight="1" x14ac:dyDescent="1">
      <c r="E11" s="465"/>
      <c r="F11" s="1966"/>
      <c r="G11" s="1967"/>
      <c r="H11" s="1967"/>
      <c r="I11" s="1967"/>
      <c r="J11" s="1967"/>
      <c r="K11" s="1967"/>
      <c r="L11" s="1967"/>
      <c r="M11" s="1967"/>
      <c r="N11" s="1967"/>
      <c r="O11" s="1967"/>
      <c r="P11" s="1968"/>
      <c r="Q11" s="469"/>
      <c r="V11" s="354" t="s">
        <v>211</v>
      </c>
      <c r="Z11" s="357" t="s">
        <v>335</v>
      </c>
      <c r="AA11" s="357"/>
      <c r="AW11" s="1814"/>
      <c r="AX11" s="1814"/>
      <c r="AY11" s="1815"/>
      <c r="AZ11" s="1815"/>
      <c r="BA11" s="1815"/>
      <c r="BB11" s="1815"/>
      <c r="BC11" s="1815"/>
      <c r="BD11" s="1815"/>
      <c r="BE11" s="1815"/>
      <c r="BL11" s="356"/>
      <c r="BM11" s="408"/>
      <c r="BN11" s="408"/>
    </row>
    <row r="12" spans="5:67" ht="95" customHeight="1" x14ac:dyDescent="1">
      <c r="E12" s="465"/>
      <c r="F12" s="1966"/>
      <c r="G12" s="1967"/>
      <c r="H12" s="1967"/>
      <c r="I12" s="1967"/>
      <c r="J12" s="1967"/>
      <c r="K12" s="1967"/>
      <c r="L12" s="1967"/>
      <c r="M12" s="1967"/>
      <c r="N12" s="1967"/>
      <c r="O12" s="1967"/>
      <c r="P12" s="1968"/>
      <c r="Q12" s="468"/>
      <c r="V12" s="354" t="s">
        <v>144</v>
      </c>
      <c r="AW12" s="1814"/>
      <c r="AX12" s="1814"/>
      <c r="AY12" s="1815"/>
      <c r="AZ12" s="1815"/>
      <c r="BA12" s="1815"/>
      <c r="BB12" s="1815"/>
      <c r="BC12" s="1815"/>
      <c r="BD12" s="1815"/>
      <c r="BE12" s="1815"/>
      <c r="BL12" s="470"/>
      <c r="BM12" s="408"/>
      <c r="BN12" s="408"/>
    </row>
    <row r="13" spans="5:67" ht="95" customHeight="1" x14ac:dyDescent="1">
      <c r="E13" s="465"/>
      <c r="F13" s="1966"/>
      <c r="G13" s="1967"/>
      <c r="H13" s="1967"/>
      <c r="I13" s="1967"/>
      <c r="J13" s="1967"/>
      <c r="K13" s="1967"/>
      <c r="L13" s="1967"/>
      <c r="M13" s="1967"/>
      <c r="N13" s="1967"/>
      <c r="O13" s="1967"/>
      <c r="P13" s="1968"/>
      <c r="Q13" s="468"/>
      <c r="V13" s="354" t="s">
        <v>78</v>
      </c>
      <c r="Z13" s="357" t="s">
        <v>345</v>
      </c>
      <c r="AW13" s="1814"/>
      <c r="AX13" s="1814"/>
      <c r="AY13" s="1815"/>
      <c r="AZ13" s="1815"/>
      <c r="BA13" s="1815"/>
      <c r="BB13" s="1815"/>
      <c r="BC13" s="1815"/>
      <c r="BD13" s="1815"/>
      <c r="BE13" s="1815"/>
      <c r="BL13" s="470"/>
      <c r="BM13" s="408"/>
      <c r="BN13" s="408"/>
    </row>
    <row r="14" spans="5:67" ht="95" customHeight="1" x14ac:dyDescent="1">
      <c r="E14" s="465"/>
      <c r="F14" s="1966"/>
      <c r="G14" s="1967"/>
      <c r="H14" s="1967"/>
      <c r="I14" s="1967"/>
      <c r="J14" s="1967"/>
      <c r="K14" s="1967"/>
      <c r="L14" s="1967"/>
      <c r="M14" s="1967"/>
      <c r="N14" s="1967"/>
      <c r="O14" s="1967"/>
      <c r="P14" s="1968"/>
      <c r="Q14" s="468"/>
      <c r="R14" s="408"/>
      <c r="S14" s="408"/>
      <c r="V14" s="354" t="s">
        <v>133</v>
      </c>
      <c r="Z14" s="357" t="s">
        <v>346</v>
      </c>
      <c r="AW14" s="1814"/>
      <c r="AX14" s="1814"/>
      <c r="AY14" s="1815"/>
      <c r="AZ14" s="1815"/>
      <c r="BA14" s="1815"/>
      <c r="BB14" s="1815"/>
      <c r="BC14" s="1815"/>
      <c r="BD14" s="1815"/>
      <c r="BE14" s="1815"/>
      <c r="BL14" s="470"/>
      <c r="BM14" s="408"/>
      <c r="BN14" s="408"/>
    </row>
    <row r="15" spans="5:67" ht="95" customHeight="1" x14ac:dyDescent="1">
      <c r="E15" s="465"/>
      <c r="F15" s="1966"/>
      <c r="G15" s="1967"/>
      <c r="H15" s="1967"/>
      <c r="I15" s="1967"/>
      <c r="J15" s="1967"/>
      <c r="K15" s="1967"/>
      <c r="L15" s="1967"/>
      <c r="M15" s="1967"/>
      <c r="N15" s="1967"/>
      <c r="O15" s="1967"/>
      <c r="P15" s="1968"/>
      <c r="Q15" s="469"/>
      <c r="V15" s="354" t="s">
        <v>186</v>
      </c>
      <c r="Z15" s="354" t="s">
        <v>336</v>
      </c>
      <c r="AW15" s="1814"/>
      <c r="AX15" s="1814"/>
      <c r="AY15" s="1815"/>
      <c r="AZ15" s="1815"/>
      <c r="BA15" s="1815"/>
      <c r="BB15" s="1815"/>
      <c r="BC15" s="1815"/>
      <c r="BD15" s="1815"/>
      <c r="BE15" s="1815"/>
      <c r="BL15" s="356"/>
      <c r="BM15" s="408"/>
      <c r="BN15" s="408"/>
    </row>
    <row r="16" spans="5:67" ht="95" customHeight="1" thickBot="1" x14ac:dyDescent="1.05">
      <c r="E16" s="469"/>
      <c r="F16" s="1969"/>
      <c r="G16" s="1970"/>
      <c r="H16" s="1970"/>
      <c r="I16" s="1970"/>
      <c r="J16" s="1970"/>
      <c r="K16" s="1970"/>
      <c r="L16" s="1970"/>
      <c r="M16" s="1970"/>
      <c r="N16" s="1970"/>
      <c r="O16" s="1970"/>
      <c r="P16" s="1971"/>
      <c r="Q16" s="469"/>
      <c r="AW16" s="1814"/>
      <c r="AX16" s="1814"/>
      <c r="AY16" s="1815"/>
      <c r="AZ16" s="1815"/>
      <c r="BA16" s="1815"/>
      <c r="BB16" s="1815"/>
      <c r="BC16" s="1815"/>
      <c r="BD16" s="1815"/>
      <c r="BE16" s="1815"/>
      <c r="BL16" s="356"/>
      <c r="BM16" s="408"/>
      <c r="BN16" s="408"/>
    </row>
    <row r="17" spans="3:66" ht="10" customHeight="1" thickTop="1" x14ac:dyDescent="1">
      <c r="E17" s="469"/>
      <c r="F17" s="465"/>
      <c r="G17" s="465"/>
      <c r="H17" s="471"/>
      <c r="I17" s="471"/>
      <c r="J17" s="471"/>
      <c r="K17" s="471"/>
      <c r="L17" s="471"/>
      <c r="M17" s="471"/>
      <c r="N17" s="471"/>
      <c r="O17" s="471"/>
      <c r="P17" s="465"/>
      <c r="Q17" s="469"/>
      <c r="R17" s="408"/>
      <c r="S17" s="408"/>
      <c r="AW17" s="1814"/>
      <c r="AX17" s="1814"/>
      <c r="AY17" s="1815"/>
      <c r="AZ17" s="1815"/>
      <c r="BA17" s="1815"/>
      <c r="BB17" s="1815"/>
      <c r="BC17" s="1815"/>
      <c r="BD17" s="1815"/>
      <c r="BE17" s="1815"/>
      <c r="BL17" s="356"/>
      <c r="BM17" s="408"/>
      <c r="BN17" s="408"/>
    </row>
    <row r="18" spans="3:66" s="358" customFormat="1" ht="95" customHeight="1" x14ac:dyDescent="1">
      <c r="C18" s="356"/>
      <c r="E18" s="356"/>
      <c r="F18" s="356"/>
      <c r="G18" s="356"/>
      <c r="P18" s="356"/>
      <c r="Q18" s="356"/>
      <c r="R18" s="356"/>
      <c r="S18" s="356"/>
      <c r="Z18" s="357" t="s">
        <v>347</v>
      </c>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1814"/>
      <c r="AX18" s="1814"/>
      <c r="AY18" s="1815"/>
      <c r="AZ18" s="1815"/>
      <c r="BA18" s="1815"/>
      <c r="BB18" s="1815"/>
      <c r="BC18" s="1815"/>
      <c r="BD18" s="1815"/>
      <c r="BE18" s="1815"/>
      <c r="BL18" s="356"/>
      <c r="BM18" s="356"/>
      <c r="BN18" s="356"/>
    </row>
    <row r="19" spans="3:66" s="358" customFormat="1" ht="95" customHeight="1" x14ac:dyDescent="1">
      <c r="C19" s="356"/>
      <c r="E19" s="356"/>
      <c r="F19" s="1813" t="s">
        <v>326</v>
      </c>
      <c r="G19" s="472"/>
      <c r="H19" s="1719"/>
      <c r="I19" s="474"/>
      <c r="J19" s="408"/>
      <c r="P19" s="356"/>
      <c r="Q19" s="356"/>
      <c r="R19" s="356"/>
      <c r="S19" s="356"/>
      <c r="Z19" s="354" t="s">
        <v>348</v>
      </c>
      <c r="AA19" s="354"/>
      <c r="AB19" s="354"/>
      <c r="AC19" s="354"/>
      <c r="AD19" s="354"/>
      <c r="AE19" s="354"/>
      <c r="AF19" s="354"/>
      <c r="AG19" s="354"/>
      <c r="AH19" s="354"/>
      <c r="AI19" s="354"/>
      <c r="AJ19" s="354"/>
      <c r="AK19" s="354"/>
      <c r="AL19" s="354"/>
      <c r="AM19" s="354"/>
      <c r="AN19" s="354"/>
      <c r="AO19" s="354"/>
      <c r="AP19" s="354"/>
      <c r="AQ19" s="354"/>
      <c r="AR19" s="354"/>
      <c r="AS19" s="354"/>
      <c r="AT19" s="354"/>
      <c r="AU19" s="354"/>
      <c r="AV19" s="354"/>
      <c r="AW19" s="1814"/>
      <c r="AX19" s="1814"/>
      <c r="AY19" s="1815"/>
      <c r="AZ19" s="1815"/>
      <c r="BA19" s="1815"/>
      <c r="BB19" s="1815"/>
      <c r="BC19" s="1815"/>
      <c r="BD19" s="1815"/>
      <c r="BE19" s="1815"/>
      <c r="BL19" s="356"/>
      <c r="BM19" s="356"/>
      <c r="BN19" s="356"/>
    </row>
    <row r="20" spans="3:66" ht="95" customHeight="1" thickBot="1" x14ac:dyDescent="1.05">
      <c r="E20" s="408"/>
      <c r="F20" s="370" t="s">
        <v>121</v>
      </c>
      <c r="G20" s="472"/>
      <c r="H20" s="1719">
        <v>2700</v>
      </c>
      <c r="I20" s="474"/>
      <c r="J20" s="472" t="s">
        <v>33</v>
      </c>
      <c r="K20" s="408"/>
      <c r="Q20" s="372"/>
      <c r="T20" s="354" t="s">
        <v>320</v>
      </c>
      <c r="AW20" s="1814"/>
      <c r="AX20" s="1814"/>
      <c r="AY20" s="1815"/>
      <c r="AZ20" s="1815"/>
      <c r="BA20" s="1815"/>
      <c r="BB20" s="1815"/>
      <c r="BC20" s="1815"/>
      <c r="BD20" s="1815"/>
      <c r="BE20" s="1815"/>
      <c r="BL20" s="356"/>
      <c r="BM20" s="408"/>
      <c r="BN20" s="408"/>
    </row>
    <row r="21" spans="3:66" ht="10" customHeight="1" thickTop="1" thickBot="1" x14ac:dyDescent="1.05">
      <c r="D21" s="475"/>
      <c r="E21" s="476"/>
      <c r="F21" s="477"/>
      <c r="G21" s="476"/>
      <c r="H21" s="476"/>
      <c r="I21" s="476"/>
      <c r="J21" s="476"/>
      <c r="K21" s="476"/>
      <c r="L21" s="476"/>
      <c r="M21" s="478"/>
      <c r="N21" s="2050"/>
      <c r="O21" s="2051"/>
      <c r="P21" s="2052"/>
      <c r="Q21" s="479"/>
      <c r="AW21" s="1814"/>
      <c r="AX21" s="1814"/>
      <c r="AY21" s="1815"/>
      <c r="AZ21" s="1815"/>
      <c r="BA21" s="1815"/>
      <c r="BB21" s="1815"/>
      <c r="BC21" s="1815"/>
      <c r="BD21" s="1815"/>
      <c r="BE21" s="1815"/>
      <c r="BL21" s="356"/>
      <c r="BM21" s="408"/>
      <c r="BN21" s="408"/>
    </row>
    <row r="22" spans="3:66" ht="95" customHeight="1" thickTop="1" x14ac:dyDescent="1">
      <c r="D22" s="475"/>
      <c r="E22" s="465"/>
      <c r="F22" s="480"/>
      <c r="G22" s="481"/>
      <c r="H22" s="482"/>
      <c r="I22" s="390"/>
      <c r="J22" s="483"/>
      <c r="K22" s="484"/>
      <c r="L22" s="485"/>
      <c r="M22" s="390"/>
      <c r="N22" s="484"/>
      <c r="O22" s="486"/>
      <c r="P22" s="487"/>
      <c r="Q22" s="469"/>
      <c r="Z22" s="354" t="s">
        <v>349</v>
      </c>
      <c r="AW22" s="1814"/>
      <c r="AX22" s="1814"/>
      <c r="AY22" s="1815"/>
      <c r="AZ22" s="1815"/>
      <c r="BA22" s="1815"/>
      <c r="BB22" s="1815"/>
      <c r="BC22" s="1815"/>
      <c r="BD22" s="1815"/>
      <c r="BE22" s="1815"/>
      <c r="BL22" s="356"/>
      <c r="BM22" s="408"/>
      <c r="BN22" s="408"/>
    </row>
    <row r="23" spans="3:66" ht="95" customHeight="1" x14ac:dyDescent="1">
      <c r="D23" s="475"/>
      <c r="E23" s="465"/>
      <c r="F23" s="488" t="s">
        <v>152</v>
      </c>
      <c r="G23" s="489"/>
      <c r="H23" s="490" t="s">
        <v>152</v>
      </c>
      <c r="I23" s="382"/>
      <c r="J23" s="491" t="s">
        <v>152</v>
      </c>
      <c r="K23" s="492"/>
      <c r="L23" s="490" t="s">
        <v>152</v>
      </c>
      <c r="M23" s="376"/>
      <c r="N23" s="489" t="s">
        <v>152</v>
      </c>
      <c r="O23" s="376"/>
      <c r="P23" s="493" t="s">
        <v>152</v>
      </c>
      <c r="Q23" s="469"/>
      <c r="T23" s="358"/>
      <c r="U23" s="358"/>
      <c r="V23" s="358"/>
      <c r="W23" s="358"/>
      <c r="X23" s="358"/>
      <c r="Y23" s="358"/>
      <c r="Z23" s="354" t="s">
        <v>337</v>
      </c>
      <c r="AW23" s="1814"/>
      <c r="AX23" s="1814"/>
      <c r="AY23" s="1815"/>
      <c r="AZ23" s="1815"/>
      <c r="BA23" s="1815"/>
      <c r="BB23" s="1815"/>
      <c r="BC23" s="1815"/>
      <c r="BD23" s="1815"/>
      <c r="BE23" s="1815"/>
      <c r="BL23" s="470"/>
      <c r="BM23" s="408"/>
      <c r="BN23" s="408"/>
    </row>
    <row r="24" spans="3:66" ht="95" customHeight="1" x14ac:dyDescent="1">
      <c r="D24" s="475"/>
      <c r="E24" s="465"/>
      <c r="F24" s="488" t="s">
        <v>153</v>
      </c>
      <c r="G24" s="489"/>
      <c r="H24" s="490" t="s">
        <v>154</v>
      </c>
      <c r="I24" s="382"/>
      <c r="J24" s="491" t="s">
        <v>154</v>
      </c>
      <c r="K24" s="492"/>
      <c r="L24" s="490" t="s">
        <v>154</v>
      </c>
      <c r="M24" s="376"/>
      <c r="N24" s="489" t="s">
        <v>154</v>
      </c>
      <c r="O24" s="376"/>
      <c r="P24" s="493" t="s">
        <v>154</v>
      </c>
      <c r="Q24" s="468"/>
      <c r="T24" s="358"/>
      <c r="U24" s="358"/>
      <c r="V24" s="358"/>
      <c r="W24" s="358"/>
      <c r="X24" s="358"/>
      <c r="Y24" s="358"/>
      <c r="AW24" s="1814"/>
      <c r="AX24" s="1814"/>
      <c r="AY24" s="1815"/>
      <c r="AZ24" s="1815"/>
      <c r="BA24" s="1815"/>
      <c r="BB24" s="1815"/>
      <c r="BC24" s="1815"/>
      <c r="BD24" s="1815"/>
      <c r="BE24" s="1815"/>
      <c r="BL24" s="470"/>
      <c r="BM24" s="408"/>
      <c r="BN24" s="408"/>
    </row>
    <row r="25" spans="3:66" ht="95" customHeight="1" x14ac:dyDescent="1">
      <c r="D25" s="475"/>
      <c r="E25" s="465"/>
      <c r="F25" s="488" t="s">
        <v>121</v>
      </c>
      <c r="G25" s="489"/>
      <c r="H25" s="490" t="s">
        <v>125</v>
      </c>
      <c r="I25" s="382"/>
      <c r="J25" s="491" t="s">
        <v>121</v>
      </c>
      <c r="K25" s="492"/>
      <c r="L25" s="490" t="s">
        <v>20</v>
      </c>
      <c r="M25" s="376"/>
      <c r="N25" s="489" t="s">
        <v>20</v>
      </c>
      <c r="O25" s="376"/>
      <c r="P25" s="493" t="s">
        <v>121</v>
      </c>
      <c r="Q25" s="468"/>
      <c r="T25" s="358"/>
      <c r="U25" s="358"/>
      <c r="V25" s="358"/>
      <c r="W25" s="358"/>
      <c r="X25" s="358"/>
      <c r="Y25" s="358"/>
      <c r="Z25" s="359" t="s">
        <v>354</v>
      </c>
      <c r="AW25" s="1814"/>
      <c r="AX25" s="1814"/>
      <c r="AY25" s="1815"/>
      <c r="AZ25" s="1815"/>
      <c r="BA25" s="1815"/>
      <c r="BB25" s="1815"/>
      <c r="BC25" s="1815"/>
      <c r="BD25" s="1815"/>
      <c r="BE25" s="1815"/>
      <c r="BL25" s="470"/>
      <c r="BM25" s="408"/>
      <c r="BN25" s="408"/>
    </row>
    <row r="26" spans="3:66" ht="95" customHeight="1" x14ac:dyDescent="1">
      <c r="D26" s="475"/>
      <c r="E26" s="465"/>
      <c r="F26" s="488">
        <v>300</v>
      </c>
      <c r="G26" s="489"/>
      <c r="H26" s="490">
        <v>500</v>
      </c>
      <c r="I26" s="382"/>
      <c r="J26" s="491">
        <v>300</v>
      </c>
      <c r="K26" s="492"/>
      <c r="L26" s="490">
        <v>450</v>
      </c>
      <c r="M26" s="376"/>
      <c r="N26" s="489">
        <v>450</v>
      </c>
      <c r="O26" s="376"/>
      <c r="P26" s="493">
        <v>300</v>
      </c>
      <c r="Q26" s="468"/>
      <c r="R26" s="408"/>
      <c r="S26" s="408"/>
      <c r="T26" s="358"/>
      <c r="U26" s="358"/>
      <c r="V26" s="358"/>
      <c r="W26" s="358"/>
      <c r="X26" s="358"/>
      <c r="Y26" s="358"/>
      <c r="Z26" s="357" t="s">
        <v>338</v>
      </c>
      <c r="AW26" s="1814"/>
      <c r="AX26" s="1814"/>
      <c r="AY26" s="1815"/>
      <c r="AZ26" s="1815"/>
      <c r="BA26" s="1815"/>
      <c r="BB26" s="1815"/>
      <c r="BC26" s="1815"/>
      <c r="BD26" s="1815"/>
      <c r="BE26" s="1815"/>
      <c r="BL26" s="356"/>
      <c r="BM26" s="408"/>
      <c r="BN26" s="408"/>
    </row>
    <row r="27" spans="3:66" ht="95" customHeight="1" x14ac:dyDescent="1">
      <c r="D27" s="475"/>
      <c r="E27" s="465"/>
      <c r="F27" s="488"/>
      <c r="G27" s="489"/>
      <c r="H27" s="490"/>
      <c r="I27" s="382"/>
      <c r="J27" s="491"/>
      <c r="K27" s="492"/>
      <c r="L27" s="490"/>
      <c r="M27" s="376"/>
      <c r="N27" s="489"/>
      <c r="O27" s="376"/>
      <c r="P27" s="493"/>
      <c r="Q27" s="469"/>
      <c r="T27" s="358"/>
      <c r="U27" s="358"/>
      <c r="V27" s="358"/>
      <c r="W27" s="358"/>
      <c r="X27" s="358"/>
      <c r="Y27" s="358"/>
      <c r="Z27" s="357" t="s">
        <v>350</v>
      </c>
      <c r="AW27" s="1814"/>
      <c r="AX27" s="1814"/>
      <c r="AY27" s="1815"/>
      <c r="AZ27" s="1815"/>
      <c r="BA27" s="1815"/>
      <c r="BB27" s="1815"/>
      <c r="BC27" s="1815"/>
      <c r="BD27" s="1815"/>
      <c r="BE27" s="1815"/>
      <c r="BL27" s="356"/>
      <c r="BM27" s="408"/>
      <c r="BN27" s="408"/>
    </row>
    <row r="28" spans="3:66" ht="95" customHeight="1" thickBot="1" x14ac:dyDescent="1.05">
      <c r="D28" s="475"/>
      <c r="E28" s="469"/>
      <c r="F28" s="494"/>
      <c r="G28" s="495"/>
      <c r="H28" s="496"/>
      <c r="I28" s="497"/>
      <c r="J28" s="498"/>
      <c r="K28" s="499"/>
      <c r="L28" s="496"/>
      <c r="M28" s="497"/>
      <c r="N28" s="495"/>
      <c r="O28" s="500"/>
      <c r="P28" s="501"/>
      <c r="Q28" s="469"/>
      <c r="T28" s="358"/>
      <c r="U28" s="358"/>
      <c r="V28" s="358"/>
      <c r="W28" s="358"/>
      <c r="X28" s="358"/>
      <c r="Y28" s="358"/>
      <c r="AW28" s="1814"/>
      <c r="AX28" s="1814"/>
      <c r="AY28" s="1815"/>
      <c r="AZ28" s="1815"/>
      <c r="BA28" s="1815"/>
      <c r="BB28" s="1815"/>
      <c r="BC28" s="1815"/>
      <c r="BD28" s="1815"/>
      <c r="BE28" s="1815"/>
      <c r="BL28" s="356"/>
      <c r="BM28" s="408"/>
      <c r="BN28" s="408"/>
    </row>
    <row r="29" spans="3:66" ht="10" customHeight="1" thickTop="1" x14ac:dyDescent="1">
      <c r="D29" s="475"/>
      <c r="E29" s="469"/>
      <c r="F29" s="465"/>
      <c r="G29" s="465"/>
      <c r="H29" s="471"/>
      <c r="I29" s="471"/>
      <c r="J29" s="471"/>
      <c r="K29" s="471"/>
      <c r="L29" s="471"/>
      <c r="M29" s="471"/>
      <c r="N29" s="471"/>
      <c r="O29" s="471"/>
      <c r="P29" s="465"/>
      <c r="Q29" s="469"/>
      <c r="R29" s="408"/>
      <c r="S29" s="408"/>
      <c r="AB29" s="354" t="s">
        <v>339</v>
      </c>
      <c r="AW29" s="1814"/>
      <c r="AX29" s="1814"/>
      <c r="AY29" s="1815"/>
      <c r="AZ29" s="1815"/>
      <c r="BA29" s="1815"/>
      <c r="BB29" s="1815"/>
      <c r="BC29" s="1815"/>
      <c r="BD29" s="1815"/>
      <c r="BE29" s="1815"/>
      <c r="BL29" s="356"/>
      <c r="BM29" s="408"/>
      <c r="BN29" s="408"/>
    </row>
    <row r="30" spans="3:66" s="358" customFormat="1" ht="95" customHeight="1" x14ac:dyDescent="1">
      <c r="C30" s="356"/>
      <c r="E30" s="356"/>
      <c r="F30" s="356"/>
      <c r="G30" s="356"/>
      <c r="P30" s="356"/>
      <c r="Q30" s="356"/>
      <c r="R30" s="356"/>
      <c r="S30" s="356"/>
      <c r="Z30" s="359" t="s">
        <v>351</v>
      </c>
      <c r="AA30" s="354"/>
      <c r="AB30" s="354"/>
      <c r="AC30" s="354"/>
      <c r="AD30" s="354"/>
      <c r="AE30" s="354"/>
      <c r="AF30" s="354"/>
      <c r="AG30" s="354"/>
      <c r="AH30" s="354"/>
      <c r="AI30" s="354"/>
      <c r="AJ30" s="354"/>
      <c r="AK30" s="354"/>
      <c r="AL30" s="354"/>
      <c r="AM30" s="354"/>
      <c r="AN30" s="354"/>
      <c r="AO30" s="354"/>
      <c r="AP30" s="354"/>
      <c r="AQ30" s="354"/>
      <c r="AR30" s="354"/>
      <c r="AS30" s="354"/>
      <c r="AT30" s="354"/>
      <c r="AU30" s="354"/>
      <c r="AV30" s="354"/>
      <c r="AW30" s="1814"/>
      <c r="AX30" s="1814"/>
      <c r="AY30" s="1815"/>
      <c r="AZ30" s="1815"/>
      <c r="BA30" s="1815"/>
      <c r="BB30" s="1815"/>
      <c r="BC30" s="1815"/>
      <c r="BD30" s="1815"/>
      <c r="BE30" s="1815"/>
      <c r="BL30" s="356"/>
      <c r="BM30" s="356"/>
      <c r="BN30" s="356"/>
    </row>
    <row r="31" spans="3:66" s="358" customFormat="1" ht="95" customHeight="1" x14ac:dyDescent="1">
      <c r="C31" s="356"/>
      <c r="E31" s="356"/>
      <c r="F31" s="1813" t="s">
        <v>327</v>
      </c>
      <c r="G31" s="472"/>
      <c r="H31" s="1719"/>
      <c r="I31" s="474"/>
      <c r="J31" s="408"/>
      <c r="P31" s="356"/>
      <c r="Q31" s="356"/>
      <c r="R31" s="356"/>
      <c r="S31" s="356"/>
      <c r="Z31" s="357" t="s">
        <v>353</v>
      </c>
      <c r="AA31" s="359"/>
      <c r="AB31" s="354"/>
      <c r="AC31" s="354"/>
      <c r="AD31" s="354"/>
      <c r="AE31" s="354"/>
      <c r="AF31" s="354"/>
      <c r="AG31" s="354"/>
      <c r="AH31" s="354"/>
      <c r="AI31" s="354"/>
      <c r="AJ31" s="354"/>
      <c r="AK31" s="354"/>
      <c r="AL31" s="354"/>
      <c r="AM31" s="354"/>
      <c r="AN31" s="354"/>
      <c r="AO31" s="354"/>
      <c r="AP31" s="354"/>
      <c r="AQ31" s="354"/>
      <c r="AR31" s="354"/>
      <c r="AS31" s="354"/>
      <c r="AT31" s="354"/>
      <c r="AU31" s="354"/>
      <c r="AV31" s="354"/>
      <c r="AW31" s="1814"/>
      <c r="AX31" s="1814"/>
      <c r="AY31" s="1815"/>
      <c r="AZ31" s="1815"/>
      <c r="BA31" s="1815"/>
      <c r="BB31" s="1815"/>
      <c r="BC31" s="1815"/>
      <c r="BD31" s="1815"/>
      <c r="BE31" s="1815"/>
      <c r="BL31" s="356"/>
      <c r="BM31" s="356"/>
      <c r="BN31" s="356"/>
    </row>
    <row r="32" spans="3:66" ht="95" customHeight="1" thickBot="1" x14ac:dyDescent="1.05">
      <c r="E32" s="372"/>
      <c r="F32" s="370" t="s">
        <v>121</v>
      </c>
      <c r="G32" s="472"/>
      <c r="H32" s="1719">
        <v>2700</v>
      </c>
      <c r="I32" s="371"/>
      <c r="J32" s="370" t="s">
        <v>33</v>
      </c>
      <c r="K32" s="372"/>
      <c r="L32" s="372"/>
      <c r="M32" s="372"/>
      <c r="N32" s="372"/>
      <c r="O32" s="372"/>
      <c r="P32" s="372"/>
      <c r="Q32" s="372"/>
      <c r="Z32" s="357" t="s">
        <v>352</v>
      </c>
      <c r="AW32" s="1814"/>
      <c r="AX32" s="1814"/>
      <c r="AY32" s="1815"/>
      <c r="AZ32" s="1815"/>
      <c r="BA32" s="1815"/>
      <c r="BB32" s="1815"/>
      <c r="BC32" s="1815"/>
      <c r="BD32" s="1815"/>
      <c r="BE32" s="1815"/>
      <c r="BL32" s="356"/>
      <c r="BM32" s="408"/>
      <c r="BN32" s="408"/>
    </row>
    <row r="33" spans="4:66" ht="10" customHeight="1" thickTop="1" thickBot="1" x14ac:dyDescent="1.05">
      <c r="E33" s="465"/>
      <c r="F33" s="477"/>
      <c r="G33" s="476"/>
      <c r="H33" s="476"/>
      <c r="I33" s="467"/>
      <c r="J33" s="467"/>
      <c r="K33" s="467"/>
      <c r="L33" s="467"/>
      <c r="M33" s="467"/>
      <c r="N33" s="502"/>
      <c r="O33" s="502"/>
      <c r="P33" s="503"/>
      <c r="Q33" s="1654"/>
      <c r="AW33" s="1814"/>
      <c r="AX33" s="1814"/>
      <c r="AY33" s="1815"/>
      <c r="AZ33" s="1815"/>
      <c r="BA33" s="1815"/>
      <c r="BB33" s="1815"/>
      <c r="BC33" s="1815"/>
      <c r="BD33" s="1815"/>
      <c r="BE33" s="1815"/>
      <c r="BL33" s="356"/>
      <c r="BM33" s="408"/>
      <c r="BN33" s="408"/>
    </row>
    <row r="34" spans="4:66" ht="95" customHeight="1" thickTop="1" x14ac:dyDescent="1">
      <c r="E34" s="465"/>
      <c r="F34" s="504"/>
      <c r="G34" s="386"/>
      <c r="H34" s="390"/>
      <c r="I34" s="481"/>
      <c r="J34" s="386"/>
      <c r="K34" s="386"/>
      <c r="L34" s="390"/>
      <c r="M34" s="481"/>
      <c r="N34" s="386"/>
      <c r="O34" s="386"/>
      <c r="P34" s="505"/>
      <c r="Q34" s="469"/>
      <c r="Z34" s="357" t="s">
        <v>340</v>
      </c>
      <c r="AC34" s="357"/>
      <c r="AW34" s="1814"/>
      <c r="AX34" s="1814"/>
      <c r="AY34" s="1815"/>
      <c r="AZ34" s="1815"/>
      <c r="BA34" s="1815"/>
      <c r="BB34" s="1815"/>
      <c r="BC34" s="1815"/>
      <c r="BD34" s="1815"/>
      <c r="BE34" s="1815"/>
      <c r="BL34" s="356"/>
      <c r="BM34" s="408"/>
      <c r="BN34" s="408"/>
    </row>
    <row r="35" spans="4:66" ht="95" customHeight="1" x14ac:dyDescent="1">
      <c r="E35" s="465"/>
      <c r="F35" s="2005" t="s">
        <v>132</v>
      </c>
      <c r="G35" s="1867"/>
      <c r="H35" s="1869"/>
      <c r="I35" s="489"/>
      <c r="J35" s="1886" t="s">
        <v>132</v>
      </c>
      <c r="K35" s="1867"/>
      <c r="L35" s="1869"/>
      <c r="M35" s="489"/>
      <c r="N35" s="1886" t="s">
        <v>132</v>
      </c>
      <c r="O35" s="1867"/>
      <c r="P35" s="1983"/>
      <c r="Q35" s="469"/>
      <c r="AW35" s="1814"/>
      <c r="AX35" s="1814"/>
      <c r="AY35" s="1815"/>
      <c r="AZ35" s="1815"/>
      <c r="BA35" s="1815"/>
      <c r="BB35" s="1815"/>
      <c r="BC35" s="1815"/>
      <c r="BD35" s="1815"/>
      <c r="BE35" s="1815"/>
      <c r="BL35" s="470"/>
      <c r="BM35" s="408"/>
      <c r="BN35" s="408"/>
    </row>
    <row r="36" spans="4:66" ht="95" customHeight="1" x14ac:dyDescent="1">
      <c r="E36" s="465"/>
      <c r="F36" s="2005" t="s">
        <v>153</v>
      </c>
      <c r="G36" s="1867"/>
      <c r="H36" s="1869"/>
      <c r="I36" s="489"/>
      <c r="J36" s="1886" t="s">
        <v>153</v>
      </c>
      <c r="K36" s="1867"/>
      <c r="L36" s="1869"/>
      <c r="M36" s="489"/>
      <c r="N36" s="1886" t="s">
        <v>153</v>
      </c>
      <c r="O36" s="1867"/>
      <c r="P36" s="1983"/>
      <c r="Q36" s="468"/>
      <c r="Z36" s="357" t="s">
        <v>341</v>
      </c>
      <c r="AA36" s="355"/>
      <c r="AW36" s="1814"/>
      <c r="AX36" s="1814"/>
      <c r="AY36" s="1815"/>
      <c r="AZ36" s="1815"/>
      <c r="BA36" s="1815"/>
      <c r="BB36" s="1815"/>
      <c r="BC36" s="1815"/>
      <c r="BD36" s="1815"/>
      <c r="BE36" s="1815"/>
      <c r="BL36" s="470"/>
      <c r="BM36" s="408"/>
      <c r="BN36" s="408"/>
    </row>
    <row r="37" spans="4:66" ht="95" customHeight="1" x14ac:dyDescent="1">
      <c r="E37" s="465"/>
      <c r="F37" s="2005" t="s">
        <v>121</v>
      </c>
      <c r="G37" s="1867"/>
      <c r="H37" s="1869"/>
      <c r="I37" s="489"/>
      <c r="J37" s="1886" t="s">
        <v>20</v>
      </c>
      <c r="K37" s="1867"/>
      <c r="L37" s="1869"/>
      <c r="M37" s="489"/>
      <c r="N37" s="1886" t="s">
        <v>121</v>
      </c>
      <c r="O37" s="1867"/>
      <c r="P37" s="1983"/>
      <c r="Q37" s="468"/>
      <c r="AA37" s="357"/>
      <c r="AW37" s="1814"/>
      <c r="AX37" s="1814"/>
      <c r="AY37" s="1815"/>
      <c r="AZ37" s="1815"/>
      <c r="BA37" s="1815"/>
      <c r="BB37" s="1815"/>
      <c r="BC37" s="1815"/>
      <c r="BD37" s="1815"/>
      <c r="BE37" s="1815"/>
      <c r="BL37" s="470"/>
      <c r="BM37" s="408"/>
      <c r="BN37" s="408"/>
    </row>
    <row r="38" spans="4:66" ht="95" customHeight="1" x14ac:dyDescent="1">
      <c r="E38" s="465"/>
      <c r="F38" s="2005">
        <v>800</v>
      </c>
      <c r="G38" s="1867"/>
      <c r="H38" s="1869"/>
      <c r="I38" s="489"/>
      <c r="J38" s="1923">
        <v>1100</v>
      </c>
      <c r="K38" s="1972"/>
      <c r="L38" s="2022"/>
      <c r="M38" s="376"/>
      <c r="N38" s="1867">
        <v>800</v>
      </c>
      <c r="O38" s="1867"/>
      <c r="P38" s="1983"/>
      <c r="Q38" s="468"/>
      <c r="R38" s="408"/>
      <c r="S38" s="408"/>
      <c r="V38" s="358"/>
      <c r="W38" s="358"/>
      <c r="X38" s="358"/>
      <c r="Y38" s="358"/>
      <c r="Z38" s="359" t="s">
        <v>342</v>
      </c>
      <c r="AW38" s="1814"/>
      <c r="AX38" s="1814"/>
      <c r="AY38" s="1815"/>
      <c r="AZ38" s="1815"/>
      <c r="BA38" s="1815"/>
      <c r="BB38" s="1815"/>
      <c r="BC38" s="1815"/>
      <c r="BD38" s="1815"/>
      <c r="BE38" s="1815"/>
      <c r="BL38" s="356"/>
      <c r="BM38" s="408"/>
      <c r="BN38" s="408"/>
    </row>
    <row r="39" spans="4:66" ht="95" customHeight="1" x14ac:dyDescent="1">
      <c r="E39" s="465"/>
      <c r="F39" s="508"/>
      <c r="G39" s="386"/>
      <c r="H39" s="390"/>
      <c r="I39" s="481"/>
      <c r="J39" s="386"/>
      <c r="K39" s="386"/>
      <c r="L39" s="390"/>
      <c r="M39" s="386"/>
      <c r="N39" s="386"/>
      <c r="O39" s="386"/>
      <c r="P39" s="505"/>
      <c r="Q39" s="469"/>
      <c r="V39" s="358"/>
      <c r="W39" s="358"/>
      <c r="X39" s="358"/>
      <c r="Y39" s="358"/>
      <c r="Z39" s="354" t="s">
        <v>343</v>
      </c>
      <c r="AW39" s="1814"/>
      <c r="AX39" s="1814"/>
      <c r="AY39" s="1815"/>
      <c r="AZ39" s="1815"/>
      <c r="BA39" s="1815"/>
      <c r="BB39" s="1815"/>
      <c r="BC39" s="1815"/>
      <c r="BD39" s="1815"/>
      <c r="BE39" s="1815"/>
      <c r="BL39" s="356"/>
      <c r="BM39" s="408"/>
      <c r="BN39" s="408"/>
    </row>
    <row r="40" spans="4:66" ht="95" customHeight="1" thickBot="1" x14ac:dyDescent="1.05">
      <c r="E40" s="469"/>
      <c r="F40" s="500"/>
      <c r="G40" s="500"/>
      <c r="H40" s="497"/>
      <c r="I40" s="495"/>
      <c r="J40" s="500"/>
      <c r="K40" s="500"/>
      <c r="L40" s="497"/>
      <c r="M40" s="500"/>
      <c r="N40" s="500"/>
      <c r="O40" s="500"/>
      <c r="P40" s="509"/>
      <c r="Q40" s="469"/>
      <c r="AW40" s="1814"/>
      <c r="AX40" s="1814"/>
      <c r="AY40" s="1815"/>
      <c r="AZ40" s="1815"/>
      <c r="BA40" s="1815"/>
      <c r="BB40" s="1815"/>
      <c r="BC40" s="1815"/>
      <c r="BD40" s="1815"/>
      <c r="BE40" s="1815"/>
      <c r="BL40" s="356"/>
      <c r="BM40" s="408"/>
      <c r="BN40" s="408"/>
    </row>
    <row r="41" spans="4:66" ht="10" customHeight="1" thickTop="1" x14ac:dyDescent="1">
      <c r="E41" s="469"/>
      <c r="F41" s="465"/>
      <c r="G41" s="465"/>
      <c r="H41" s="471"/>
      <c r="I41" s="471"/>
      <c r="J41" s="471"/>
      <c r="K41" s="471"/>
      <c r="L41" s="471"/>
      <c r="M41" s="471"/>
      <c r="N41" s="471"/>
      <c r="O41" s="471"/>
      <c r="P41" s="465"/>
      <c r="Q41" s="469"/>
      <c r="R41" s="408"/>
      <c r="S41" s="408"/>
      <c r="AW41" s="1814"/>
      <c r="AX41" s="1814"/>
      <c r="AY41" s="1815"/>
      <c r="AZ41" s="1815"/>
      <c r="BA41" s="1815"/>
      <c r="BB41" s="1815"/>
      <c r="BC41" s="1815"/>
      <c r="BD41" s="1815"/>
      <c r="BE41" s="1815"/>
      <c r="BL41" s="356"/>
      <c r="BM41" s="408"/>
      <c r="BN41" s="408"/>
    </row>
    <row r="42" spans="4:66" ht="50" customHeight="1" x14ac:dyDescent="1">
      <c r="T42" s="408"/>
      <c r="AW42" s="1814"/>
      <c r="AX42" s="1814"/>
      <c r="AY42" s="1815"/>
      <c r="AZ42" s="1815"/>
      <c r="BA42" s="1815"/>
      <c r="BB42" s="1815"/>
      <c r="BC42" s="1815"/>
      <c r="BD42" s="1815"/>
      <c r="BE42" s="1815"/>
      <c r="BL42" s="356"/>
      <c r="BM42" s="408"/>
      <c r="BN42" s="408"/>
    </row>
    <row r="43" spans="4:66" ht="95" customHeight="1" x14ac:dyDescent="1">
      <c r="F43" s="1813" t="s">
        <v>328</v>
      </c>
    </row>
    <row r="44" spans="4:66" ht="95" customHeight="1" thickBot="1" x14ac:dyDescent="1.05">
      <c r="D44" s="408"/>
      <c r="F44" s="354" t="s">
        <v>20</v>
      </c>
      <c r="H44" s="510">
        <v>3500</v>
      </c>
      <c r="J44" s="354" t="s">
        <v>33</v>
      </c>
    </row>
    <row r="45" spans="4:66" ht="10" customHeight="1" thickTop="1" thickBot="1" x14ac:dyDescent="1.05">
      <c r="D45" s="408"/>
      <c r="E45" s="511"/>
      <c r="F45" s="512"/>
      <c r="G45" s="513"/>
      <c r="H45" s="513"/>
      <c r="I45" s="513"/>
      <c r="J45" s="513"/>
      <c r="K45" s="513"/>
      <c r="L45" s="513"/>
      <c r="M45" s="513"/>
      <c r="N45" s="513"/>
      <c r="O45" s="513"/>
      <c r="P45" s="513"/>
      <c r="Q45" s="513"/>
      <c r="R45" s="513"/>
      <c r="S45" s="513"/>
      <c r="T45" s="513"/>
      <c r="U45" s="511"/>
      <c r="AF45" s="357"/>
      <c r="AG45" s="357"/>
    </row>
    <row r="46" spans="4:66" ht="95" customHeight="1" thickTop="1" x14ac:dyDescent="1">
      <c r="E46" s="514"/>
      <c r="F46" s="1877" t="s">
        <v>179</v>
      </c>
      <c r="G46" s="1878"/>
      <c r="H46" s="1878"/>
      <c r="I46" s="1878"/>
      <c r="J46" s="1878"/>
      <c r="K46" s="1878"/>
      <c r="L46" s="1878"/>
      <c r="M46" s="1878"/>
      <c r="N46" s="1878"/>
      <c r="O46" s="1878"/>
      <c r="P46" s="1878"/>
      <c r="Q46" s="1878"/>
      <c r="R46" s="1878"/>
      <c r="S46" s="1878"/>
      <c r="T46" s="1878"/>
      <c r="U46" s="515"/>
      <c r="AL46" s="358"/>
      <c r="AM46" s="358"/>
      <c r="AN46" s="358"/>
      <c r="AO46" s="358"/>
      <c r="AP46" s="358"/>
    </row>
    <row r="47" spans="4:66" ht="95" customHeight="1" x14ac:dyDescent="1">
      <c r="E47" s="514"/>
      <c r="F47" s="1880"/>
      <c r="G47" s="1967"/>
      <c r="H47" s="1967"/>
      <c r="I47" s="1967"/>
      <c r="J47" s="1967"/>
      <c r="K47" s="1967"/>
      <c r="L47" s="1967"/>
      <c r="M47" s="1967"/>
      <c r="N47" s="1967"/>
      <c r="O47" s="1967"/>
      <c r="P47" s="1967"/>
      <c r="Q47" s="1967"/>
      <c r="R47" s="1967"/>
      <c r="S47" s="1967"/>
      <c r="T47" s="1967"/>
      <c r="U47" s="516"/>
      <c r="AB47" s="358"/>
      <c r="AC47" s="358"/>
      <c r="AD47" s="357"/>
      <c r="AE47" s="357"/>
    </row>
    <row r="48" spans="4:66" ht="95" customHeight="1" x14ac:dyDescent="1">
      <c r="E48" s="514"/>
      <c r="F48" s="1880"/>
      <c r="G48" s="1967"/>
      <c r="H48" s="1967"/>
      <c r="I48" s="1967"/>
      <c r="J48" s="1967"/>
      <c r="K48" s="1967"/>
      <c r="L48" s="1967"/>
      <c r="M48" s="1967"/>
      <c r="N48" s="1967"/>
      <c r="O48" s="1967"/>
      <c r="P48" s="1967"/>
      <c r="Q48" s="1967"/>
      <c r="R48" s="1967"/>
      <c r="S48" s="1967"/>
      <c r="T48" s="1967"/>
      <c r="U48" s="516"/>
      <c r="AB48" s="358"/>
      <c r="AC48" s="358"/>
    </row>
    <row r="49" spans="2:103" ht="95" customHeight="1" x14ac:dyDescent="1">
      <c r="E49" s="514"/>
      <c r="F49" s="1880"/>
      <c r="G49" s="1967"/>
      <c r="H49" s="1967"/>
      <c r="I49" s="1967"/>
      <c r="J49" s="1967"/>
      <c r="K49" s="1967"/>
      <c r="L49" s="1967"/>
      <c r="M49" s="1967"/>
      <c r="N49" s="1967"/>
      <c r="O49" s="1967"/>
      <c r="P49" s="1967"/>
      <c r="Q49" s="1967"/>
      <c r="R49" s="1967"/>
      <c r="S49" s="1967"/>
      <c r="T49" s="1967"/>
      <c r="U49" s="516"/>
      <c r="AD49" s="359"/>
      <c r="AE49" s="359"/>
    </row>
    <row r="50" spans="2:103" ht="95" customHeight="1" x14ac:dyDescent="1">
      <c r="E50" s="514"/>
      <c r="F50" s="1880"/>
      <c r="G50" s="1967"/>
      <c r="H50" s="1967"/>
      <c r="I50" s="1967"/>
      <c r="J50" s="1967"/>
      <c r="K50" s="1967"/>
      <c r="L50" s="1967"/>
      <c r="M50" s="1967"/>
      <c r="N50" s="1967"/>
      <c r="O50" s="1967"/>
      <c r="P50" s="1967"/>
      <c r="Q50" s="1967"/>
      <c r="R50" s="1967"/>
      <c r="S50" s="1967"/>
      <c r="T50" s="1967"/>
      <c r="U50" s="516"/>
    </row>
    <row r="51" spans="2:103" ht="95" customHeight="1" x14ac:dyDescent="1">
      <c r="E51" s="514"/>
      <c r="F51" s="1880"/>
      <c r="G51" s="1967"/>
      <c r="H51" s="1967"/>
      <c r="I51" s="1967"/>
      <c r="J51" s="1967"/>
      <c r="K51" s="1967"/>
      <c r="L51" s="1967"/>
      <c r="M51" s="1967"/>
      <c r="N51" s="1967"/>
      <c r="O51" s="1967"/>
      <c r="P51" s="1967"/>
      <c r="Q51" s="1967"/>
      <c r="R51" s="1967"/>
      <c r="S51" s="1967"/>
      <c r="T51" s="1967"/>
      <c r="U51" s="516"/>
      <c r="AD51" s="358"/>
      <c r="AE51" s="358"/>
      <c r="AF51" s="358"/>
      <c r="AG51" s="358"/>
      <c r="AH51" s="358"/>
      <c r="AI51" s="358"/>
      <c r="AJ51" s="358"/>
      <c r="AK51" s="358"/>
      <c r="AL51" s="358"/>
      <c r="AM51" s="358"/>
      <c r="AN51" s="358"/>
      <c r="AO51" s="358"/>
      <c r="AP51" s="358"/>
    </row>
    <row r="52" spans="2:103" ht="95" customHeight="1" thickBot="1" x14ac:dyDescent="1.05">
      <c r="E52" s="514"/>
      <c r="F52" s="1883"/>
      <c r="G52" s="1884"/>
      <c r="H52" s="1884"/>
      <c r="I52" s="1884"/>
      <c r="J52" s="1884"/>
      <c r="K52" s="1884"/>
      <c r="L52" s="1884"/>
      <c r="M52" s="1884"/>
      <c r="N52" s="1884"/>
      <c r="O52" s="1884"/>
      <c r="P52" s="1884"/>
      <c r="Q52" s="1884"/>
      <c r="R52" s="1884"/>
      <c r="S52" s="1884"/>
      <c r="T52" s="1884"/>
      <c r="U52" s="517"/>
    </row>
    <row r="53" spans="2:103" ht="10" customHeight="1" thickTop="1" thickBot="1" x14ac:dyDescent="1.05">
      <c r="E53" s="514"/>
      <c r="F53" s="518"/>
      <c r="G53" s="519"/>
      <c r="H53" s="519"/>
      <c r="I53" s="519"/>
      <c r="J53" s="519"/>
      <c r="K53" s="519"/>
      <c r="L53" s="519"/>
      <c r="M53" s="519"/>
      <c r="N53" s="519"/>
      <c r="O53" s="519"/>
      <c r="P53" s="519"/>
      <c r="Q53" s="519"/>
      <c r="R53" s="519"/>
      <c r="S53" s="519"/>
      <c r="T53" s="519"/>
      <c r="U53" s="520"/>
      <c r="AC53" s="357"/>
    </row>
    <row r="54" spans="2:103" s="408" customFormat="1" ht="20" customHeight="1" thickTop="1" x14ac:dyDescent="1">
      <c r="B54" s="356"/>
      <c r="E54" s="521"/>
      <c r="AD54" s="354"/>
      <c r="AE54" s="354"/>
      <c r="AG54" s="357"/>
      <c r="AH54" s="354"/>
      <c r="AI54" s="354"/>
      <c r="AJ54" s="354"/>
      <c r="AK54" s="354"/>
      <c r="AL54" s="354"/>
      <c r="AM54" s="354"/>
      <c r="AN54" s="354"/>
      <c r="AO54" s="354"/>
      <c r="AP54" s="354"/>
    </row>
    <row r="55" spans="2:103" s="408" customFormat="1" ht="95" customHeight="1" x14ac:dyDescent="1">
      <c r="B55" s="356"/>
      <c r="F55" s="1813" t="s">
        <v>329</v>
      </c>
      <c r="G55" s="354"/>
      <c r="H55" s="354"/>
      <c r="I55" s="354"/>
      <c r="J55" s="354"/>
      <c r="AD55" s="354"/>
      <c r="AE55" s="354"/>
      <c r="AG55" s="357"/>
      <c r="AH55" s="354"/>
      <c r="AI55" s="354"/>
      <c r="AJ55" s="354"/>
      <c r="AK55" s="354"/>
      <c r="AL55" s="354"/>
      <c r="AM55" s="354"/>
      <c r="AN55" s="354"/>
      <c r="AO55" s="354"/>
      <c r="AP55" s="354"/>
    </row>
    <row r="56" spans="2:103" ht="95" customHeight="1" thickBot="1" x14ac:dyDescent="1.05">
      <c r="B56" s="358"/>
      <c r="F56" s="354" t="s">
        <v>20</v>
      </c>
      <c r="H56" s="510">
        <v>3500</v>
      </c>
      <c r="J56" s="354" t="s">
        <v>33</v>
      </c>
      <c r="L56" s="522"/>
      <c r="M56" s="522"/>
      <c r="N56" s="523"/>
      <c r="O56" s="510"/>
    </row>
    <row r="57" spans="2:103" ht="10" customHeight="1" thickTop="1" thickBot="1" x14ac:dyDescent="1.05">
      <c r="B57" s="358"/>
      <c r="E57" s="511"/>
      <c r="F57" s="512"/>
      <c r="G57" s="513"/>
      <c r="H57" s="513"/>
      <c r="I57" s="513"/>
      <c r="J57" s="513"/>
      <c r="K57" s="513"/>
      <c r="L57" s="513"/>
      <c r="M57" s="513"/>
      <c r="N57" s="513"/>
      <c r="O57" s="513"/>
      <c r="P57" s="513"/>
      <c r="Q57" s="513"/>
      <c r="R57" s="513"/>
      <c r="S57" s="513"/>
      <c r="T57" s="513"/>
      <c r="U57" s="513"/>
      <c r="V57" s="358"/>
      <c r="AE57" s="354" t="s">
        <v>172</v>
      </c>
    </row>
    <row r="58" spans="2:103" ht="95" customHeight="1" thickTop="1" x14ac:dyDescent="1">
      <c r="B58" s="358"/>
      <c r="E58" s="514"/>
      <c r="F58" s="524"/>
      <c r="G58" s="525"/>
      <c r="H58" s="526"/>
      <c r="I58" s="527"/>
      <c r="J58" s="528"/>
      <c r="K58" s="525"/>
      <c r="L58" s="529"/>
      <c r="M58" s="527"/>
      <c r="N58" s="525"/>
      <c r="O58" s="527"/>
      <c r="P58" s="528"/>
      <c r="Q58" s="530"/>
      <c r="R58" s="527"/>
      <c r="S58" s="525"/>
      <c r="T58" s="531"/>
      <c r="U58" s="513"/>
      <c r="AI58" s="408"/>
    </row>
    <row r="59" spans="2:103" ht="95" customHeight="1" x14ac:dyDescent="1">
      <c r="B59" s="358"/>
      <c r="E59" s="514"/>
      <c r="F59" s="532" t="s">
        <v>152</v>
      </c>
      <c r="G59" s="492"/>
      <c r="H59" s="533" t="s">
        <v>152</v>
      </c>
      <c r="I59" s="382"/>
      <c r="J59" s="491" t="s">
        <v>152</v>
      </c>
      <c r="K59" s="492"/>
      <c r="L59" s="534" t="s">
        <v>152</v>
      </c>
      <c r="M59" s="382"/>
      <c r="N59" s="492" t="s">
        <v>152</v>
      </c>
      <c r="O59" s="382"/>
      <c r="P59" s="491" t="s">
        <v>152</v>
      </c>
      <c r="Q59" s="489"/>
      <c r="R59" s="382" t="s">
        <v>152</v>
      </c>
      <c r="S59" s="492"/>
      <c r="T59" s="535" t="s">
        <v>152</v>
      </c>
      <c r="U59" s="536"/>
      <c r="AD59" s="357"/>
    </row>
    <row r="60" spans="2:103" ht="95" customHeight="1" x14ac:dyDescent="1">
      <c r="B60" s="358"/>
      <c r="E60" s="514"/>
      <c r="F60" s="532" t="s">
        <v>153</v>
      </c>
      <c r="G60" s="492"/>
      <c r="H60" s="533" t="s">
        <v>154</v>
      </c>
      <c r="I60" s="382"/>
      <c r="J60" s="491" t="s">
        <v>154</v>
      </c>
      <c r="K60" s="492"/>
      <c r="L60" s="534" t="s">
        <v>154</v>
      </c>
      <c r="M60" s="382"/>
      <c r="N60" s="492" t="s">
        <v>154</v>
      </c>
      <c r="O60" s="382"/>
      <c r="P60" s="491" t="s">
        <v>154</v>
      </c>
      <c r="Q60" s="489"/>
      <c r="R60" s="382" t="s">
        <v>154</v>
      </c>
      <c r="S60" s="492"/>
      <c r="T60" s="535" t="s">
        <v>154</v>
      </c>
      <c r="U60" s="536"/>
    </row>
    <row r="61" spans="2:103" ht="95" customHeight="1" x14ac:dyDescent="1">
      <c r="B61" s="358"/>
      <c r="E61" s="514"/>
      <c r="F61" s="532" t="s">
        <v>121</v>
      </c>
      <c r="G61" s="492"/>
      <c r="H61" s="533" t="s">
        <v>125</v>
      </c>
      <c r="I61" s="382"/>
      <c r="J61" s="491" t="s">
        <v>121</v>
      </c>
      <c r="K61" s="492"/>
      <c r="L61" s="534" t="s">
        <v>20</v>
      </c>
      <c r="M61" s="382"/>
      <c r="N61" s="492" t="s">
        <v>20</v>
      </c>
      <c r="O61" s="382"/>
      <c r="P61" s="491" t="s">
        <v>121</v>
      </c>
      <c r="Q61" s="489"/>
      <c r="R61" s="382" t="s">
        <v>121</v>
      </c>
      <c r="S61" s="492"/>
      <c r="T61" s="535" t="s">
        <v>121</v>
      </c>
      <c r="U61" s="536"/>
    </row>
    <row r="62" spans="2:103" ht="95" customHeight="1" x14ac:dyDescent="1">
      <c r="B62" s="358"/>
      <c r="E62" s="514"/>
      <c r="F62" s="532">
        <v>300</v>
      </c>
      <c r="G62" s="492"/>
      <c r="H62" s="533">
        <v>500</v>
      </c>
      <c r="I62" s="382"/>
      <c r="J62" s="491">
        <v>300</v>
      </c>
      <c r="K62" s="492"/>
      <c r="L62" s="534">
        <v>450</v>
      </c>
      <c r="M62" s="382"/>
      <c r="N62" s="492">
        <v>450</v>
      </c>
      <c r="O62" s="382"/>
      <c r="P62" s="491">
        <v>300</v>
      </c>
      <c r="Q62" s="489"/>
      <c r="R62" s="382">
        <v>300</v>
      </c>
      <c r="S62" s="492"/>
      <c r="T62" s="535">
        <v>300</v>
      </c>
      <c r="U62" s="537"/>
      <c r="AD62" s="359"/>
    </row>
    <row r="63" spans="2:103" ht="95" customHeight="1" x14ac:dyDescent="1">
      <c r="B63" s="358"/>
      <c r="E63" s="514"/>
      <c r="F63" s="538"/>
      <c r="G63" s="539"/>
      <c r="H63" s="540"/>
      <c r="I63" s="390"/>
      <c r="J63" s="483"/>
      <c r="K63" s="539"/>
      <c r="L63" s="541"/>
      <c r="M63" s="390"/>
      <c r="N63" s="542"/>
      <c r="O63" s="543"/>
      <c r="P63" s="544"/>
      <c r="Q63" s="545"/>
      <c r="R63" s="390"/>
      <c r="S63" s="386"/>
      <c r="T63" s="546"/>
      <c r="U63" s="547"/>
    </row>
    <row r="64" spans="2:103" ht="95" customHeight="1" thickBot="1" x14ac:dyDescent="1.05">
      <c r="B64" s="358"/>
      <c r="E64" s="514"/>
      <c r="F64" s="548"/>
      <c r="G64" s="549"/>
      <c r="H64" s="550"/>
      <c r="I64" s="551"/>
      <c r="J64" s="552"/>
      <c r="K64" s="553"/>
      <c r="L64" s="554"/>
      <c r="M64" s="553"/>
      <c r="N64" s="555"/>
      <c r="O64" s="556"/>
      <c r="P64" s="483"/>
      <c r="Q64" s="481"/>
      <c r="R64" s="557"/>
      <c r="S64" s="386"/>
      <c r="T64" s="558"/>
      <c r="U64" s="519"/>
      <c r="CT64" s="559"/>
      <c r="CU64" s="559"/>
      <c r="CV64" s="559"/>
      <c r="CW64" s="559"/>
      <c r="CX64" s="559"/>
      <c r="CY64" s="559"/>
    </row>
    <row r="65" spans="2:57" ht="10" customHeight="1" thickTop="1" thickBot="1" x14ac:dyDescent="1.05">
      <c r="B65" s="358"/>
      <c r="E65" s="560"/>
      <c r="F65" s="518"/>
      <c r="G65" s="519"/>
      <c r="H65" s="519"/>
      <c r="I65" s="519"/>
      <c r="J65" s="519"/>
      <c r="K65" s="519"/>
      <c r="L65" s="519"/>
      <c r="M65" s="519"/>
      <c r="N65" s="519"/>
      <c r="O65" s="519"/>
      <c r="P65" s="561"/>
      <c r="Q65" s="561"/>
      <c r="R65" s="519"/>
      <c r="S65" s="561"/>
      <c r="T65" s="519"/>
      <c r="U65" s="519"/>
    </row>
    <row r="66" spans="2:57" s="358" customFormat="1" ht="95" customHeight="1" thickTop="1" x14ac:dyDescent="1">
      <c r="C66" s="356"/>
      <c r="E66" s="521"/>
      <c r="F66" s="408"/>
      <c r="G66" s="408"/>
      <c r="H66" s="408"/>
      <c r="I66" s="408"/>
      <c r="J66" s="408"/>
      <c r="K66" s="408"/>
      <c r="L66" s="408"/>
      <c r="M66" s="408"/>
      <c r="N66" s="408"/>
      <c r="O66" s="408"/>
      <c r="P66" s="408"/>
      <c r="Q66" s="408"/>
      <c r="R66" s="408"/>
      <c r="S66" s="408"/>
      <c r="T66" s="408"/>
      <c r="U66" s="408"/>
    </row>
    <row r="67" spans="2:57" s="358" customFormat="1" ht="95" customHeight="1" x14ac:dyDescent="1">
      <c r="C67" s="356"/>
      <c r="E67" s="408"/>
      <c r="F67" s="1813" t="s">
        <v>330</v>
      </c>
      <c r="G67" s="354"/>
      <c r="H67" s="354"/>
      <c r="I67" s="354"/>
      <c r="J67" s="354"/>
      <c r="K67" s="408"/>
      <c r="L67" s="408"/>
      <c r="M67" s="408"/>
      <c r="N67" s="408"/>
      <c r="O67" s="408"/>
      <c r="P67" s="408"/>
      <c r="Q67" s="408"/>
      <c r="R67" s="408"/>
      <c r="S67" s="408"/>
      <c r="T67" s="408"/>
      <c r="U67" s="408"/>
    </row>
    <row r="68" spans="2:57" ht="95" customHeight="1" thickBot="1" x14ac:dyDescent="1.05">
      <c r="B68" s="358"/>
      <c r="E68" s="562"/>
      <c r="F68" s="354" t="s">
        <v>20</v>
      </c>
      <c r="H68" s="510">
        <v>3500</v>
      </c>
      <c r="J68" s="354" t="s">
        <v>33</v>
      </c>
      <c r="AR68" s="356"/>
    </row>
    <row r="69" spans="2:57" ht="10" customHeight="1" thickTop="1" thickBot="1" x14ac:dyDescent="1.05">
      <c r="B69" s="358"/>
      <c r="E69" s="511"/>
      <c r="F69" s="512"/>
      <c r="G69" s="513"/>
      <c r="H69" s="513"/>
      <c r="I69" s="513"/>
      <c r="J69" s="513"/>
      <c r="K69" s="513"/>
      <c r="L69" s="513"/>
      <c r="M69" s="513"/>
      <c r="N69" s="513"/>
      <c r="O69" s="513"/>
      <c r="P69" s="513"/>
      <c r="Q69" s="513"/>
      <c r="R69" s="513"/>
      <c r="S69" s="513"/>
      <c r="T69" s="513"/>
      <c r="U69" s="511"/>
      <c r="AR69" s="356"/>
    </row>
    <row r="70" spans="2:57" ht="95" customHeight="1" thickTop="1" x14ac:dyDescent="1">
      <c r="B70" s="358"/>
      <c r="E70" s="514"/>
      <c r="F70" s="563"/>
      <c r="G70" s="564"/>
      <c r="H70" s="527"/>
      <c r="I70" s="564"/>
      <c r="J70" s="564"/>
      <c r="K70" s="564"/>
      <c r="L70" s="527"/>
      <c r="M70" s="564"/>
      <c r="N70" s="564"/>
      <c r="O70" s="564"/>
      <c r="P70" s="564"/>
      <c r="Q70" s="527"/>
      <c r="R70" s="564"/>
      <c r="S70" s="564"/>
      <c r="T70" s="564"/>
      <c r="U70" s="511"/>
      <c r="AR70" s="356"/>
    </row>
    <row r="71" spans="2:57" ht="95" customHeight="1" x14ac:dyDescent="1">
      <c r="B71" s="358"/>
      <c r="E71" s="514"/>
      <c r="F71" s="1875" t="s">
        <v>132</v>
      </c>
      <c r="G71" s="1867"/>
      <c r="H71" s="1869"/>
      <c r="I71" s="489"/>
      <c r="J71" s="1886" t="s">
        <v>132</v>
      </c>
      <c r="K71" s="1867"/>
      <c r="L71" s="1869"/>
      <c r="M71" s="376"/>
      <c r="N71" s="1867" t="s">
        <v>132</v>
      </c>
      <c r="O71" s="1867"/>
      <c r="P71" s="1867"/>
      <c r="Q71" s="382"/>
      <c r="R71" s="2023" t="s">
        <v>132</v>
      </c>
      <c r="S71" s="1867"/>
      <c r="T71" s="1867"/>
      <c r="U71" s="565"/>
      <c r="AR71" s="356"/>
    </row>
    <row r="72" spans="2:57" ht="95" customHeight="1" x14ac:dyDescent="1">
      <c r="B72" s="358"/>
      <c r="E72" s="514"/>
      <c r="F72" s="1875" t="s">
        <v>153</v>
      </c>
      <c r="G72" s="1867"/>
      <c r="H72" s="1869"/>
      <c r="I72" s="376"/>
      <c r="J72" s="1867" t="s">
        <v>153</v>
      </c>
      <c r="K72" s="1867"/>
      <c r="L72" s="1869"/>
      <c r="M72" s="376"/>
      <c r="N72" s="1867" t="s">
        <v>153</v>
      </c>
      <c r="O72" s="1867"/>
      <c r="P72" s="1867"/>
      <c r="Q72" s="566"/>
      <c r="R72" s="2023" t="s">
        <v>153</v>
      </c>
      <c r="S72" s="1867"/>
      <c r="T72" s="1867"/>
      <c r="U72" s="565"/>
      <c r="AR72" s="356"/>
      <c r="AS72" s="358"/>
      <c r="AT72" s="358"/>
      <c r="AU72" s="358"/>
      <c r="AV72" s="358"/>
      <c r="AW72" s="358"/>
      <c r="AX72" s="358"/>
      <c r="AY72" s="358"/>
      <c r="AZ72" s="358"/>
    </row>
    <row r="73" spans="2:57" ht="95" customHeight="1" x14ac:dyDescent="1">
      <c r="B73" s="358"/>
      <c r="E73" s="514"/>
      <c r="F73" s="1875" t="s">
        <v>121</v>
      </c>
      <c r="G73" s="1867"/>
      <c r="H73" s="1869"/>
      <c r="I73" s="376"/>
      <c r="J73" s="1867" t="s">
        <v>121</v>
      </c>
      <c r="K73" s="1867"/>
      <c r="L73" s="1869"/>
      <c r="M73" s="376"/>
      <c r="N73" s="1867" t="s">
        <v>20</v>
      </c>
      <c r="O73" s="1867"/>
      <c r="P73" s="1867"/>
      <c r="Q73" s="382"/>
      <c r="R73" s="2023" t="s">
        <v>121</v>
      </c>
      <c r="S73" s="1867"/>
      <c r="T73" s="1867"/>
      <c r="U73" s="565"/>
    </row>
    <row r="74" spans="2:57" ht="95" customHeight="1" x14ac:dyDescent="1">
      <c r="B74" s="358"/>
      <c r="E74" s="514"/>
      <c r="F74" s="1875">
        <v>800</v>
      </c>
      <c r="G74" s="1867"/>
      <c r="H74" s="1869"/>
      <c r="I74" s="376"/>
      <c r="J74" s="1867">
        <v>800</v>
      </c>
      <c r="K74" s="1867"/>
      <c r="L74" s="1869"/>
      <c r="M74" s="376"/>
      <c r="N74" s="1972">
        <v>1100</v>
      </c>
      <c r="O74" s="1972"/>
      <c r="P74" s="1972"/>
      <c r="Q74" s="567"/>
      <c r="R74" s="2043">
        <v>800</v>
      </c>
      <c r="S74" s="1972"/>
      <c r="T74" s="1972"/>
      <c r="U74" s="565"/>
    </row>
    <row r="75" spans="2:57" ht="95" customHeight="1" x14ac:dyDescent="1">
      <c r="B75" s="358"/>
      <c r="E75" s="514"/>
      <c r="F75" s="568"/>
      <c r="G75" s="386"/>
      <c r="H75" s="390"/>
      <c r="I75" s="386"/>
      <c r="J75" s="386"/>
      <c r="K75" s="386"/>
      <c r="L75" s="390"/>
      <c r="M75" s="386"/>
      <c r="N75" s="386"/>
      <c r="O75" s="386"/>
      <c r="P75" s="386"/>
      <c r="Q75" s="390"/>
      <c r="R75" s="386"/>
      <c r="S75" s="386"/>
      <c r="T75" s="386"/>
      <c r="U75" s="560"/>
      <c r="V75" s="408"/>
      <c r="AZ75" s="356"/>
      <c r="BA75" s="356"/>
      <c r="BB75" s="356"/>
      <c r="BC75" s="356"/>
      <c r="BD75" s="356"/>
      <c r="BE75" s="356"/>
    </row>
    <row r="76" spans="2:57" ht="95" customHeight="1" thickBot="1" x14ac:dyDescent="1.05">
      <c r="B76" s="358"/>
      <c r="E76" s="514"/>
      <c r="F76" s="569"/>
      <c r="G76" s="570"/>
      <c r="H76" s="556"/>
      <c r="I76" s="570"/>
      <c r="J76" s="570"/>
      <c r="K76" s="570"/>
      <c r="L76" s="556"/>
      <c r="M76" s="570"/>
      <c r="N76" s="570"/>
      <c r="O76" s="570"/>
      <c r="P76" s="570"/>
      <c r="Q76" s="556"/>
      <c r="R76" s="570"/>
      <c r="S76" s="570"/>
      <c r="T76" s="570"/>
      <c r="U76" s="520"/>
      <c r="V76" s="356"/>
      <c r="AZ76" s="356"/>
      <c r="BA76" s="356"/>
      <c r="BB76" s="356"/>
      <c r="BC76" s="356"/>
      <c r="BD76" s="356"/>
      <c r="BE76" s="356"/>
    </row>
    <row r="77" spans="2:57" ht="10" customHeight="1" thickTop="1" thickBot="1" x14ac:dyDescent="1.05">
      <c r="B77" s="358"/>
      <c r="E77" s="514"/>
      <c r="F77" s="518"/>
      <c r="G77" s="519"/>
      <c r="H77" s="519"/>
      <c r="I77" s="519"/>
      <c r="J77" s="519"/>
      <c r="K77" s="519"/>
      <c r="L77" s="519"/>
      <c r="M77" s="519"/>
      <c r="N77" s="519"/>
      <c r="O77" s="519"/>
      <c r="P77" s="519"/>
      <c r="Q77" s="519"/>
      <c r="R77" s="519"/>
      <c r="S77" s="519"/>
      <c r="T77" s="519"/>
      <c r="U77" s="520"/>
      <c r="AZ77" s="356"/>
      <c r="BA77" s="356"/>
      <c r="BB77" s="356"/>
      <c r="BC77" s="356"/>
      <c r="BD77" s="356"/>
      <c r="BE77" s="356"/>
    </row>
    <row r="78" spans="2:57" ht="20" customHeight="1" thickTop="1" x14ac:dyDescent="1">
      <c r="B78" s="358"/>
      <c r="D78" s="358"/>
      <c r="E78" s="571"/>
      <c r="F78" s="356"/>
      <c r="G78" s="356"/>
      <c r="H78" s="356"/>
      <c r="I78" s="356"/>
      <c r="J78" s="356"/>
      <c r="K78" s="356"/>
      <c r="L78" s="356"/>
      <c r="M78" s="356"/>
      <c r="N78" s="356"/>
      <c r="O78" s="356"/>
      <c r="P78" s="356"/>
      <c r="Q78" s="356"/>
      <c r="R78" s="356"/>
      <c r="S78" s="356"/>
      <c r="T78" s="356"/>
      <c r="U78" s="356"/>
      <c r="V78" s="358"/>
      <c r="AZ78" s="356"/>
      <c r="BA78" s="356"/>
      <c r="BB78" s="356"/>
      <c r="BC78" s="356"/>
      <c r="BD78" s="356"/>
      <c r="BE78" s="356"/>
    </row>
    <row r="79" spans="2:57" ht="95" customHeight="1" x14ac:dyDescent="1">
      <c r="B79" s="358"/>
      <c r="D79" s="358"/>
      <c r="E79" s="356"/>
      <c r="F79" s="1813" t="s">
        <v>331</v>
      </c>
      <c r="G79" s="356"/>
      <c r="H79" s="356"/>
      <c r="I79" s="356"/>
      <c r="J79" s="356"/>
      <c r="K79" s="356"/>
      <c r="L79" s="356"/>
      <c r="M79" s="356"/>
      <c r="N79" s="356"/>
      <c r="O79" s="356"/>
      <c r="P79" s="356"/>
      <c r="Q79" s="356"/>
      <c r="R79" s="356"/>
      <c r="S79" s="356"/>
      <c r="T79" s="356"/>
      <c r="U79" s="356"/>
      <c r="V79" s="358"/>
      <c r="X79" s="1813" t="s">
        <v>332</v>
      </c>
      <c r="AZ79" s="356"/>
      <c r="BA79" s="356"/>
      <c r="BB79" s="356"/>
      <c r="BC79" s="356"/>
      <c r="BD79" s="356"/>
      <c r="BE79" s="356"/>
    </row>
    <row r="80" spans="2:57" ht="95" customHeight="1" thickBot="1" x14ac:dyDescent="1.05">
      <c r="F80" s="358" t="s">
        <v>227</v>
      </c>
      <c r="J80" s="358"/>
      <c r="K80" s="358"/>
      <c r="L80" s="358"/>
      <c r="M80" s="358"/>
      <c r="N80" s="572"/>
      <c r="O80" s="358"/>
      <c r="P80" s="358"/>
      <c r="Q80" s="358"/>
      <c r="V80" s="573"/>
      <c r="X80" s="358" t="s">
        <v>228</v>
      </c>
      <c r="AB80" s="358"/>
      <c r="AC80" s="358"/>
      <c r="AE80" s="358"/>
      <c r="AF80" s="358"/>
      <c r="AG80" s="572"/>
      <c r="AH80" s="572"/>
      <c r="AI80" s="358"/>
      <c r="AJ80" s="358"/>
      <c r="AK80" s="358"/>
      <c r="AL80" s="358"/>
      <c r="AZ80" s="356"/>
      <c r="BA80" s="356"/>
      <c r="BB80" s="356"/>
      <c r="BC80" s="356"/>
      <c r="BD80" s="356"/>
      <c r="BE80" s="356"/>
    </row>
    <row r="81" spans="2:92" ht="10" customHeight="1" thickTop="1" thickBot="1" x14ac:dyDescent="1.05">
      <c r="E81" s="574"/>
      <c r="F81" s="575"/>
      <c r="G81" s="576"/>
      <c r="H81" s="561"/>
      <c r="I81" s="561"/>
      <c r="J81" s="561"/>
      <c r="K81" s="575"/>
      <c r="L81" s="561"/>
      <c r="M81" s="561"/>
      <c r="N81" s="561"/>
      <c r="O81" s="561"/>
      <c r="P81" s="576"/>
      <c r="Q81" s="561"/>
      <c r="R81" s="561"/>
      <c r="S81" s="561"/>
      <c r="T81" s="576"/>
      <c r="U81" s="574"/>
      <c r="V81" s="470"/>
      <c r="W81" s="577"/>
      <c r="X81" s="575"/>
      <c r="Y81" s="561"/>
      <c r="Z81" s="561"/>
      <c r="AA81" s="561"/>
      <c r="AB81" s="561"/>
      <c r="AC81" s="561"/>
      <c r="AD81" s="561"/>
      <c r="AE81" s="561"/>
      <c r="AF81" s="561"/>
      <c r="AG81" s="561"/>
      <c r="AH81" s="561"/>
      <c r="AI81" s="577"/>
      <c r="AJ81" s="575"/>
      <c r="AK81" s="561"/>
      <c r="AL81" s="561"/>
      <c r="AM81" s="576"/>
      <c r="AZ81" s="356"/>
      <c r="BA81" s="356"/>
      <c r="BB81" s="356"/>
      <c r="BC81" s="356"/>
      <c r="BD81" s="356"/>
      <c r="BE81" s="356"/>
      <c r="CC81" s="358"/>
      <c r="CD81" s="358"/>
      <c r="CE81" s="358"/>
      <c r="CF81" s="358"/>
      <c r="CG81" s="358"/>
      <c r="CH81" s="358"/>
      <c r="CI81" s="358"/>
      <c r="CJ81" s="358"/>
      <c r="CK81" s="358"/>
      <c r="CL81" s="358"/>
      <c r="CM81" s="358"/>
      <c r="CN81" s="358"/>
    </row>
    <row r="82" spans="2:92" ht="95" customHeight="1" thickTop="1" thickBot="1" x14ac:dyDescent="1.05">
      <c r="E82" s="578"/>
      <c r="F82" s="1867" t="s">
        <v>26</v>
      </c>
      <c r="G82" s="1867"/>
      <c r="H82" s="1867"/>
      <c r="I82" s="386"/>
      <c r="J82" s="2039" t="s">
        <v>208</v>
      </c>
      <c r="K82" s="579">
        <v>500</v>
      </c>
      <c r="L82" s="566"/>
      <c r="M82" s="579"/>
      <c r="N82" s="579"/>
      <c r="O82" s="566"/>
      <c r="P82" s="580"/>
      <c r="Q82" s="579"/>
      <c r="R82" s="566"/>
      <c r="S82" s="579"/>
      <c r="T82" s="581"/>
      <c r="U82" s="511"/>
      <c r="V82" s="470"/>
      <c r="W82" s="577"/>
      <c r="X82" s="386"/>
      <c r="Y82" s="386"/>
      <c r="Z82" s="390"/>
      <c r="AA82" s="386"/>
      <c r="AB82" s="386"/>
      <c r="AC82" s="386"/>
      <c r="AD82" s="386"/>
      <c r="AE82" s="527"/>
      <c r="AF82" s="386"/>
      <c r="AG82" s="527"/>
      <c r="AH82" s="2039" t="s">
        <v>208</v>
      </c>
      <c r="AI82" s="582"/>
      <c r="AJ82" s="386"/>
      <c r="AK82" s="386"/>
      <c r="AL82" s="531"/>
      <c r="AM82" s="560"/>
      <c r="AZ82" s="356"/>
      <c r="BA82" s="356"/>
      <c r="BB82" s="356"/>
      <c r="BC82" s="356"/>
      <c r="CC82" s="358"/>
      <c r="CD82" s="358"/>
      <c r="CE82" s="358"/>
      <c r="CF82" s="358"/>
      <c r="CG82" s="358"/>
      <c r="CH82" s="358"/>
      <c r="CI82" s="358"/>
      <c r="CJ82" s="358"/>
      <c r="CK82" s="358"/>
      <c r="CL82" s="358"/>
      <c r="CM82" s="358"/>
      <c r="CN82" s="358"/>
    </row>
    <row r="83" spans="2:92" ht="95" customHeight="1" thickTop="1" x14ac:dyDescent="1">
      <c r="E83" s="578"/>
      <c r="F83" s="2003" t="s">
        <v>121</v>
      </c>
      <c r="G83" s="2003"/>
      <c r="H83" s="2003"/>
      <c r="I83" s="376"/>
      <c r="J83" s="2040"/>
      <c r="K83" s="579"/>
      <c r="L83" s="382" t="s">
        <v>221</v>
      </c>
      <c r="M83" s="376"/>
      <c r="N83" s="376" t="s">
        <v>221</v>
      </c>
      <c r="O83" s="382"/>
      <c r="P83" s="491" t="s">
        <v>152</v>
      </c>
      <c r="Q83" s="376"/>
      <c r="R83" s="382" t="s">
        <v>221</v>
      </c>
      <c r="S83" s="376"/>
      <c r="T83" s="535" t="s">
        <v>221</v>
      </c>
      <c r="U83" s="560"/>
      <c r="V83" s="356"/>
      <c r="W83" s="578"/>
      <c r="X83" s="1875" t="s">
        <v>132</v>
      </c>
      <c r="Y83" s="1867"/>
      <c r="Z83" s="1869"/>
      <c r="AA83" s="376"/>
      <c r="AB83" s="1956" t="s">
        <v>132</v>
      </c>
      <c r="AC83" s="1890"/>
      <c r="AD83" s="2042"/>
      <c r="AE83" s="382"/>
      <c r="AF83" s="2023" t="s">
        <v>132</v>
      </c>
      <c r="AG83" s="1869"/>
      <c r="AH83" s="2040"/>
      <c r="AI83" s="583"/>
      <c r="AJ83" s="584" t="s">
        <v>199</v>
      </c>
      <c r="AK83" s="584"/>
      <c r="AL83" s="585"/>
      <c r="AM83" s="565"/>
      <c r="AZ83" s="356"/>
      <c r="BA83" s="356"/>
      <c r="BB83" s="356"/>
      <c r="BC83" s="356"/>
      <c r="CC83" s="358"/>
      <c r="CD83" s="358"/>
      <c r="CE83" s="358"/>
      <c r="CF83" s="358"/>
      <c r="CG83" s="358"/>
      <c r="CH83" s="358"/>
      <c r="CI83" s="358"/>
      <c r="CJ83" s="358"/>
      <c r="CK83" s="358"/>
      <c r="CL83" s="358"/>
      <c r="CM83" s="358"/>
      <c r="CN83" s="358"/>
    </row>
    <row r="84" spans="2:92" ht="95" customHeight="1" x14ac:dyDescent="1">
      <c r="B84" s="408"/>
      <c r="E84" s="578"/>
      <c r="F84" s="1938">
        <v>300</v>
      </c>
      <c r="G84" s="1938"/>
      <c r="H84" s="1938"/>
      <c r="I84" s="586"/>
      <c r="J84" s="2040"/>
      <c r="K84" s="579"/>
      <c r="L84" s="382" t="s">
        <v>153</v>
      </c>
      <c r="M84" s="376"/>
      <c r="N84" s="376" t="s">
        <v>153</v>
      </c>
      <c r="O84" s="382"/>
      <c r="P84" s="491" t="s">
        <v>153</v>
      </c>
      <c r="Q84" s="376"/>
      <c r="R84" s="382" t="s">
        <v>153</v>
      </c>
      <c r="S84" s="376"/>
      <c r="T84" s="535" t="s">
        <v>153</v>
      </c>
      <c r="U84" s="560"/>
      <c r="V84" s="470"/>
      <c r="W84" s="578"/>
      <c r="X84" s="1875" t="s">
        <v>153</v>
      </c>
      <c r="Y84" s="1867"/>
      <c r="Z84" s="1869"/>
      <c r="AA84" s="376"/>
      <c r="AB84" s="1886" t="s">
        <v>153</v>
      </c>
      <c r="AC84" s="1867"/>
      <c r="AD84" s="1868"/>
      <c r="AE84" s="382"/>
      <c r="AF84" s="376" t="s">
        <v>154</v>
      </c>
      <c r="AG84" s="566"/>
      <c r="AH84" s="2040"/>
      <c r="AI84" s="583"/>
      <c r="AJ84" s="584" t="s">
        <v>121</v>
      </c>
      <c r="AK84" s="584"/>
      <c r="AL84" s="585"/>
      <c r="AM84" s="565"/>
      <c r="AZ84" s="356"/>
      <c r="BA84" s="356"/>
      <c r="BB84" s="356"/>
      <c r="BC84" s="356"/>
      <c r="CC84" s="358"/>
      <c r="CD84" s="358"/>
      <c r="CE84" s="358"/>
      <c r="CF84" s="358"/>
      <c r="CG84" s="358"/>
      <c r="CH84" s="358"/>
      <c r="CI84" s="358"/>
      <c r="CJ84" s="358"/>
      <c r="CK84" s="358"/>
      <c r="CL84" s="358"/>
      <c r="CM84" s="358"/>
      <c r="CN84" s="358"/>
    </row>
    <row r="85" spans="2:92" ht="95" customHeight="1" x14ac:dyDescent="1">
      <c r="B85" s="408"/>
      <c r="E85" s="578"/>
      <c r="F85" s="2003" t="s">
        <v>26</v>
      </c>
      <c r="G85" s="2003"/>
      <c r="H85" s="2003"/>
      <c r="I85" s="376"/>
      <c r="J85" s="2040"/>
      <c r="K85" s="579"/>
      <c r="L85" s="382" t="s">
        <v>121</v>
      </c>
      <c r="M85" s="376"/>
      <c r="N85" s="376" t="s">
        <v>125</v>
      </c>
      <c r="O85" s="382"/>
      <c r="P85" s="491" t="s">
        <v>121</v>
      </c>
      <c r="Q85" s="376"/>
      <c r="R85" s="382" t="s">
        <v>20</v>
      </c>
      <c r="S85" s="376"/>
      <c r="T85" s="535" t="s">
        <v>121</v>
      </c>
      <c r="U85" s="560"/>
      <c r="V85" s="573"/>
      <c r="W85" s="578"/>
      <c r="X85" s="1875" t="s">
        <v>20</v>
      </c>
      <c r="Y85" s="1867"/>
      <c r="Z85" s="1869"/>
      <c r="AA85" s="376"/>
      <c r="AB85" s="1886" t="s">
        <v>125</v>
      </c>
      <c r="AC85" s="1867"/>
      <c r="AD85" s="1868"/>
      <c r="AE85" s="382"/>
      <c r="AF85" s="376" t="s">
        <v>121</v>
      </c>
      <c r="AG85" s="382"/>
      <c r="AH85" s="2040"/>
      <c r="AI85" s="583"/>
      <c r="AJ85" s="584">
        <v>800</v>
      </c>
      <c r="AK85" s="584"/>
      <c r="AL85" s="585"/>
      <c r="AM85" s="588"/>
      <c r="AP85" s="358"/>
      <c r="AQ85" s="358"/>
      <c r="AR85" s="572"/>
      <c r="AS85" s="358"/>
      <c r="AT85" s="358"/>
      <c r="AU85" s="358"/>
      <c r="AV85" s="358"/>
      <c r="AZ85" s="356"/>
      <c r="BA85" s="356"/>
      <c r="BB85" s="356"/>
      <c r="BC85" s="356"/>
      <c r="CC85" s="358"/>
      <c r="CD85" s="358"/>
      <c r="CE85" s="358"/>
      <c r="CF85" s="358"/>
      <c r="CG85" s="358"/>
      <c r="CH85" s="358"/>
      <c r="CI85" s="358"/>
      <c r="CJ85" s="358"/>
      <c r="CK85" s="358"/>
      <c r="CL85" s="358"/>
      <c r="CM85" s="358"/>
      <c r="CN85" s="358"/>
    </row>
    <row r="86" spans="2:92" ht="95" customHeight="1" thickBot="1" x14ac:dyDescent="1.05">
      <c r="B86" s="408"/>
      <c r="E86" s="578"/>
      <c r="F86" s="1867" t="s">
        <v>20</v>
      </c>
      <c r="G86" s="1867"/>
      <c r="H86" s="1867"/>
      <c r="I86" s="376"/>
      <c r="J86" s="2040"/>
      <c r="K86" s="579"/>
      <c r="L86" s="382">
        <v>300</v>
      </c>
      <c r="M86" s="376"/>
      <c r="N86" s="376">
        <v>500</v>
      </c>
      <c r="O86" s="382"/>
      <c r="P86" s="491">
        <v>300</v>
      </c>
      <c r="Q86" s="376"/>
      <c r="R86" s="382">
        <v>450</v>
      </c>
      <c r="S86" s="376"/>
      <c r="T86" s="535">
        <v>300</v>
      </c>
      <c r="U86" s="560"/>
      <c r="V86" s="573"/>
      <c r="W86" s="578"/>
      <c r="X86" s="1871">
        <v>1100</v>
      </c>
      <c r="Y86" s="1867"/>
      <c r="Z86" s="1869"/>
      <c r="AA86" s="376"/>
      <c r="AB86" s="1923">
        <v>1400</v>
      </c>
      <c r="AC86" s="1867"/>
      <c r="AD86" s="1868"/>
      <c r="AE86" s="382"/>
      <c r="AF86" s="376">
        <v>800</v>
      </c>
      <c r="AG86" s="382"/>
      <c r="AH86" s="2040"/>
      <c r="AI86" s="589"/>
      <c r="AJ86" s="590"/>
      <c r="AK86" s="590"/>
      <c r="AL86" s="591"/>
      <c r="AM86" s="588"/>
      <c r="AP86" s="358"/>
      <c r="AQ86" s="358"/>
      <c r="AR86" s="358"/>
      <c r="AS86" s="358"/>
      <c r="AT86" s="358"/>
      <c r="AU86" s="358"/>
      <c r="AV86" s="358"/>
      <c r="AZ86" s="356"/>
      <c r="BA86" s="356"/>
      <c r="BB86" s="356"/>
      <c r="BC86" s="356"/>
    </row>
    <row r="87" spans="2:92" ht="95" customHeight="1" thickTop="1" thickBot="1" x14ac:dyDescent="1.05">
      <c r="B87" s="356"/>
      <c r="E87" s="577"/>
      <c r="F87" s="1940">
        <v>450</v>
      </c>
      <c r="G87" s="1940"/>
      <c r="H87" s="1940"/>
      <c r="I87" s="461"/>
      <c r="J87" s="2040"/>
      <c r="K87" s="579"/>
      <c r="L87" s="566"/>
      <c r="M87" s="579"/>
      <c r="N87" s="579"/>
      <c r="O87" s="566"/>
      <c r="P87" s="580"/>
      <c r="Q87" s="579"/>
      <c r="R87" s="566"/>
      <c r="S87" s="579"/>
      <c r="T87" s="581"/>
      <c r="U87" s="511"/>
      <c r="V87" s="470"/>
      <c r="W87" s="577"/>
      <c r="X87" s="386"/>
      <c r="Y87" s="386"/>
      <c r="Z87" s="390"/>
      <c r="AA87" s="386"/>
      <c r="AB87" s="592"/>
      <c r="AC87" s="593"/>
      <c r="AD87" s="594"/>
      <c r="AE87" s="390"/>
      <c r="AF87" s="386"/>
      <c r="AG87" s="390"/>
      <c r="AH87" s="2040"/>
      <c r="AI87" s="595"/>
      <c r="AJ87" s="596"/>
      <c r="AK87" s="579"/>
      <c r="AL87" s="581"/>
      <c r="AM87" s="560"/>
      <c r="AP87" s="358"/>
      <c r="AQ87" s="358"/>
      <c r="AR87" s="358"/>
      <c r="AS87" s="358"/>
      <c r="AT87" s="358"/>
      <c r="AU87" s="358"/>
      <c r="AV87" s="358"/>
      <c r="AZ87" s="356"/>
      <c r="BA87" s="356"/>
      <c r="BB87" s="356"/>
      <c r="BC87" s="356"/>
      <c r="BD87" s="356"/>
      <c r="BE87" s="356"/>
      <c r="CD87" s="358"/>
      <c r="CE87" s="358"/>
      <c r="CF87" s="358"/>
      <c r="CG87" s="358"/>
      <c r="CH87" s="358"/>
      <c r="CI87" s="358"/>
      <c r="CJ87" s="358"/>
      <c r="CK87" s="358"/>
      <c r="CL87" s="358"/>
      <c r="CM87" s="358"/>
      <c r="CN87" s="358"/>
    </row>
    <row r="88" spans="2:92" ht="95" customHeight="1" thickTop="1" thickBot="1" x14ac:dyDescent="1.05">
      <c r="B88" s="356"/>
      <c r="E88" s="578"/>
      <c r="F88" s="1867" t="s">
        <v>26</v>
      </c>
      <c r="G88" s="1867"/>
      <c r="H88" s="1867"/>
      <c r="I88" s="386"/>
      <c r="J88" s="2040"/>
      <c r="K88" s="597"/>
      <c r="L88" s="566"/>
      <c r="M88" s="579"/>
      <c r="N88" s="579"/>
      <c r="O88" s="566"/>
      <c r="P88" s="580"/>
      <c r="Q88" s="579"/>
      <c r="R88" s="566"/>
      <c r="S88" s="579"/>
      <c r="T88" s="581"/>
      <c r="U88" s="560"/>
      <c r="V88" s="470"/>
      <c r="W88" s="578"/>
      <c r="X88" s="386"/>
      <c r="Y88" s="386"/>
      <c r="Z88" s="390"/>
      <c r="AA88" s="484"/>
      <c r="AB88" s="386"/>
      <c r="AC88" s="386"/>
      <c r="AD88" s="386"/>
      <c r="AE88" s="390"/>
      <c r="AF88" s="386"/>
      <c r="AG88" s="390"/>
      <c r="AH88" s="2040"/>
      <c r="AI88" s="583"/>
      <c r="AJ88" s="602" t="s">
        <v>199</v>
      </c>
      <c r="AK88" s="602"/>
      <c r="AL88" s="603"/>
      <c r="AM88" s="588"/>
      <c r="AP88" s="358"/>
      <c r="AQ88" s="358"/>
      <c r="AR88" s="572"/>
      <c r="AS88" s="358"/>
      <c r="AT88" s="358"/>
      <c r="AU88" s="358"/>
      <c r="AV88" s="358"/>
      <c r="AZ88" s="356"/>
      <c r="BA88" s="356"/>
      <c r="BB88" s="356"/>
      <c r="BC88" s="356"/>
      <c r="BD88" s="356"/>
      <c r="BE88" s="356"/>
    </row>
    <row r="89" spans="2:92" ht="95" customHeight="1" thickTop="1" thickBot="1" x14ac:dyDescent="1.05">
      <c r="B89" s="358"/>
      <c r="E89" s="577"/>
      <c r="F89" s="1867" t="s">
        <v>121</v>
      </c>
      <c r="G89" s="1867"/>
      <c r="H89" s="1867"/>
      <c r="I89" s="598"/>
      <c r="J89" s="2044"/>
      <c r="K89" s="599"/>
      <c r="L89" s="2045" t="s">
        <v>209</v>
      </c>
      <c r="M89" s="2036"/>
      <c r="N89" s="2036"/>
      <c r="O89" s="2036"/>
      <c r="P89" s="2036"/>
      <c r="Q89" s="2036"/>
      <c r="R89" s="2036"/>
      <c r="S89" s="2036"/>
      <c r="T89" s="2046"/>
      <c r="U89" s="600"/>
      <c r="V89" s="470"/>
      <c r="W89" s="601"/>
      <c r="X89" s="2035" t="s">
        <v>209</v>
      </c>
      <c r="Y89" s="2036"/>
      <c r="Z89" s="2036"/>
      <c r="AA89" s="2036"/>
      <c r="AB89" s="2036"/>
      <c r="AC89" s="2036"/>
      <c r="AD89" s="2036"/>
      <c r="AE89" s="2036"/>
      <c r="AF89" s="2036"/>
      <c r="AG89" s="2036"/>
      <c r="AH89" s="2040"/>
      <c r="AI89" s="583"/>
      <c r="AJ89" s="607" t="s">
        <v>121</v>
      </c>
      <c r="AK89" s="607"/>
      <c r="AL89" s="608"/>
      <c r="AM89" s="588"/>
      <c r="AP89" s="358"/>
      <c r="AQ89" s="358"/>
      <c r="AR89" s="358"/>
      <c r="AS89" s="358"/>
      <c r="AT89" s="358"/>
      <c r="AU89" s="358"/>
      <c r="AV89" s="358"/>
      <c r="AZ89" s="356"/>
      <c r="BA89" s="356"/>
      <c r="BB89" s="356"/>
      <c r="BC89" s="356"/>
      <c r="BD89" s="356"/>
      <c r="BE89" s="356"/>
    </row>
    <row r="90" spans="2:92" ht="95" customHeight="1" thickTop="1" thickBot="1" x14ac:dyDescent="1.05">
      <c r="E90" s="577"/>
      <c r="F90" s="1967">
        <v>300</v>
      </c>
      <c r="G90" s="1967"/>
      <c r="H90" s="1967"/>
      <c r="I90" s="598"/>
      <c r="J90" s="2044"/>
      <c r="K90" s="604"/>
      <c r="L90" s="2047"/>
      <c r="M90" s="1990"/>
      <c r="N90" s="1990"/>
      <c r="O90" s="1990"/>
      <c r="P90" s="1990"/>
      <c r="Q90" s="1990"/>
      <c r="R90" s="1990"/>
      <c r="S90" s="1990"/>
      <c r="T90" s="2048"/>
      <c r="U90" s="605"/>
      <c r="V90" s="470"/>
      <c r="W90" s="606"/>
      <c r="X90" s="2037"/>
      <c r="Y90" s="2038"/>
      <c r="Z90" s="2038"/>
      <c r="AA90" s="2038"/>
      <c r="AB90" s="2038"/>
      <c r="AC90" s="2038"/>
      <c r="AD90" s="2038"/>
      <c r="AE90" s="2038"/>
      <c r="AF90" s="2038"/>
      <c r="AG90" s="2038"/>
      <c r="AH90" s="2040"/>
      <c r="AI90" s="583"/>
      <c r="AJ90" s="602">
        <v>800</v>
      </c>
      <c r="AK90" s="602"/>
      <c r="AL90" s="602"/>
      <c r="AM90" s="1465"/>
      <c r="AP90" s="358"/>
      <c r="AQ90" s="358"/>
      <c r="AR90" s="358"/>
      <c r="AS90" s="358"/>
      <c r="AT90" s="358"/>
      <c r="AU90" s="358"/>
      <c r="AV90" s="358"/>
      <c r="AZ90" s="356"/>
      <c r="BA90" s="356"/>
      <c r="BB90" s="356"/>
      <c r="BC90" s="356"/>
      <c r="BD90" s="356"/>
      <c r="BE90" s="356"/>
    </row>
    <row r="91" spans="2:92" ht="95" customHeight="1" thickTop="1" thickBot="1" x14ac:dyDescent="1.05">
      <c r="E91" s="577"/>
      <c r="F91" s="1897" t="s">
        <v>26</v>
      </c>
      <c r="G91" s="1898"/>
      <c r="H91" s="1898"/>
      <c r="I91" s="452"/>
      <c r="J91" s="2040"/>
      <c r="K91" s="609"/>
      <c r="L91" s="456"/>
      <c r="M91" s="609"/>
      <c r="N91" s="452"/>
      <c r="O91" s="456"/>
      <c r="P91" s="610"/>
      <c r="Q91" s="611"/>
      <c r="R91" s="456"/>
      <c r="S91" s="452"/>
      <c r="T91" s="612"/>
      <c r="U91" s="520"/>
      <c r="V91" s="470"/>
      <c r="W91" s="578"/>
      <c r="X91" s="452"/>
      <c r="Y91" s="452"/>
      <c r="Z91" s="456"/>
      <c r="AA91" s="452"/>
      <c r="AB91" s="452"/>
      <c r="AC91" s="452"/>
      <c r="AD91" s="452"/>
      <c r="AE91" s="456"/>
      <c r="AF91" s="452"/>
      <c r="AG91" s="456"/>
      <c r="AH91" s="2040"/>
      <c r="AI91" s="583"/>
      <c r="AJ91" s="1108"/>
      <c r="AK91" s="579"/>
      <c r="AL91" s="387"/>
      <c r="AM91" s="1041"/>
      <c r="AZ91" s="356"/>
      <c r="BA91" s="356"/>
      <c r="BB91" s="356"/>
      <c r="BC91" s="356"/>
      <c r="BD91" s="356"/>
      <c r="BE91" s="356"/>
    </row>
    <row r="92" spans="2:92" ht="95" customHeight="1" thickTop="1" thickBot="1" x14ac:dyDescent="1.05">
      <c r="E92" s="577"/>
      <c r="F92" s="1867" t="s">
        <v>125</v>
      </c>
      <c r="G92" s="1867"/>
      <c r="H92" s="1867"/>
      <c r="I92" s="376"/>
      <c r="J92" s="2040"/>
      <c r="K92" s="376"/>
      <c r="L92" s="382" t="s">
        <v>221</v>
      </c>
      <c r="M92" s="376"/>
      <c r="N92" s="376" t="s">
        <v>221</v>
      </c>
      <c r="O92" s="382"/>
      <c r="P92" s="491" t="s">
        <v>152</v>
      </c>
      <c r="Q92" s="376"/>
      <c r="R92" s="382" t="s">
        <v>221</v>
      </c>
      <c r="S92" s="376"/>
      <c r="T92" s="535" t="s">
        <v>221</v>
      </c>
      <c r="U92" s="560"/>
      <c r="V92" s="470"/>
      <c r="W92" s="577"/>
      <c r="X92" s="376"/>
      <c r="Y92" s="376"/>
      <c r="Z92" s="382"/>
      <c r="AA92" s="376"/>
      <c r="AB92" s="376"/>
      <c r="AC92" s="376"/>
      <c r="AD92" s="579"/>
      <c r="AE92" s="566"/>
      <c r="AF92" s="579"/>
      <c r="AG92" s="566"/>
      <c r="AH92" s="2040"/>
      <c r="AI92" s="613"/>
      <c r="AJ92" s="1466"/>
      <c r="AK92" s="387"/>
      <c r="AL92" s="387"/>
      <c r="AM92" s="1415"/>
      <c r="AZ92" s="356"/>
      <c r="BA92" s="356"/>
      <c r="BB92" s="356"/>
      <c r="BC92" s="356"/>
      <c r="BD92" s="356"/>
      <c r="BE92" s="356"/>
    </row>
    <row r="93" spans="2:92" ht="95" customHeight="1" thickTop="1" x14ac:dyDescent="1">
      <c r="E93" s="578"/>
      <c r="F93" s="1867">
        <v>500</v>
      </c>
      <c r="G93" s="1867"/>
      <c r="H93" s="1867"/>
      <c r="I93" s="376"/>
      <c r="J93" s="2040"/>
      <c r="K93" s="579"/>
      <c r="L93" s="382" t="s">
        <v>153</v>
      </c>
      <c r="M93" s="376"/>
      <c r="N93" s="376" t="s">
        <v>153</v>
      </c>
      <c r="O93" s="382"/>
      <c r="P93" s="491" t="s">
        <v>153</v>
      </c>
      <c r="Q93" s="376"/>
      <c r="R93" s="382" t="s">
        <v>153</v>
      </c>
      <c r="S93" s="376"/>
      <c r="T93" s="535" t="s">
        <v>153</v>
      </c>
      <c r="U93" s="560"/>
      <c r="V93" s="470"/>
      <c r="W93" s="578"/>
      <c r="X93" s="1875" t="s">
        <v>132</v>
      </c>
      <c r="Y93" s="1867"/>
      <c r="Z93" s="1869"/>
      <c r="AA93" s="489"/>
      <c r="AB93" s="1886" t="s">
        <v>132</v>
      </c>
      <c r="AC93" s="1867"/>
      <c r="AD93" s="1874"/>
      <c r="AE93" s="382"/>
      <c r="AF93" s="2023" t="s">
        <v>132</v>
      </c>
      <c r="AG93" s="1869"/>
      <c r="AH93" s="2040"/>
      <c r="AI93" s="595"/>
      <c r="AJ93" s="596"/>
      <c r="AK93" s="616"/>
      <c r="AL93" s="617"/>
      <c r="AM93" s="588"/>
      <c r="AZ93" s="356"/>
      <c r="BA93" s="356"/>
      <c r="BB93" s="356"/>
      <c r="BC93" s="356"/>
      <c r="BD93" s="356"/>
      <c r="BE93" s="356"/>
    </row>
    <row r="94" spans="2:92" ht="95" customHeight="1" thickBot="1" x14ac:dyDescent="1.05">
      <c r="E94" s="578"/>
      <c r="F94" s="1940"/>
      <c r="G94" s="1940"/>
      <c r="H94" s="1940"/>
      <c r="I94" s="586"/>
      <c r="J94" s="2040"/>
      <c r="K94" s="579"/>
      <c r="L94" s="382" t="s">
        <v>121</v>
      </c>
      <c r="M94" s="376"/>
      <c r="N94" s="376" t="s">
        <v>125</v>
      </c>
      <c r="O94" s="382"/>
      <c r="P94" s="491" t="s">
        <v>121</v>
      </c>
      <c r="Q94" s="376"/>
      <c r="R94" s="382" t="s">
        <v>20</v>
      </c>
      <c r="S94" s="376"/>
      <c r="T94" s="535" t="s">
        <v>121</v>
      </c>
      <c r="U94" s="520"/>
      <c r="V94" s="470"/>
      <c r="W94" s="578"/>
      <c r="X94" s="1875" t="s">
        <v>153</v>
      </c>
      <c r="Y94" s="1867"/>
      <c r="Z94" s="1869"/>
      <c r="AA94" s="489"/>
      <c r="AB94" s="1886" t="s">
        <v>153</v>
      </c>
      <c r="AC94" s="1867"/>
      <c r="AD94" s="1874"/>
      <c r="AE94" s="382"/>
      <c r="AF94" s="376" t="s">
        <v>154</v>
      </c>
      <c r="AG94" s="566"/>
      <c r="AH94" s="2040"/>
      <c r="AI94" s="583"/>
      <c r="AJ94" s="602" t="s">
        <v>199</v>
      </c>
      <c r="AK94" s="602"/>
      <c r="AL94" s="603"/>
      <c r="AM94" s="588"/>
      <c r="AZ94" s="356"/>
      <c r="BA94" s="356"/>
      <c r="BB94" s="356"/>
      <c r="BC94" s="356"/>
      <c r="BD94" s="356"/>
      <c r="BE94" s="356"/>
    </row>
    <row r="95" spans="2:92" ht="95" customHeight="1" thickTop="1" x14ac:dyDescent="1">
      <c r="E95" s="577"/>
      <c r="F95" s="1867" t="s">
        <v>26</v>
      </c>
      <c r="G95" s="1867"/>
      <c r="H95" s="1867"/>
      <c r="I95" s="376"/>
      <c r="J95" s="2040"/>
      <c r="K95" s="579"/>
      <c r="L95" s="382">
        <v>300</v>
      </c>
      <c r="M95" s="376"/>
      <c r="N95" s="376">
        <v>500</v>
      </c>
      <c r="O95" s="382"/>
      <c r="P95" s="491">
        <v>300</v>
      </c>
      <c r="Q95" s="376"/>
      <c r="R95" s="382">
        <v>450</v>
      </c>
      <c r="S95" s="376"/>
      <c r="T95" s="535">
        <v>300</v>
      </c>
      <c r="U95" s="560"/>
      <c r="V95" s="470"/>
      <c r="W95" s="577"/>
      <c r="X95" s="1875" t="s">
        <v>20</v>
      </c>
      <c r="Y95" s="1867"/>
      <c r="Z95" s="1869"/>
      <c r="AA95" s="489"/>
      <c r="AB95" s="1886" t="s">
        <v>125</v>
      </c>
      <c r="AC95" s="1867"/>
      <c r="AD95" s="1874"/>
      <c r="AE95" s="382"/>
      <c r="AF95" s="376" t="s">
        <v>121</v>
      </c>
      <c r="AG95" s="390"/>
      <c r="AH95" s="2040"/>
      <c r="AI95" s="583"/>
      <c r="AJ95" s="602" t="s">
        <v>20</v>
      </c>
      <c r="AK95" s="602"/>
      <c r="AL95" s="603"/>
      <c r="AM95" s="565"/>
      <c r="AZ95" s="356"/>
      <c r="BA95" s="356"/>
      <c r="BB95" s="356"/>
      <c r="BC95" s="356"/>
      <c r="BD95" s="356"/>
      <c r="BE95" s="356"/>
    </row>
    <row r="96" spans="2:92" ht="95" customHeight="1" x14ac:dyDescent="1">
      <c r="E96" s="578"/>
      <c r="F96" s="1972" t="s">
        <v>121</v>
      </c>
      <c r="G96" s="1972"/>
      <c r="H96" s="1972"/>
      <c r="I96" s="376"/>
      <c r="J96" s="2040"/>
      <c r="K96" s="579"/>
      <c r="L96" s="566"/>
      <c r="M96" s="376"/>
      <c r="N96" s="618"/>
      <c r="O96" s="566"/>
      <c r="P96" s="619"/>
      <c r="Q96" s="579"/>
      <c r="R96" s="620"/>
      <c r="S96" s="579"/>
      <c r="T96" s="581"/>
      <c r="U96" s="560"/>
      <c r="V96" s="470"/>
      <c r="W96" s="578"/>
      <c r="X96" s="1871">
        <v>1100</v>
      </c>
      <c r="Y96" s="1867"/>
      <c r="Z96" s="1869"/>
      <c r="AA96" s="489"/>
      <c r="AB96" s="1923">
        <v>1400</v>
      </c>
      <c r="AC96" s="1867"/>
      <c r="AD96" s="1874"/>
      <c r="AE96" s="382"/>
      <c r="AF96" s="376">
        <v>800</v>
      </c>
      <c r="AG96" s="390"/>
      <c r="AH96" s="2040"/>
      <c r="AI96" s="583"/>
      <c r="AJ96" s="621">
        <v>1100</v>
      </c>
      <c r="AK96" s="621"/>
      <c r="AL96" s="622"/>
      <c r="AM96" s="588"/>
      <c r="AZ96" s="356"/>
      <c r="BA96" s="356"/>
      <c r="BB96" s="356"/>
      <c r="BC96" s="356"/>
      <c r="BD96" s="356"/>
      <c r="BE96" s="356"/>
    </row>
    <row r="97" spans="3:57" ht="95" customHeight="1" thickBot="1" x14ac:dyDescent="1.05">
      <c r="E97" s="623"/>
      <c r="F97" s="1894">
        <v>300</v>
      </c>
      <c r="G97" s="1894"/>
      <c r="H97" s="1894"/>
      <c r="I97" s="570"/>
      <c r="J97" s="2041"/>
      <c r="K97" s="570"/>
      <c r="L97" s="556"/>
      <c r="M97" s="570"/>
      <c r="N97" s="570"/>
      <c r="O97" s="556"/>
      <c r="P97" s="624"/>
      <c r="Q97" s="625"/>
      <c r="R97" s="556"/>
      <c r="S97" s="570"/>
      <c r="T97" s="626"/>
      <c r="U97" s="560"/>
      <c r="V97" s="470"/>
      <c r="W97" s="623"/>
      <c r="X97" s="570"/>
      <c r="Y97" s="570"/>
      <c r="Z97" s="556"/>
      <c r="AA97" s="570"/>
      <c r="AB97" s="570"/>
      <c r="AC97" s="570"/>
      <c r="AD97" s="570"/>
      <c r="AE97" s="556"/>
      <c r="AF97" s="570"/>
      <c r="AG97" s="556"/>
      <c r="AH97" s="2041"/>
      <c r="AI97" s="583"/>
      <c r="AJ97" s="627"/>
      <c r="AK97" s="627"/>
      <c r="AL97" s="628"/>
      <c r="AM97" s="623"/>
      <c r="AZ97" s="356"/>
      <c r="BA97" s="356"/>
      <c r="BB97" s="356"/>
      <c r="BC97" s="356"/>
      <c r="BD97" s="356"/>
      <c r="BE97" s="356"/>
    </row>
    <row r="98" spans="3:57" ht="10" customHeight="1" thickTop="1" thickBot="1" x14ac:dyDescent="1.05">
      <c r="E98" s="623"/>
      <c r="F98" s="518"/>
      <c r="G98" s="519"/>
      <c r="H98" s="519"/>
      <c r="I98" s="519"/>
      <c r="J98" s="519"/>
      <c r="K98" s="519"/>
      <c r="L98" s="519"/>
      <c r="M98" s="519"/>
      <c r="N98" s="519"/>
      <c r="O98" s="519"/>
      <c r="P98" s="519"/>
      <c r="Q98" s="519"/>
      <c r="R98" s="519"/>
      <c r="S98" s="519"/>
      <c r="T98" s="519"/>
      <c r="U98" s="574"/>
      <c r="V98" s="470"/>
      <c r="W98" s="518"/>
      <c r="X98" s="575"/>
      <c r="Y98" s="519"/>
      <c r="Z98" s="519"/>
      <c r="AA98" s="519"/>
      <c r="AB98" s="519"/>
      <c r="AC98" s="519"/>
      <c r="AD98" s="519"/>
      <c r="AE98" s="519"/>
      <c r="AF98" s="519"/>
      <c r="AG98" s="519"/>
      <c r="AH98" s="519"/>
      <c r="AI98" s="561"/>
      <c r="AJ98" s="519"/>
      <c r="AK98" s="519"/>
      <c r="AL98" s="519"/>
      <c r="AM98" s="520"/>
      <c r="AZ98" s="356"/>
      <c r="BA98" s="356"/>
      <c r="BB98" s="356"/>
      <c r="BC98" s="356"/>
      <c r="BD98" s="356"/>
      <c r="BE98" s="356"/>
    </row>
    <row r="99" spans="3:57" ht="40" customHeight="1" thickTop="1" x14ac:dyDescent="1">
      <c r="V99" s="470"/>
      <c r="AZ99" s="356"/>
      <c r="BA99" s="356"/>
      <c r="BB99" s="356"/>
      <c r="BC99" s="356"/>
      <c r="BD99" s="356"/>
      <c r="BE99" s="356"/>
    </row>
    <row r="100" spans="3:57" ht="75" customHeight="1" x14ac:dyDescent="1">
      <c r="F100" s="1813" t="s">
        <v>330</v>
      </c>
      <c r="V100" s="1370"/>
      <c r="AZ100" s="356"/>
      <c r="BA100" s="356"/>
      <c r="BB100" s="356"/>
      <c r="BC100" s="356"/>
      <c r="BD100" s="356"/>
      <c r="BE100" s="356"/>
    </row>
    <row r="101" spans="3:57" ht="95" customHeight="1" thickBot="1" x14ac:dyDescent="1.05">
      <c r="F101" s="354" t="s">
        <v>125</v>
      </c>
      <c r="H101" s="510">
        <v>4900</v>
      </c>
      <c r="J101" s="354" t="s">
        <v>33</v>
      </c>
      <c r="L101" s="358"/>
      <c r="M101" s="523"/>
      <c r="N101" s="523"/>
      <c r="O101" s="629"/>
      <c r="P101" s="358"/>
      <c r="Q101" s="358"/>
      <c r="R101" s="358"/>
      <c r="Z101" s="470"/>
      <c r="AA101" s="408"/>
      <c r="AB101" s="408"/>
      <c r="AC101" s="408"/>
      <c r="AD101" s="356"/>
      <c r="AE101" s="356"/>
      <c r="AF101" s="356"/>
      <c r="AG101" s="356"/>
      <c r="AH101" s="573"/>
      <c r="AZ101" s="356"/>
      <c r="BA101" s="356"/>
      <c r="BB101" s="356"/>
      <c r="BC101" s="356"/>
      <c r="BD101" s="356"/>
      <c r="BE101" s="356"/>
    </row>
    <row r="102" spans="3:57" ht="10" customHeight="1" thickTop="1" thickBot="1" x14ac:dyDescent="1.05">
      <c r="E102" s="630"/>
      <c r="F102" s="631"/>
      <c r="G102" s="632"/>
      <c r="H102" s="632"/>
      <c r="I102" s="631"/>
      <c r="J102" s="632"/>
      <c r="K102" s="632"/>
      <c r="L102" s="633"/>
      <c r="M102" s="632"/>
      <c r="N102" s="632"/>
      <c r="O102" s="632"/>
      <c r="P102" s="633"/>
      <c r="Q102" s="632"/>
      <c r="R102" s="632"/>
      <c r="S102" s="632"/>
      <c r="T102" s="632"/>
      <c r="U102" s="632"/>
      <c r="V102" s="631"/>
      <c r="W102" s="632"/>
      <c r="X102" s="632"/>
      <c r="Y102" s="634"/>
      <c r="Z102" s="470"/>
      <c r="AZ102" s="356"/>
      <c r="BA102" s="356"/>
      <c r="BB102" s="356"/>
      <c r="BC102" s="356"/>
      <c r="BD102" s="356"/>
      <c r="BE102" s="356"/>
    </row>
    <row r="103" spans="3:57" ht="95" customHeight="1" thickTop="1" x14ac:dyDescent="1">
      <c r="E103" s="635"/>
      <c r="F103" s="2026" t="s">
        <v>179</v>
      </c>
      <c r="G103" s="2027"/>
      <c r="H103" s="2027"/>
      <c r="I103" s="2027"/>
      <c r="J103" s="2027"/>
      <c r="K103" s="2027"/>
      <c r="L103" s="2027"/>
      <c r="M103" s="2027"/>
      <c r="N103" s="2027"/>
      <c r="O103" s="2027"/>
      <c r="P103" s="2027"/>
      <c r="Q103" s="2027"/>
      <c r="R103" s="2027"/>
      <c r="S103" s="2027"/>
      <c r="T103" s="2027"/>
      <c r="U103" s="2027"/>
      <c r="V103" s="2027"/>
      <c r="W103" s="2027"/>
      <c r="X103" s="2028"/>
      <c r="Y103" s="636"/>
      <c r="Z103" s="470"/>
      <c r="AZ103" s="356"/>
      <c r="BA103" s="356"/>
      <c r="BB103" s="356"/>
      <c r="BC103" s="356"/>
      <c r="BD103" s="356"/>
      <c r="BE103" s="356"/>
    </row>
    <row r="104" spans="3:57" ht="95" customHeight="1" x14ac:dyDescent="1">
      <c r="E104" s="635"/>
      <c r="F104" s="2029"/>
      <c r="G104" s="1967"/>
      <c r="H104" s="1967"/>
      <c r="I104" s="1967"/>
      <c r="J104" s="1967"/>
      <c r="K104" s="1967"/>
      <c r="L104" s="1967"/>
      <c r="M104" s="1967"/>
      <c r="N104" s="1967"/>
      <c r="O104" s="1967"/>
      <c r="P104" s="1967"/>
      <c r="Q104" s="1967"/>
      <c r="R104" s="1967"/>
      <c r="S104" s="1967"/>
      <c r="T104" s="1967"/>
      <c r="U104" s="1967"/>
      <c r="V104" s="1967"/>
      <c r="W104" s="1967"/>
      <c r="X104" s="2030"/>
      <c r="Y104" s="636"/>
      <c r="Z104" s="470"/>
      <c r="AZ104" s="356"/>
      <c r="BA104" s="356"/>
      <c r="BB104" s="356"/>
      <c r="BC104" s="356"/>
      <c r="BD104" s="356"/>
      <c r="BE104" s="356"/>
    </row>
    <row r="105" spans="3:57" ht="95" customHeight="1" x14ac:dyDescent="1">
      <c r="E105" s="635"/>
      <c r="F105" s="2029"/>
      <c r="G105" s="1967"/>
      <c r="H105" s="1967"/>
      <c r="I105" s="1967"/>
      <c r="J105" s="1967"/>
      <c r="K105" s="1967"/>
      <c r="L105" s="1967"/>
      <c r="M105" s="1967"/>
      <c r="N105" s="1967"/>
      <c r="O105" s="1967"/>
      <c r="P105" s="1967"/>
      <c r="Q105" s="1967"/>
      <c r="R105" s="1967"/>
      <c r="S105" s="1967"/>
      <c r="T105" s="1967"/>
      <c r="U105" s="1967"/>
      <c r="V105" s="1967"/>
      <c r="W105" s="1967"/>
      <c r="X105" s="2030"/>
      <c r="Y105" s="636"/>
      <c r="Z105" s="470"/>
      <c r="AZ105" s="356"/>
      <c r="BA105" s="356"/>
      <c r="BB105" s="356"/>
      <c r="BC105" s="356"/>
      <c r="BD105" s="356"/>
      <c r="BE105" s="356"/>
    </row>
    <row r="106" spans="3:57" ht="95" customHeight="1" x14ac:dyDescent="1">
      <c r="E106" s="635"/>
      <c r="F106" s="2029"/>
      <c r="G106" s="1967"/>
      <c r="H106" s="1967"/>
      <c r="I106" s="1967"/>
      <c r="J106" s="1967"/>
      <c r="K106" s="1967"/>
      <c r="L106" s="1967"/>
      <c r="M106" s="1967"/>
      <c r="N106" s="1967"/>
      <c r="O106" s="1967"/>
      <c r="P106" s="1967"/>
      <c r="Q106" s="1967"/>
      <c r="R106" s="1967"/>
      <c r="S106" s="1967"/>
      <c r="T106" s="1967"/>
      <c r="U106" s="1967"/>
      <c r="V106" s="1967"/>
      <c r="W106" s="1967"/>
      <c r="X106" s="2030"/>
      <c r="Y106" s="636"/>
      <c r="Z106" s="470"/>
      <c r="AZ106" s="356"/>
      <c r="BA106" s="356"/>
      <c r="BB106" s="356"/>
      <c r="BC106" s="356"/>
      <c r="BD106" s="356"/>
      <c r="BE106" s="356"/>
    </row>
    <row r="107" spans="3:57" ht="95" customHeight="1" x14ac:dyDescent="1">
      <c r="E107" s="635"/>
      <c r="F107" s="2029"/>
      <c r="G107" s="1967"/>
      <c r="H107" s="1967"/>
      <c r="I107" s="1967"/>
      <c r="J107" s="1967"/>
      <c r="K107" s="1967"/>
      <c r="L107" s="1967"/>
      <c r="M107" s="1967"/>
      <c r="N107" s="1967"/>
      <c r="O107" s="1967"/>
      <c r="P107" s="1967"/>
      <c r="Q107" s="1967"/>
      <c r="R107" s="1967"/>
      <c r="S107" s="1967"/>
      <c r="T107" s="1967"/>
      <c r="U107" s="1967"/>
      <c r="V107" s="1967"/>
      <c r="W107" s="1967"/>
      <c r="X107" s="2030"/>
      <c r="Y107" s="636"/>
      <c r="Z107" s="470"/>
      <c r="AZ107" s="356"/>
      <c r="BA107" s="356"/>
      <c r="BB107" s="356"/>
      <c r="BC107" s="356"/>
      <c r="BD107" s="356"/>
      <c r="BE107" s="356"/>
    </row>
    <row r="108" spans="3:57" ht="95" customHeight="1" x14ac:dyDescent="1">
      <c r="E108" s="635"/>
      <c r="F108" s="2029"/>
      <c r="G108" s="1967"/>
      <c r="H108" s="1967"/>
      <c r="I108" s="1967"/>
      <c r="J108" s="1967"/>
      <c r="K108" s="1967"/>
      <c r="L108" s="1967"/>
      <c r="M108" s="1967"/>
      <c r="N108" s="1967"/>
      <c r="O108" s="1967"/>
      <c r="P108" s="1967"/>
      <c r="Q108" s="1967"/>
      <c r="R108" s="1967"/>
      <c r="S108" s="1967"/>
      <c r="T108" s="1967"/>
      <c r="U108" s="1967"/>
      <c r="V108" s="1967"/>
      <c r="W108" s="1967"/>
      <c r="X108" s="2030"/>
      <c r="Y108" s="636"/>
      <c r="Z108" s="470"/>
      <c r="AZ108" s="356"/>
      <c r="BA108" s="356"/>
      <c r="BB108" s="356"/>
      <c r="BC108" s="356"/>
      <c r="BD108" s="356"/>
      <c r="BE108" s="356"/>
    </row>
    <row r="109" spans="3:57" ht="95" customHeight="1" thickBot="1" x14ac:dyDescent="1.05">
      <c r="E109" s="635"/>
      <c r="F109" s="2031"/>
      <c r="G109" s="2032"/>
      <c r="H109" s="2032"/>
      <c r="I109" s="2032"/>
      <c r="J109" s="2032"/>
      <c r="K109" s="2032"/>
      <c r="L109" s="2032"/>
      <c r="M109" s="2032"/>
      <c r="N109" s="2032"/>
      <c r="O109" s="2032"/>
      <c r="P109" s="2032"/>
      <c r="Q109" s="2032"/>
      <c r="R109" s="2032"/>
      <c r="S109" s="2032"/>
      <c r="T109" s="2032"/>
      <c r="U109" s="2032"/>
      <c r="V109" s="2032"/>
      <c r="W109" s="2032"/>
      <c r="X109" s="2033"/>
      <c r="Y109" s="637"/>
      <c r="Z109" s="470"/>
      <c r="AZ109" s="356"/>
      <c r="BA109" s="356"/>
      <c r="BB109" s="356"/>
      <c r="BC109" s="356"/>
      <c r="BD109" s="356"/>
      <c r="BE109" s="356"/>
    </row>
    <row r="110" spans="3:57" ht="10" customHeight="1" thickTop="1" thickBot="1" x14ac:dyDescent="1.05">
      <c r="E110" s="638"/>
      <c r="F110" s="638"/>
      <c r="G110" s="639"/>
      <c r="H110" s="639"/>
      <c r="I110" s="639"/>
      <c r="J110" s="637"/>
      <c r="K110" s="637"/>
      <c r="L110" s="637"/>
      <c r="M110" s="640"/>
      <c r="N110" s="639"/>
      <c r="O110" s="639"/>
      <c r="P110" s="637"/>
      <c r="Q110" s="637"/>
      <c r="R110" s="637"/>
      <c r="S110" s="637"/>
      <c r="T110" s="637"/>
      <c r="U110" s="637"/>
      <c r="V110" s="637"/>
      <c r="W110" s="639"/>
      <c r="X110" s="639"/>
      <c r="Y110" s="639"/>
      <c r="Z110" s="470"/>
      <c r="AZ110" s="356"/>
      <c r="BA110" s="356"/>
      <c r="BB110" s="356"/>
      <c r="BC110" s="356"/>
      <c r="BD110" s="356"/>
      <c r="BE110" s="356"/>
    </row>
    <row r="111" spans="3:57" s="358" customFormat="1" ht="25" customHeight="1" thickTop="1" x14ac:dyDescent="1">
      <c r="C111" s="356"/>
      <c r="E111" s="356"/>
      <c r="F111" s="356"/>
      <c r="G111" s="356"/>
      <c r="H111" s="356"/>
      <c r="I111" s="356"/>
      <c r="J111" s="641"/>
      <c r="K111" s="641"/>
      <c r="L111" s="641"/>
      <c r="M111" s="641"/>
      <c r="N111" s="356"/>
      <c r="O111" s="356"/>
      <c r="P111" s="641"/>
      <c r="Q111" s="641"/>
      <c r="R111" s="641"/>
      <c r="S111" s="641"/>
      <c r="T111" s="641"/>
      <c r="U111" s="641"/>
      <c r="V111" s="641"/>
      <c r="W111" s="356"/>
      <c r="X111" s="356"/>
      <c r="Y111" s="356"/>
      <c r="Z111" s="470"/>
      <c r="AZ111" s="356"/>
      <c r="BA111" s="356"/>
      <c r="BB111" s="356"/>
      <c r="BC111" s="356"/>
      <c r="BD111" s="356"/>
      <c r="BE111" s="356"/>
    </row>
    <row r="112" spans="3:57" s="358" customFormat="1" ht="95" customHeight="1" x14ac:dyDescent="1">
      <c r="C112" s="356"/>
      <c r="E112" s="356"/>
      <c r="F112" s="1813" t="s">
        <v>333</v>
      </c>
      <c r="G112" s="354"/>
      <c r="H112" s="354"/>
      <c r="I112" s="354"/>
      <c r="J112" s="354"/>
      <c r="K112" s="641"/>
      <c r="L112" s="641"/>
      <c r="M112" s="641"/>
      <c r="N112" s="356"/>
      <c r="O112" s="356"/>
      <c r="P112" s="641"/>
      <c r="Q112" s="641"/>
      <c r="R112" s="641"/>
      <c r="S112" s="641"/>
      <c r="T112" s="641"/>
      <c r="U112" s="641"/>
      <c r="V112" s="641"/>
      <c r="W112" s="356"/>
      <c r="X112" s="356"/>
      <c r="Y112" s="356"/>
      <c r="Z112" s="1370"/>
      <c r="AZ112" s="356"/>
      <c r="BA112" s="356"/>
      <c r="BB112" s="356"/>
      <c r="BC112" s="356"/>
      <c r="BD112" s="356"/>
      <c r="BE112" s="356"/>
    </row>
    <row r="113" spans="3:57" ht="95" customHeight="1" thickBot="1" x14ac:dyDescent="1.05">
      <c r="F113" s="354" t="s">
        <v>125</v>
      </c>
      <c r="H113" s="510">
        <v>4900</v>
      </c>
      <c r="J113" s="354" t="s">
        <v>33</v>
      </c>
      <c r="Z113" s="470"/>
      <c r="AA113" s="408"/>
      <c r="AB113" s="408"/>
      <c r="AC113" s="408"/>
      <c r="AD113" s="356"/>
      <c r="AE113" s="356"/>
      <c r="AF113" s="356"/>
      <c r="AG113" s="356"/>
      <c r="AH113" s="573"/>
      <c r="AZ113" s="356"/>
      <c r="BA113" s="356"/>
      <c r="BB113" s="356"/>
      <c r="BC113" s="356"/>
      <c r="BD113" s="356"/>
      <c r="BE113" s="356"/>
    </row>
    <row r="114" spans="3:57" ht="10" customHeight="1" thickTop="1" thickBot="1" x14ac:dyDescent="1.05">
      <c r="E114" s="630"/>
      <c r="F114" s="632"/>
      <c r="G114" s="632"/>
      <c r="H114" s="632"/>
      <c r="I114" s="632"/>
      <c r="J114" s="632"/>
      <c r="K114" s="632"/>
      <c r="L114" s="632"/>
      <c r="M114" s="632"/>
      <c r="N114" s="631"/>
      <c r="O114" s="632"/>
      <c r="P114" s="632"/>
      <c r="Q114" s="632"/>
      <c r="R114" s="632"/>
      <c r="S114" s="632"/>
      <c r="T114" s="632"/>
      <c r="U114" s="632"/>
      <c r="V114" s="632"/>
      <c r="W114" s="632"/>
      <c r="X114" s="633"/>
      <c r="Y114" s="634"/>
      <c r="Z114" s="470"/>
      <c r="AA114" s="408"/>
      <c r="AB114" s="408"/>
      <c r="AC114" s="408"/>
      <c r="AD114" s="356"/>
      <c r="AE114" s="356"/>
      <c r="AF114" s="356"/>
      <c r="AG114" s="356"/>
      <c r="AH114" s="573"/>
      <c r="AZ114" s="356"/>
      <c r="BA114" s="356"/>
      <c r="BB114" s="356"/>
      <c r="BC114" s="356"/>
      <c r="BD114" s="356"/>
      <c r="BE114" s="356"/>
    </row>
    <row r="115" spans="3:57" ht="95" customHeight="1" thickTop="1" x14ac:dyDescent="1">
      <c r="E115" s="635"/>
      <c r="F115" s="390"/>
      <c r="G115" s="539"/>
      <c r="H115" s="540"/>
      <c r="I115" s="390"/>
      <c r="J115" s="483"/>
      <c r="K115" s="539"/>
      <c r="L115" s="541"/>
      <c r="M115" s="390"/>
      <c r="N115" s="539"/>
      <c r="O115" s="390"/>
      <c r="P115" s="483"/>
      <c r="Q115" s="481"/>
      <c r="R115" s="642"/>
      <c r="S115" s="386"/>
      <c r="T115" s="540"/>
      <c r="U115" s="390"/>
      <c r="V115" s="643"/>
      <c r="W115" s="386"/>
      <c r="X115" s="644"/>
      <c r="Y115" s="634"/>
      <c r="Z115" s="470"/>
      <c r="AA115" s="408"/>
      <c r="AB115" s="408"/>
      <c r="AC115" s="408"/>
      <c r="AD115" s="356"/>
      <c r="AE115" s="356"/>
      <c r="AF115" s="356"/>
      <c r="AG115" s="356"/>
      <c r="AH115" s="573"/>
      <c r="AZ115" s="356"/>
      <c r="BA115" s="356"/>
      <c r="BB115" s="356"/>
      <c r="BC115" s="356"/>
      <c r="BD115" s="356"/>
      <c r="BE115" s="356"/>
    </row>
    <row r="116" spans="3:57" ht="95" customHeight="1" x14ac:dyDescent="1">
      <c r="E116" s="635"/>
      <c r="F116" s="382" t="s">
        <v>152</v>
      </c>
      <c r="G116" s="492"/>
      <c r="H116" s="533" t="s">
        <v>152</v>
      </c>
      <c r="I116" s="382"/>
      <c r="J116" s="491" t="s">
        <v>152</v>
      </c>
      <c r="K116" s="492"/>
      <c r="L116" s="534" t="s">
        <v>152</v>
      </c>
      <c r="M116" s="382"/>
      <c r="N116" s="492" t="s">
        <v>152</v>
      </c>
      <c r="O116" s="382"/>
      <c r="P116" s="491" t="s">
        <v>152</v>
      </c>
      <c r="Q116" s="489"/>
      <c r="R116" s="645" t="s">
        <v>152</v>
      </c>
      <c r="S116" s="376"/>
      <c r="T116" s="533" t="s">
        <v>152</v>
      </c>
      <c r="U116" s="382"/>
      <c r="V116" s="489" t="s">
        <v>152</v>
      </c>
      <c r="W116" s="376"/>
      <c r="X116" s="646" t="s">
        <v>152</v>
      </c>
      <c r="Y116" s="647"/>
      <c r="Z116" s="470"/>
      <c r="AA116" s="408"/>
      <c r="AB116" s="408"/>
      <c r="AC116" s="408"/>
      <c r="AD116" s="356"/>
      <c r="AE116" s="356"/>
      <c r="AF116" s="356"/>
      <c r="AG116" s="356"/>
      <c r="AH116" s="573"/>
      <c r="AI116" s="358"/>
      <c r="AJ116" s="358"/>
      <c r="AK116" s="358"/>
      <c r="AL116" s="358"/>
      <c r="AM116" s="358"/>
      <c r="AN116" s="358"/>
      <c r="AZ116" s="356"/>
      <c r="BA116" s="356"/>
      <c r="BB116" s="356"/>
      <c r="BC116" s="356"/>
      <c r="BD116" s="356"/>
      <c r="BE116" s="356"/>
    </row>
    <row r="117" spans="3:57" ht="95" customHeight="1" x14ac:dyDescent="1">
      <c r="E117" s="635"/>
      <c r="F117" s="382" t="s">
        <v>153</v>
      </c>
      <c r="G117" s="492"/>
      <c r="H117" s="533" t="s">
        <v>154</v>
      </c>
      <c r="I117" s="382"/>
      <c r="J117" s="491" t="s">
        <v>154</v>
      </c>
      <c r="K117" s="492"/>
      <c r="L117" s="534" t="s">
        <v>154</v>
      </c>
      <c r="M117" s="382"/>
      <c r="N117" s="492" t="s">
        <v>154</v>
      </c>
      <c r="O117" s="382"/>
      <c r="P117" s="491" t="s">
        <v>154</v>
      </c>
      <c r="Q117" s="489"/>
      <c r="R117" s="645" t="s">
        <v>154</v>
      </c>
      <c r="S117" s="376"/>
      <c r="T117" s="533" t="s">
        <v>154</v>
      </c>
      <c r="U117" s="382"/>
      <c r="V117" s="489" t="s">
        <v>154</v>
      </c>
      <c r="W117" s="376"/>
      <c r="X117" s="646" t="s">
        <v>154</v>
      </c>
      <c r="Y117" s="647"/>
      <c r="Z117" s="470"/>
      <c r="AA117" s="408"/>
      <c r="AB117" s="408"/>
      <c r="AC117" s="408"/>
      <c r="AD117" s="356"/>
      <c r="AE117" s="356"/>
      <c r="AF117" s="356"/>
      <c r="AG117" s="356"/>
      <c r="AH117" s="573"/>
      <c r="AI117" s="358"/>
      <c r="AJ117" s="358"/>
      <c r="AK117" s="358"/>
      <c r="AL117" s="358"/>
      <c r="AM117" s="358"/>
      <c r="AN117" s="358"/>
      <c r="AZ117" s="356"/>
      <c r="BA117" s="356"/>
      <c r="BB117" s="356"/>
      <c r="BC117" s="356"/>
      <c r="BD117" s="356"/>
      <c r="BE117" s="356"/>
    </row>
    <row r="118" spans="3:57" ht="95" customHeight="1" x14ac:dyDescent="1">
      <c r="E118" s="635"/>
      <c r="F118" s="382" t="s">
        <v>121</v>
      </c>
      <c r="G118" s="492"/>
      <c r="H118" s="533" t="s">
        <v>125</v>
      </c>
      <c r="I118" s="382"/>
      <c r="J118" s="491" t="s">
        <v>121</v>
      </c>
      <c r="K118" s="492"/>
      <c r="L118" s="534" t="s">
        <v>20</v>
      </c>
      <c r="M118" s="382"/>
      <c r="N118" s="492" t="s">
        <v>20</v>
      </c>
      <c r="O118" s="382"/>
      <c r="P118" s="491" t="s">
        <v>121</v>
      </c>
      <c r="Q118" s="489"/>
      <c r="R118" s="645" t="s">
        <v>121</v>
      </c>
      <c r="S118" s="376"/>
      <c r="T118" s="533" t="s">
        <v>125</v>
      </c>
      <c r="U118" s="382"/>
      <c r="V118" s="489" t="s">
        <v>121</v>
      </c>
      <c r="W118" s="376"/>
      <c r="X118" s="646" t="s">
        <v>20</v>
      </c>
      <c r="Y118" s="647"/>
      <c r="Z118" s="470"/>
      <c r="AA118" s="408"/>
      <c r="AB118" s="408"/>
      <c r="AC118" s="408"/>
      <c r="AD118" s="356"/>
      <c r="AE118" s="356"/>
      <c r="AF118" s="356"/>
      <c r="AG118" s="356"/>
      <c r="AH118" s="573"/>
      <c r="AI118" s="358"/>
      <c r="AJ118" s="358"/>
      <c r="AK118" s="358"/>
      <c r="AL118" s="358"/>
      <c r="AM118" s="358"/>
      <c r="AN118" s="358"/>
      <c r="AZ118" s="356"/>
      <c r="BA118" s="356"/>
      <c r="BB118" s="356"/>
      <c r="BC118" s="356"/>
      <c r="BD118" s="356"/>
      <c r="BE118" s="356"/>
    </row>
    <row r="119" spans="3:57" ht="95" customHeight="1" x14ac:dyDescent="1">
      <c r="E119" s="635"/>
      <c r="F119" s="382">
        <v>300</v>
      </c>
      <c r="G119" s="492"/>
      <c r="H119" s="533">
        <v>500</v>
      </c>
      <c r="I119" s="382"/>
      <c r="J119" s="491">
        <v>300</v>
      </c>
      <c r="K119" s="492"/>
      <c r="L119" s="534">
        <v>450</v>
      </c>
      <c r="M119" s="382"/>
      <c r="N119" s="492">
        <v>450</v>
      </c>
      <c r="O119" s="382"/>
      <c r="P119" s="491">
        <v>300</v>
      </c>
      <c r="Q119" s="489"/>
      <c r="R119" s="645">
        <v>300</v>
      </c>
      <c r="S119" s="376"/>
      <c r="T119" s="533">
        <v>500</v>
      </c>
      <c r="U119" s="382"/>
      <c r="V119" s="489">
        <v>300</v>
      </c>
      <c r="W119" s="648"/>
      <c r="X119" s="646">
        <v>450</v>
      </c>
      <c r="Y119" s="647"/>
      <c r="Z119" s="470"/>
      <c r="AA119" s="408"/>
      <c r="AB119" s="408"/>
      <c r="AC119" s="408"/>
      <c r="AD119" s="649"/>
      <c r="AE119" s="356"/>
      <c r="AF119" s="356"/>
      <c r="AG119" s="356"/>
      <c r="AH119" s="650"/>
      <c r="AI119" s="358"/>
      <c r="AJ119" s="358"/>
      <c r="AK119" s="358"/>
      <c r="AL119" s="358"/>
      <c r="AM119" s="358"/>
      <c r="AN119" s="358"/>
      <c r="AZ119" s="356"/>
      <c r="BA119" s="356"/>
      <c r="BB119" s="356"/>
      <c r="BC119" s="356"/>
      <c r="BD119" s="356"/>
      <c r="BE119" s="356"/>
    </row>
    <row r="120" spans="3:57" ht="95" customHeight="1" x14ac:dyDescent="1">
      <c r="E120" s="635"/>
      <c r="F120" s="390"/>
      <c r="G120" s="539"/>
      <c r="H120" s="540"/>
      <c r="I120" s="390"/>
      <c r="J120" s="483"/>
      <c r="K120" s="539"/>
      <c r="L120" s="541"/>
      <c r="M120" s="390"/>
      <c r="N120" s="542"/>
      <c r="O120" s="543"/>
      <c r="P120" s="544"/>
      <c r="Q120" s="545"/>
      <c r="R120" s="486"/>
      <c r="S120" s="386"/>
      <c r="T120" s="540"/>
      <c r="U120" s="390"/>
      <c r="V120" s="481"/>
      <c r="W120" s="386"/>
      <c r="X120" s="651"/>
      <c r="Y120" s="652"/>
      <c r="Z120" s="470"/>
      <c r="AA120" s="408"/>
      <c r="AB120" s="408"/>
      <c r="AC120" s="408"/>
      <c r="AD120" s="356"/>
      <c r="AE120" s="356"/>
      <c r="AF120" s="356"/>
      <c r="AG120" s="356"/>
      <c r="AH120" s="573"/>
      <c r="AI120" s="358"/>
      <c r="AJ120" s="358"/>
      <c r="AK120" s="358"/>
      <c r="AL120" s="358"/>
      <c r="AM120" s="358"/>
      <c r="AN120" s="358"/>
      <c r="AZ120" s="356"/>
      <c r="BA120" s="356"/>
      <c r="BB120" s="356"/>
      <c r="BC120" s="356"/>
      <c r="BD120" s="356"/>
      <c r="BE120" s="356"/>
    </row>
    <row r="121" spans="3:57" ht="95" customHeight="1" thickBot="1" x14ac:dyDescent="1.05">
      <c r="E121" s="635"/>
      <c r="F121" s="653"/>
      <c r="G121" s="654"/>
      <c r="H121" s="655"/>
      <c r="I121" s="656"/>
      <c r="J121" s="657"/>
      <c r="K121" s="658"/>
      <c r="L121" s="659"/>
      <c r="M121" s="658"/>
      <c r="N121" s="660"/>
      <c r="O121" s="658"/>
      <c r="P121" s="657"/>
      <c r="Q121" s="661"/>
      <c r="R121" s="662"/>
      <c r="S121" s="658"/>
      <c r="T121" s="655"/>
      <c r="U121" s="656"/>
      <c r="V121" s="661"/>
      <c r="W121" s="658"/>
      <c r="X121" s="660"/>
      <c r="Y121" s="638"/>
      <c r="Z121" s="470"/>
      <c r="AA121" s="408"/>
      <c r="AB121" s="408"/>
      <c r="AC121" s="408"/>
      <c r="AD121" s="356"/>
      <c r="AE121" s="356"/>
      <c r="AF121" s="356"/>
      <c r="AG121" s="356"/>
      <c r="AH121" s="573"/>
      <c r="AZ121" s="356"/>
      <c r="BA121" s="356"/>
      <c r="BB121" s="356"/>
      <c r="BC121" s="356"/>
      <c r="BD121" s="356"/>
      <c r="BE121" s="356"/>
    </row>
    <row r="122" spans="3:57" ht="10" customHeight="1" thickTop="1" thickBot="1" x14ac:dyDescent="1.05">
      <c r="E122" s="638"/>
      <c r="F122" s="638"/>
      <c r="G122" s="639"/>
      <c r="H122" s="639"/>
      <c r="I122" s="639"/>
      <c r="J122" s="637"/>
      <c r="K122" s="637"/>
      <c r="L122" s="637"/>
      <c r="M122" s="640"/>
      <c r="N122" s="639"/>
      <c r="O122" s="639"/>
      <c r="P122" s="637"/>
      <c r="Q122" s="637"/>
      <c r="R122" s="637"/>
      <c r="S122" s="637"/>
      <c r="T122" s="637"/>
      <c r="U122" s="637"/>
      <c r="V122" s="637"/>
      <c r="W122" s="639"/>
      <c r="X122" s="639"/>
      <c r="Y122" s="639"/>
      <c r="Z122" s="470"/>
      <c r="AA122" s="408"/>
      <c r="AB122" s="408"/>
      <c r="AC122" s="408"/>
      <c r="AD122" s="356"/>
      <c r="AE122" s="356"/>
      <c r="AF122" s="356"/>
      <c r="AG122" s="356"/>
      <c r="AH122" s="573"/>
      <c r="AZ122" s="356"/>
      <c r="BA122" s="356"/>
      <c r="BB122" s="356"/>
      <c r="BC122" s="356"/>
      <c r="BD122" s="356"/>
      <c r="BE122" s="356"/>
    </row>
    <row r="123" spans="3:57" s="358" customFormat="1" ht="30" customHeight="1" thickTop="1" x14ac:dyDescent="1">
      <c r="C123" s="356"/>
      <c r="E123" s="356"/>
      <c r="F123" s="356"/>
      <c r="G123" s="356"/>
      <c r="H123" s="356"/>
      <c r="I123" s="356"/>
      <c r="J123" s="641"/>
      <c r="K123" s="641"/>
      <c r="L123" s="641"/>
      <c r="M123" s="641"/>
      <c r="N123" s="356"/>
      <c r="O123" s="356"/>
      <c r="P123" s="641"/>
      <c r="Q123" s="641"/>
      <c r="R123" s="641"/>
      <c r="S123" s="641"/>
      <c r="T123" s="641"/>
      <c r="U123" s="641"/>
      <c r="V123" s="641"/>
      <c r="W123" s="356"/>
      <c r="X123" s="356"/>
      <c r="Y123" s="356"/>
      <c r="Z123" s="470"/>
      <c r="AA123" s="356"/>
      <c r="AB123" s="356"/>
      <c r="AC123" s="356"/>
      <c r="AD123" s="356"/>
      <c r="AE123" s="356"/>
      <c r="AF123" s="356"/>
      <c r="AG123" s="356"/>
      <c r="AH123" s="573"/>
      <c r="AZ123" s="356"/>
      <c r="BA123" s="356"/>
      <c r="BB123" s="356"/>
      <c r="BC123" s="356"/>
      <c r="BD123" s="356"/>
      <c r="BE123" s="356"/>
    </row>
    <row r="124" spans="3:57" s="358" customFormat="1" ht="95" customHeight="1" x14ac:dyDescent="1">
      <c r="C124" s="356"/>
      <c r="E124" s="356"/>
      <c r="F124" s="1813" t="s">
        <v>334</v>
      </c>
      <c r="G124" s="354"/>
      <c r="H124" s="354"/>
      <c r="I124" s="354"/>
      <c r="J124" s="354"/>
      <c r="K124" s="641"/>
      <c r="L124" s="641"/>
      <c r="M124" s="641"/>
      <c r="N124" s="356"/>
      <c r="O124" s="356"/>
      <c r="P124" s="641"/>
      <c r="Q124" s="641"/>
      <c r="R124" s="641"/>
      <c r="S124" s="641"/>
      <c r="T124" s="641"/>
      <c r="U124" s="641"/>
      <c r="V124" s="641"/>
      <c r="W124" s="356"/>
      <c r="X124" s="356"/>
      <c r="Y124" s="356"/>
      <c r="Z124" s="1370"/>
      <c r="AA124" s="356"/>
      <c r="AB124" s="356"/>
      <c r="AC124" s="356"/>
      <c r="AD124" s="356"/>
      <c r="AE124" s="356"/>
      <c r="AF124" s="356"/>
      <c r="AG124" s="356"/>
      <c r="AH124" s="573"/>
      <c r="AZ124" s="356"/>
      <c r="BA124" s="356"/>
      <c r="BB124" s="356"/>
      <c r="BC124" s="356"/>
      <c r="BD124" s="356"/>
      <c r="BE124" s="356"/>
    </row>
    <row r="125" spans="3:57" ht="95" customHeight="1" thickBot="1" x14ac:dyDescent="1.05">
      <c r="F125" s="354" t="s">
        <v>125</v>
      </c>
      <c r="H125" s="510">
        <v>4900</v>
      </c>
      <c r="J125" s="354" t="s">
        <v>33</v>
      </c>
      <c r="Z125" s="470"/>
      <c r="AA125" s="408"/>
      <c r="AB125" s="408"/>
      <c r="AC125" s="408"/>
      <c r="AD125" s="356"/>
      <c r="AE125" s="356"/>
      <c r="AF125" s="356"/>
      <c r="AG125" s="356"/>
      <c r="AH125" s="573"/>
      <c r="AZ125" s="356"/>
      <c r="BA125" s="356"/>
      <c r="BB125" s="356"/>
      <c r="BC125" s="356"/>
      <c r="BD125" s="356"/>
      <c r="BE125" s="356"/>
    </row>
    <row r="126" spans="3:57" ht="10" customHeight="1" thickTop="1" thickBot="1" x14ac:dyDescent="1.05">
      <c r="E126" s="631"/>
      <c r="F126" s="632"/>
      <c r="G126" s="632"/>
      <c r="H126" s="632"/>
      <c r="I126" s="632"/>
      <c r="J126" s="632"/>
      <c r="K126" s="632"/>
      <c r="L126" s="632"/>
      <c r="M126" s="632"/>
      <c r="N126" s="632"/>
      <c r="O126" s="632"/>
      <c r="P126" s="632"/>
      <c r="Q126" s="632"/>
      <c r="R126" s="632"/>
      <c r="S126" s="632"/>
      <c r="T126" s="632"/>
      <c r="U126" s="632"/>
      <c r="V126" s="632"/>
      <c r="W126" s="632"/>
      <c r="X126" s="633"/>
      <c r="Y126" s="633"/>
      <c r="Z126" s="470"/>
      <c r="AA126" s="408"/>
      <c r="AB126" s="408"/>
      <c r="AC126" s="408"/>
      <c r="AD126" s="356"/>
      <c r="AE126" s="356"/>
      <c r="AF126" s="356"/>
      <c r="AG126" s="356"/>
      <c r="AH126" s="573"/>
      <c r="AZ126" s="356"/>
      <c r="BA126" s="356"/>
      <c r="BB126" s="356"/>
      <c r="BC126" s="356"/>
      <c r="BD126" s="356"/>
      <c r="BE126" s="356"/>
    </row>
    <row r="127" spans="3:57" ht="95" customHeight="1" thickTop="1" x14ac:dyDescent="1">
      <c r="E127" s="663"/>
      <c r="F127" s="664"/>
      <c r="G127" s="386"/>
      <c r="H127" s="665"/>
      <c r="I127" s="386"/>
      <c r="J127" s="386"/>
      <c r="K127" s="666"/>
      <c r="L127" s="382"/>
      <c r="M127" s="376"/>
      <c r="N127" s="667"/>
      <c r="O127" s="668"/>
      <c r="P127" s="386"/>
      <c r="Q127" s="665"/>
      <c r="R127" s="386"/>
      <c r="S127" s="386"/>
      <c r="T127" s="390"/>
      <c r="U127" s="386"/>
      <c r="V127" s="386"/>
      <c r="W127" s="386"/>
      <c r="X127" s="669"/>
      <c r="Y127" s="670"/>
      <c r="Z127" s="470"/>
      <c r="AA127" s="408"/>
      <c r="AB127" s="408"/>
      <c r="AC127" s="408"/>
      <c r="AD127" s="356"/>
      <c r="AE127" s="356"/>
      <c r="AF127" s="356"/>
      <c r="AG127" s="356"/>
      <c r="AH127" s="573"/>
      <c r="AZ127" s="356"/>
      <c r="BA127" s="356"/>
      <c r="BB127" s="356"/>
      <c r="BC127" s="356"/>
      <c r="BD127" s="356"/>
      <c r="BE127" s="356"/>
    </row>
    <row r="128" spans="3:57" ht="95" customHeight="1" x14ac:dyDescent="1">
      <c r="E128" s="635"/>
      <c r="F128" s="2025" t="s">
        <v>132</v>
      </c>
      <c r="G128" s="1867"/>
      <c r="H128" s="1869"/>
      <c r="I128" s="376"/>
      <c r="J128" s="1867" t="s">
        <v>132</v>
      </c>
      <c r="K128" s="1867"/>
      <c r="L128" s="1869"/>
      <c r="M128" s="376"/>
      <c r="N128" s="1867" t="s">
        <v>132</v>
      </c>
      <c r="O128" s="1867"/>
      <c r="P128" s="1868"/>
      <c r="Q128" s="382"/>
      <c r="R128" s="2023" t="s">
        <v>132</v>
      </c>
      <c r="S128" s="1867"/>
      <c r="T128" s="1869"/>
      <c r="U128" s="376"/>
      <c r="V128" s="1867" t="s">
        <v>132</v>
      </c>
      <c r="W128" s="1867"/>
      <c r="X128" s="2034"/>
      <c r="Y128" s="671"/>
      <c r="Z128" s="470"/>
      <c r="AA128" s="408"/>
      <c r="AB128" s="408"/>
      <c r="AC128" s="408"/>
      <c r="AD128" s="356"/>
      <c r="AE128" s="356"/>
      <c r="AF128" s="356"/>
      <c r="AG128" s="356"/>
      <c r="AH128" s="573"/>
      <c r="AZ128" s="356"/>
      <c r="BA128" s="356"/>
      <c r="BB128" s="356"/>
      <c r="BC128" s="356"/>
      <c r="BD128" s="356"/>
      <c r="BE128" s="356"/>
    </row>
    <row r="129" spans="5:57" ht="95" customHeight="1" x14ac:dyDescent="1">
      <c r="E129" s="663"/>
      <c r="F129" s="2025" t="s">
        <v>153</v>
      </c>
      <c r="G129" s="1867"/>
      <c r="H129" s="1869"/>
      <c r="I129" s="376"/>
      <c r="J129" s="1867" t="s">
        <v>153</v>
      </c>
      <c r="K129" s="1867"/>
      <c r="L129" s="1869"/>
      <c r="M129" s="376"/>
      <c r="N129" s="1867" t="s">
        <v>153</v>
      </c>
      <c r="O129" s="1867"/>
      <c r="P129" s="1868"/>
      <c r="Q129" s="382"/>
      <c r="R129" s="2023" t="s">
        <v>153</v>
      </c>
      <c r="S129" s="1867"/>
      <c r="T129" s="1869"/>
      <c r="U129" s="376"/>
      <c r="V129" s="1867" t="s">
        <v>153</v>
      </c>
      <c r="W129" s="1867"/>
      <c r="X129" s="2034"/>
      <c r="Y129" s="671"/>
      <c r="Z129" s="470"/>
      <c r="AA129" s="408"/>
      <c r="AB129" s="408"/>
      <c r="AC129" s="408"/>
      <c r="AD129" s="356"/>
      <c r="AE129" s="356"/>
      <c r="AF129" s="356"/>
      <c r="AG129" s="356"/>
      <c r="AH129" s="573"/>
      <c r="AZ129" s="356"/>
      <c r="BA129" s="356"/>
      <c r="BB129" s="356"/>
      <c r="BC129" s="356"/>
      <c r="BD129" s="356"/>
      <c r="BE129" s="356"/>
    </row>
    <row r="130" spans="5:57" ht="95" customHeight="1" x14ac:dyDescent="1">
      <c r="E130" s="663"/>
      <c r="F130" s="2025" t="s">
        <v>121</v>
      </c>
      <c r="G130" s="1867"/>
      <c r="H130" s="1869"/>
      <c r="I130" s="376"/>
      <c r="J130" s="1867" t="s">
        <v>121</v>
      </c>
      <c r="K130" s="1867"/>
      <c r="L130" s="1869"/>
      <c r="M130" s="376"/>
      <c r="N130" s="1867" t="s">
        <v>20</v>
      </c>
      <c r="O130" s="1867"/>
      <c r="P130" s="1868"/>
      <c r="Q130" s="382"/>
      <c r="R130" s="2023" t="s">
        <v>121</v>
      </c>
      <c r="S130" s="1867"/>
      <c r="T130" s="1869"/>
      <c r="U130" s="376"/>
      <c r="V130" s="376"/>
      <c r="W130" s="376" t="s">
        <v>125</v>
      </c>
      <c r="X130" s="672"/>
      <c r="Y130" s="671"/>
      <c r="Z130" s="470"/>
      <c r="AA130" s="408"/>
      <c r="AB130" s="408"/>
      <c r="AC130" s="408"/>
      <c r="AD130" s="356"/>
      <c r="AE130" s="356"/>
      <c r="AF130" s="356"/>
      <c r="AG130" s="356"/>
      <c r="AH130" s="573"/>
      <c r="AZ130" s="356"/>
      <c r="BA130" s="356"/>
      <c r="BB130" s="356"/>
      <c r="BC130" s="356"/>
      <c r="BD130" s="356"/>
      <c r="BE130" s="356"/>
    </row>
    <row r="131" spans="5:57" ht="95" customHeight="1" x14ac:dyDescent="1">
      <c r="E131" s="663"/>
      <c r="F131" s="2021">
        <v>800</v>
      </c>
      <c r="G131" s="1972"/>
      <c r="H131" s="2022"/>
      <c r="I131" s="376"/>
      <c r="J131" s="1867">
        <v>800</v>
      </c>
      <c r="K131" s="1867"/>
      <c r="L131" s="1869"/>
      <c r="M131" s="376"/>
      <c r="N131" s="1972">
        <v>1100</v>
      </c>
      <c r="O131" s="1972"/>
      <c r="P131" s="1876"/>
      <c r="Q131" s="382"/>
      <c r="R131" s="2023">
        <v>800</v>
      </c>
      <c r="S131" s="1867"/>
      <c r="T131" s="1869"/>
      <c r="U131" s="376"/>
      <c r="V131" s="1972">
        <v>1400</v>
      </c>
      <c r="W131" s="1972"/>
      <c r="X131" s="2024"/>
      <c r="Y131" s="673"/>
      <c r="Z131" s="470"/>
      <c r="AA131" s="408"/>
      <c r="AB131" s="408"/>
      <c r="AC131" s="408"/>
      <c r="AD131" s="356"/>
      <c r="AE131" s="356"/>
      <c r="AF131" s="356"/>
      <c r="AG131" s="356"/>
      <c r="AH131" s="573"/>
      <c r="AZ131" s="356"/>
      <c r="BA131" s="356"/>
      <c r="BB131" s="356"/>
      <c r="BC131" s="356"/>
      <c r="BD131" s="356"/>
      <c r="BE131" s="356"/>
    </row>
    <row r="132" spans="5:57" ht="95" customHeight="1" thickBot="1" x14ac:dyDescent="1.05">
      <c r="E132" s="663"/>
      <c r="F132" s="664"/>
      <c r="G132" s="386"/>
      <c r="H132" s="390"/>
      <c r="I132" s="386"/>
      <c r="J132" s="386"/>
      <c r="K132" s="386"/>
      <c r="L132" s="486"/>
      <c r="M132" s="386"/>
      <c r="N132" s="482"/>
      <c r="O132" s="386"/>
      <c r="P132" s="386"/>
      <c r="Q132" s="390"/>
      <c r="R132" s="386"/>
      <c r="S132" s="386"/>
      <c r="T132" s="390"/>
      <c r="U132" s="386"/>
      <c r="V132" s="386"/>
      <c r="W132" s="386"/>
      <c r="X132" s="674"/>
      <c r="Y132" s="675"/>
      <c r="Z132" s="470"/>
      <c r="AA132" s="408"/>
      <c r="AB132" s="408"/>
      <c r="AC132" s="408"/>
      <c r="AD132" s="356"/>
      <c r="AE132" s="356"/>
      <c r="AF132" s="356"/>
      <c r="AG132" s="356"/>
      <c r="AH132" s="573"/>
      <c r="AZ132" s="356"/>
      <c r="BA132" s="356"/>
      <c r="BB132" s="356"/>
      <c r="BC132" s="356"/>
      <c r="BD132" s="356"/>
      <c r="BE132" s="356"/>
    </row>
    <row r="133" spans="5:57" ht="95" customHeight="1" thickTop="1" thickBot="1" x14ac:dyDescent="1.05">
      <c r="E133" s="638"/>
      <c r="F133" s="676"/>
      <c r="G133" s="658"/>
      <c r="H133" s="656"/>
      <c r="I133" s="658"/>
      <c r="J133" s="658"/>
      <c r="K133" s="658"/>
      <c r="L133" s="662"/>
      <c r="M133" s="658"/>
      <c r="N133" s="658"/>
      <c r="O133" s="677"/>
      <c r="P133" s="658"/>
      <c r="Q133" s="656"/>
      <c r="R133" s="658"/>
      <c r="S133" s="658"/>
      <c r="T133" s="656"/>
      <c r="U133" s="658"/>
      <c r="V133" s="658"/>
      <c r="W133" s="658"/>
      <c r="X133" s="678"/>
      <c r="Y133" s="675"/>
      <c r="Z133" s="470"/>
      <c r="AA133" s="408"/>
      <c r="AB133" s="408"/>
      <c r="AC133" s="408"/>
      <c r="AD133" s="356"/>
      <c r="AE133" s="356"/>
      <c r="AF133" s="356"/>
      <c r="AG133" s="356"/>
      <c r="AH133" s="573"/>
      <c r="AZ133" s="356"/>
      <c r="BA133" s="356"/>
      <c r="BB133" s="356"/>
      <c r="BC133" s="356"/>
      <c r="BD133" s="356"/>
      <c r="BE133" s="356"/>
    </row>
    <row r="134" spans="5:57" ht="10" customHeight="1" thickTop="1" thickBot="1" x14ac:dyDescent="1.05">
      <c r="E134" s="679"/>
      <c r="F134" s="638"/>
      <c r="G134" s="639"/>
      <c r="H134" s="639"/>
      <c r="I134" s="639"/>
      <c r="J134" s="637"/>
      <c r="K134" s="637"/>
      <c r="L134" s="637"/>
      <c r="M134" s="640"/>
      <c r="N134" s="639"/>
      <c r="O134" s="639"/>
      <c r="P134" s="637"/>
      <c r="Q134" s="637"/>
      <c r="R134" s="637"/>
      <c r="S134" s="637"/>
      <c r="T134" s="637"/>
      <c r="U134" s="637"/>
      <c r="V134" s="637"/>
      <c r="W134" s="639"/>
      <c r="X134" s="639"/>
      <c r="Y134" s="633"/>
      <c r="Z134" s="470"/>
      <c r="AA134" s="408"/>
      <c r="AB134" s="408"/>
      <c r="AC134" s="408"/>
      <c r="AD134" s="356"/>
      <c r="AE134" s="356"/>
      <c r="AF134" s="356"/>
      <c r="AG134" s="356"/>
      <c r="AH134" s="573"/>
      <c r="AZ134" s="356"/>
      <c r="BA134" s="356"/>
      <c r="BB134" s="356"/>
      <c r="BC134" s="356"/>
      <c r="BD134" s="356"/>
      <c r="BE134" s="356"/>
    </row>
    <row r="135" spans="5:57" ht="50" customHeight="1" thickTop="1" x14ac:dyDescent="1">
      <c r="V135" s="470"/>
      <c r="W135" s="573"/>
      <c r="X135" s="573"/>
      <c r="Y135" s="573"/>
      <c r="Z135" s="470"/>
      <c r="AA135" s="408"/>
      <c r="AB135" s="408"/>
      <c r="AC135" s="408"/>
      <c r="AD135" s="356"/>
      <c r="AE135" s="356"/>
      <c r="AF135" s="356"/>
      <c r="AG135" s="356"/>
      <c r="AH135" s="573"/>
      <c r="AZ135" s="356"/>
      <c r="BA135" s="356"/>
      <c r="BB135" s="356"/>
      <c r="BC135" s="356"/>
      <c r="BD135" s="356"/>
      <c r="BE135" s="356"/>
    </row>
    <row r="136" spans="5:57" ht="50" customHeight="1" x14ac:dyDescent="1">
      <c r="AW136" s="358"/>
      <c r="AX136" s="358"/>
      <c r="AY136" s="358"/>
      <c r="AZ136" s="358"/>
      <c r="BA136" s="358"/>
      <c r="BB136" s="358"/>
      <c r="BC136" s="358"/>
    </row>
    <row r="137" spans="5:57" ht="50" customHeight="1" x14ac:dyDescent="1">
      <c r="AW137" s="358"/>
      <c r="AX137" s="358"/>
      <c r="AY137" s="358"/>
      <c r="AZ137" s="358"/>
      <c r="BA137" s="358"/>
      <c r="BB137" s="358"/>
      <c r="BC137" s="358"/>
    </row>
    <row r="138" spans="5:57" ht="50" customHeight="1" x14ac:dyDescent="1">
      <c r="AW138" s="358"/>
      <c r="AX138" s="358"/>
      <c r="AY138" s="358"/>
      <c r="AZ138" s="358"/>
      <c r="BA138" s="358"/>
      <c r="BB138" s="358"/>
      <c r="BC138" s="358"/>
    </row>
    <row r="139" spans="5:57" ht="50" customHeight="1" x14ac:dyDescent="1">
      <c r="AW139" s="358"/>
      <c r="AX139" s="358"/>
      <c r="AY139" s="358"/>
      <c r="AZ139" s="572"/>
      <c r="BA139" s="358"/>
      <c r="BB139" s="358"/>
      <c r="BC139" s="358"/>
    </row>
    <row r="140" spans="5:57" ht="50" customHeight="1" x14ac:dyDescent="1">
      <c r="AW140" s="358"/>
      <c r="AX140" s="358"/>
      <c r="AY140" s="358"/>
      <c r="AZ140" s="358"/>
      <c r="BA140" s="358"/>
      <c r="BB140" s="358"/>
      <c r="BC140" s="358"/>
    </row>
    <row r="141" spans="5:57" ht="50" customHeight="1" x14ac:dyDescent="1">
      <c r="AW141" s="358"/>
      <c r="AX141" s="358"/>
      <c r="AY141" s="358"/>
      <c r="AZ141" s="358"/>
      <c r="BA141" s="358"/>
      <c r="BB141" s="358"/>
      <c r="BC141" s="358"/>
    </row>
    <row r="142" spans="5:57" ht="50" customHeight="1" x14ac:dyDescent="1">
      <c r="AW142" s="358"/>
      <c r="AX142" s="358"/>
      <c r="AY142" s="358"/>
      <c r="AZ142" s="358"/>
      <c r="BA142" s="358"/>
      <c r="BB142" s="358"/>
      <c r="BC142" s="358"/>
    </row>
  </sheetData>
  <mergeCells count="90">
    <mergeCell ref="N9:P9"/>
    <mergeCell ref="F10:P16"/>
    <mergeCell ref="N21:P21"/>
    <mergeCell ref="F35:H35"/>
    <mergeCell ref="J35:L35"/>
    <mergeCell ref="N35:P35"/>
    <mergeCell ref="F36:H36"/>
    <mergeCell ref="J36:L36"/>
    <mergeCell ref="N36:P36"/>
    <mergeCell ref="F37:H37"/>
    <mergeCell ref="J37:L37"/>
    <mergeCell ref="N37:P37"/>
    <mergeCell ref="F38:H38"/>
    <mergeCell ref="J38:L38"/>
    <mergeCell ref="N38:P38"/>
    <mergeCell ref="F46:T52"/>
    <mergeCell ref="F71:H71"/>
    <mergeCell ref="J71:L71"/>
    <mergeCell ref="N71:P71"/>
    <mergeCell ref="R71:T71"/>
    <mergeCell ref="F72:H72"/>
    <mergeCell ref="J72:L72"/>
    <mergeCell ref="N72:P72"/>
    <mergeCell ref="R72:T72"/>
    <mergeCell ref="F73:H73"/>
    <mergeCell ref="J73:L73"/>
    <mergeCell ref="N73:P73"/>
    <mergeCell ref="R73:T73"/>
    <mergeCell ref="F74:H74"/>
    <mergeCell ref="J74:L74"/>
    <mergeCell ref="N74:P74"/>
    <mergeCell ref="R74:T74"/>
    <mergeCell ref="F82:H82"/>
    <mergeCell ref="J82:J97"/>
    <mergeCell ref="F89:H89"/>
    <mergeCell ref="L89:T90"/>
    <mergeCell ref="F94:H94"/>
    <mergeCell ref="F97:H97"/>
    <mergeCell ref="F88:H88"/>
    <mergeCell ref="AH82:AH97"/>
    <mergeCell ref="F83:H83"/>
    <mergeCell ref="X83:Z83"/>
    <mergeCell ref="AB83:AD83"/>
    <mergeCell ref="AF83:AG83"/>
    <mergeCell ref="F84:H84"/>
    <mergeCell ref="X84:Z84"/>
    <mergeCell ref="AB84:AD84"/>
    <mergeCell ref="F85:H85"/>
    <mergeCell ref="X85:Z85"/>
    <mergeCell ref="AB85:AD85"/>
    <mergeCell ref="F86:H86"/>
    <mergeCell ref="X86:Z86"/>
    <mergeCell ref="AB86:AD86"/>
    <mergeCell ref="F87:H87"/>
    <mergeCell ref="F96:H96"/>
    <mergeCell ref="X96:Z96"/>
    <mergeCell ref="AB96:AD96"/>
    <mergeCell ref="X89:AG90"/>
    <mergeCell ref="F90:H90"/>
    <mergeCell ref="F91:H91"/>
    <mergeCell ref="F92:H92"/>
    <mergeCell ref="F93:H93"/>
    <mergeCell ref="X93:Z93"/>
    <mergeCell ref="AB93:AD93"/>
    <mergeCell ref="AF93:AG93"/>
    <mergeCell ref="X94:Z94"/>
    <mergeCell ref="AB94:AD94"/>
    <mergeCell ref="F95:H95"/>
    <mergeCell ref="X95:Z95"/>
    <mergeCell ref="AB95:AD95"/>
    <mergeCell ref="F130:H130"/>
    <mergeCell ref="J130:L130"/>
    <mergeCell ref="N130:P130"/>
    <mergeCell ref="R130:T130"/>
    <mergeCell ref="F103:X109"/>
    <mergeCell ref="F128:H128"/>
    <mergeCell ref="J128:L128"/>
    <mergeCell ref="N128:P128"/>
    <mergeCell ref="R128:T128"/>
    <mergeCell ref="V128:X128"/>
    <mergeCell ref="F129:H129"/>
    <mergeCell ref="J129:L129"/>
    <mergeCell ref="N129:P129"/>
    <mergeCell ref="R129:T129"/>
    <mergeCell ref="V129:X129"/>
    <mergeCell ref="F131:H131"/>
    <mergeCell ref="J131:L131"/>
    <mergeCell ref="N131:P131"/>
    <mergeCell ref="R131:T131"/>
    <mergeCell ref="V131:X131"/>
  </mergeCells>
  <printOptions horizontalCentered="1"/>
  <pageMargins left="0.25" right="0.25" top="0.75" bottom="0.75" header="0.3" footer="0.3"/>
  <pageSetup scale="10" fitToHeight="2" orientation="landscape" horizontalDpi="1200" verticalDpi="1200" r:id="rId1"/>
  <rowBreaks count="1" manualBreakCount="1">
    <brk id="66" min="2" max="4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93E7D-4728-E24E-A25F-AC606384A3E3}">
  <dimension ref="B1:BM451"/>
  <sheetViews>
    <sheetView topLeftCell="B1" zoomScale="20" zoomScaleNormal="20" zoomScaleSheetLayoutView="23" zoomScalePageLayoutView="30" workbookViewId="0">
      <selection activeCell="T16" sqref="T16"/>
    </sheetView>
  </sheetViews>
  <sheetFormatPr baseColWidth="10" defaultColWidth="10.6640625" defaultRowHeight="100" customHeight="1" x14ac:dyDescent="1"/>
  <cols>
    <col min="1" max="1" width="17.33203125" style="354" customWidth="1"/>
    <col min="2" max="2" width="21.1640625" style="354" customWidth="1"/>
    <col min="3" max="3" width="2.33203125" style="408" customWidth="1"/>
    <col min="4" max="4" width="3.83203125" style="354" customWidth="1"/>
    <col min="5" max="5" width="2.33203125" style="354" customWidth="1"/>
    <col min="6" max="6" width="43" style="354" customWidth="1"/>
    <col min="7" max="7" width="6.6640625" style="354" customWidth="1"/>
    <col min="8" max="8" width="57.1640625" style="354" customWidth="1"/>
    <col min="9" max="9" width="2.33203125" style="354" customWidth="1"/>
    <col min="10" max="10" width="38.83203125" style="354" customWidth="1"/>
    <col min="11" max="11" width="2.33203125" style="354" customWidth="1"/>
    <col min="12" max="12" width="38.83203125" style="354" customWidth="1"/>
    <col min="13" max="13" width="2.33203125" style="354" customWidth="1"/>
    <col min="14" max="14" width="61.83203125" style="354" customWidth="1"/>
    <col min="15" max="15" width="2.33203125" style="354" customWidth="1"/>
    <col min="16" max="16" width="38.83203125" style="354" customWidth="1"/>
    <col min="17" max="17" width="2.33203125" style="354" customWidth="1"/>
    <col min="18" max="18" width="57.33203125" style="354" customWidth="1"/>
    <col min="19" max="19" width="2.33203125" style="354" customWidth="1"/>
    <col min="20" max="20" width="50.5" style="354" customWidth="1"/>
    <col min="21" max="21" width="2.33203125" style="354" customWidth="1"/>
    <col min="22" max="22" width="38.83203125" style="354" customWidth="1"/>
    <col min="23" max="23" width="2.33203125" style="354" customWidth="1"/>
    <col min="24" max="24" width="38.83203125" style="354" customWidth="1"/>
    <col min="25" max="25" width="2.33203125" style="354" customWidth="1"/>
    <col min="26" max="26" width="38.83203125" style="354" customWidth="1"/>
    <col min="27" max="27" width="2.33203125" style="354" customWidth="1"/>
    <col min="28" max="28" width="38.83203125" style="354" customWidth="1"/>
    <col min="29" max="29" width="2.33203125" style="354" customWidth="1"/>
    <col min="30" max="30" width="38.83203125" style="354" customWidth="1"/>
    <col min="31" max="31" width="2.33203125" style="354" customWidth="1"/>
    <col min="32" max="32" width="38.83203125" style="354" customWidth="1"/>
    <col min="33" max="33" width="2.33203125" style="354" customWidth="1"/>
    <col min="34" max="34" width="38.83203125" style="354" customWidth="1"/>
    <col min="35" max="35" width="2.33203125" style="354" customWidth="1"/>
    <col min="36" max="36" width="38.83203125" style="354" customWidth="1"/>
    <col min="37" max="37" width="2.33203125" style="354" customWidth="1"/>
    <col min="38" max="38" width="38.83203125" style="354" customWidth="1"/>
    <col min="39" max="39" width="2.33203125" style="354" customWidth="1"/>
    <col min="40" max="40" width="57" style="354" customWidth="1"/>
    <col min="41" max="41" width="2.33203125" style="354" customWidth="1"/>
    <col min="42" max="42" width="38.83203125" style="354" customWidth="1"/>
    <col min="43" max="43" width="2.83203125" style="354" customWidth="1"/>
    <col min="44" max="44" width="38.83203125" style="354" customWidth="1"/>
    <col min="45" max="45" width="2.33203125" style="354" customWidth="1"/>
    <col min="46" max="46" width="38.83203125" style="354" customWidth="1"/>
    <col min="47" max="47" width="2.33203125" style="354" customWidth="1"/>
    <col min="48" max="48" width="38.83203125" style="354" customWidth="1"/>
    <col min="49" max="49" width="2.33203125" style="354" customWidth="1"/>
    <col min="50" max="50" width="49.33203125" style="354" customWidth="1"/>
    <col min="51" max="51" width="2.33203125" style="354" customWidth="1"/>
    <col min="52" max="52" width="50.1640625" style="354" customWidth="1"/>
    <col min="53" max="53" width="2.33203125" style="354" customWidth="1"/>
    <col min="54" max="54" width="38.83203125" style="354" customWidth="1"/>
    <col min="55" max="55" width="2.33203125" style="354" customWidth="1"/>
    <col min="56" max="56" width="38.83203125" style="354" customWidth="1"/>
    <col min="57" max="57" width="2.5" style="354" customWidth="1"/>
    <col min="58" max="58" width="38.83203125" style="354" customWidth="1"/>
    <col min="59" max="59" width="2.33203125" style="354" customWidth="1"/>
    <col min="60" max="60" width="8.83203125" style="354" customWidth="1"/>
    <col min="61" max="61" width="3.1640625" style="354" customWidth="1"/>
    <col min="62" max="62" width="12" style="354" customWidth="1"/>
    <col min="63" max="65" width="10.6640625" style="354"/>
    <col min="66" max="66" width="3.83203125" style="354" customWidth="1"/>
    <col min="67" max="16384" width="10.6640625" style="354"/>
  </cols>
  <sheetData>
    <row r="1" spans="3:60" ht="100" customHeight="1" x14ac:dyDescent="1">
      <c r="V1" s="1370"/>
      <c r="W1" s="573"/>
      <c r="X1" s="573"/>
      <c r="Y1" s="573"/>
      <c r="Z1" s="1370"/>
      <c r="AA1" s="408"/>
      <c r="AB1" s="408"/>
      <c r="AC1" s="408"/>
      <c r="AD1" s="356"/>
      <c r="AE1" s="356"/>
      <c r="AF1" s="356"/>
      <c r="AG1" s="356"/>
      <c r="AH1" s="573"/>
      <c r="AZ1" s="356"/>
      <c r="BA1" s="356"/>
      <c r="BB1" s="356"/>
      <c r="BC1" s="356"/>
      <c r="BD1" s="356"/>
      <c r="BE1" s="356"/>
    </row>
    <row r="2" spans="3:60" s="1426" customFormat="1" ht="100" customHeight="1" x14ac:dyDescent="1.2">
      <c r="C2" s="1431"/>
      <c r="F2" s="1426" t="s">
        <v>254</v>
      </c>
      <c r="V2" s="1431"/>
      <c r="W2" s="1431"/>
      <c r="X2" s="1431"/>
      <c r="Y2" s="1431"/>
      <c r="Z2" s="1431"/>
      <c r="AA2" s="1431"/>
      <c r="AB2" s="1431"/>
      <c r="AC2" s="1431"/>
      <c r="AD2" s="1432"/>
      <c r="AE2" s="1432"/>
      <c r="AF2" s="1432"/>
      <c r="AG2" s="1432"/>
      <c r="AH2" s="1432"/>
      <c r="AI2" s="1432"/>
      <c r="AJ2" s="1432"/>
      <c r="AK2" s="1432"/>
      <c r="AL2" s="1432"/>
      <c r="AM2" s="1432"/>
      <c r="AN2" s="1432"/>
      <c r="AO2" s="1432"/>
      <c r="AP2" s="1432"/>
      <c r="AQ2" s="1432"/>
      <c r="AR2" s="1432"/>
      <c r="AS2" s="1432"/>
      <c r="AT2" s="1432"/>
      <c r="AU2" s="1432"/>
      <c r="AV2" s="1432"/>
      <c r="AW2" s="1432"/>
      <c r="AZ2" s="1432"/>
      <c r="BA2" s="1432"/>
      <c r="BB2" s="1432"/>
      <c r="BC2" s="1432"/>
      <c r="BD2" s="1432"/>
      <c r="BE2" s="1432"/>
    </row>
    <row r="3" spans="3:60" s="1429" customFormat="1" ht="100" customHeight="1" x14ac:dyDescent="1.2">
      <c r="C3" s="1432"/>
      <c r="F3" s="1433"/>
      <c r="G3" s="1433"/>
    </row>
    <row r="4" spans="3:60" s="1429" customFormat="1" ht="190" customHeight="1" x14ac:dyDescent="1.2">
      <c r="C4" s="1432"/>
      <c r="F4" s="1434" t="s">
        <v>161</v>
      </c>
      <c r="G4" s="1434"/>
      <c r="H4" s="1435"/>
      <c r="I4" s="1435"/>
      <c r="J4" s="1435"/>
      <c r="K4" s="1435"/>
      <c r="L4" s="1435"/>
      <c r="M4" s="1435"/>
      <c r="N4" s="1435"/>
      <c r="O4" s="1435"/>
      <c r="P4" s="1435"/>
      <c r="Q4" s="1435"/>
      <c r="R4" s="1435"/>
      <c r="S4" s="1435"/>
      <c r="T4" s="1435"/>
      <c r="U4" s="1435"/>
      <c r="V4" s="1435"/>
      <c r="W4" s="1435"/>
      <c r="X4" s="1435"/>
      <c r="Y4" s="1435"/>
      <c r="Z4" s="1435"/>
      <c r="AA4" s="1435"/>
      <c r="AB4" s="1435"/>
      <c r="AC4" s="1435"/>
      <c r="AD4" s="1435"/>
      <c r="AE4" s="1435"/>
      <c r="AF4" s="1435"/>
      <c r="AG4" s="1435"/>
      <c r="AH4" s="1435"/>
      <c r="AI4" s="1435"/>
      <c r="AJ4" s="1435"/>
      <c r="AK4" s="1435"/>
      <c r="AL4" s="1435"/>
      <c r="AM4" s="1435"/>
      <c r="AN4" s="1435"/>
      <c r="AO4" s="1435"/>
      <c r="AP4" s="1435"/>
      <c r="AQ4" s="1435"/>
      <c r="AR4" s="1435"/>
      <c r="AS4" s="1435"/>
      <c r="AT4" s="1435"/>
      <c r="AU4" s="1435"/>
      <c r="AV4" s="1435"/>
      <c r="AW4" s="1435"/>
      <c r="AX4" s="1435"/>
      <c r="AY4" s="1435"/>
      <c r="AZ4" s="1435"/>
      <c r="BA4" s="1435"/>
      <c r="BB4" s="1435"/>
      <c r="BC4" s="1435"/>
      <c r="BD4" s="1435"/>
      <c r="BE4" s="1435"/>
      <c r="BF4" s="1435"/>
      <c r="BG4" s="1435"/>
      <c r="BH4" s="1435"/>
    </row>
    <row r="5" spans="3:60" s="1426" customFormat="1" ht="100" customHeight="1" x14ac:dyDescent="1.2">
      <c r="C5" s="1431"/>
      <c r="F5" s="1436"/>
      <c r="G5" s="1436"/>
      <c r="AF5" s="1429"/>
      <c r="AG5" s="1429"/>
      <c r="AH5" s="1429"/>
    </row>
    <row r="6" spans="3:60" s="1426" customFormat="1" ht="100" customHeight="1" x14ac:dyDescent="1.2">
      <c r="C6" s="1431"/>
      <c r="F6" s="1436" t="s">
        <v>145</v>
      </c>
      <c r="G6" s="1436"/>
      <c r="P6" s="1427" t="s">
        <v>134</v>
      </c>
      <c r="Q6" s="1427"/>
      <c r="R6" s="1437">
        <v>20000</v>
      </c>
      <c r="S6" s="1438"/>
      <c r="AF6" s="1422" t="s">
        <v>231</v>
      </c>
      <c r="AG6" s="1422"/>
      <c r="AH6" s="1423" t="s">
        <v>151</v>
      </c>
      <c r="AI6" s="1423"/>
      <c r="AJ6" s="1424" t="s">
        <v>243</v>
      </c>
      <c r="AK6" s="1424"/>
      <c r="AL6" s="1576"/>
      <c r="AM6" s="1576"/>
      <c r="AN6" s="1576"/>
      <c r="AO6" s="1576"/>
    </row>
    <row r="7" spans="3:60" s="1426" customFormat="1" ht="100" customHeight="1" x14ac:dyDescent="1.2">
      <c r="C7" s="1431"/>
      <c r="F7" s="1436"/>
      <c r="G7" s="1436"/>
      <c r="P7" s="1427" t="s">
        <v>143</v>
      </c>
      <c r="Q7" s="1427"/>
      <c r="R7" s="1439">
        <f>SUM(H21+H32+T21+T32+AF32+AX32)</f>
        <v>18900</v>
      </c>
      <c r="S7" s="1440"/>
      <c r="AB7" s="1429"/>
      <c r="AC7" s="1429"/>
      <c r="AD7" s="1429"/>
      <c r="AE7" s="1429"/>
      <c r="AH7" s="1427" t="s">
        <v>151</v>
      </c>
      <c r="AI7" s="1427"/>
      <c r="AJ7" s="1426" t="s">
        <v>244</v>
      </c>
      <c r="AL7" s="1428"/>
      <c r="AM7" s="1428"/>
      <c r="AN7" s="1428"/>
      <c r="AO7" s="1428"/>
    </row>
    <row r="8" spans="3:60" s="1426" customFormat="1" ht="100" customHeight="1" x14ac:dyDescent="1.2">
      <c r="C8" s="1431"/>
      <c r="F8" s="1436"/>
      <c r="G8" s="1436"/>
      <c r="N8" s="1429"/>
      <c r="O8" s="1429"/>
      <c r="P8" s="1441" t="s">
        <v>156</v>
      </c>
      <c r="Q8" s="1441"/>
      <c r="R8" s="1442">
        <f>R6-R7</f>
        <v>1100</v>
      </c>
      <c r="S8" s="1438"/>
      <c r="T8" s="1429" t="s">
        <v>33</v>
      </c>
      <c r="AB8" s="1429"/>
      <c r="AC8" s="1429"/>
      <c r="AD8" s="1429"/>
      <c r="AE8" s="1429"/>
      <c r="AH8" s="1427" t="s">
        <v>151</v>
      </c>
      <c r="AI8" s="1427"/>
      <c r="AJ8" s="1426" t="s">
        <v>245</v>
      </c>
    </row>
    <row r="9" spans="3:60" s="1426" customFormat="1" ht="100" customHeight="1" x14ac:dyDescent="1.2">
      <c r="C9" s="1431"/>
      <c r="AB9" s="1429"/>
      <c r="AC9" s="1429"/>
      <c r="AD9" s="1429"/>
      <c r="AE9" s="1429"/>
      <c r="AH9" s="1427" t="s">
        <v>151</v>
      </c>
      <c r="AI9" s="1427"/>
      <c r="AJ9" s="1426" t="s">
        <v>163</v>
      </c>
    </row>
    <row r="10" spans="3:60" s="1426" customFormat="1" ht="100" customHeight="1" x14ac:dyDescent="1.2">
      <c r="C10" s="1431"/>
      <c r="AB10" s="1429"/>
      <c r="AC10" s="1429"/>
      <c r="AD10" s="1429"/>
      <c r="AE10" s="1429"/>
      <c r="AJ10" s="1429"/>
      <c r="AK10" s="1429"/>
      <c r="AL10" s="1429" t="s">
        <v>276</v>
      </c>
      <c r="AM10" s="1429"/>
      <c r="AN10" s="1429"/>
      <c r="AO10" s="1429"/>
      <c r="AP10" s="1430"/>
      <c r="AQ10" s="1430"/>
      <c r="AR10" s="1429"/>
      <c r="AS10" s="1429"/>
      <c r="AT10" s="1429"/>
      <c r="AU10" s="1429"/>
      <c r="AV10" s="1429"/>
      <c r="AW10" s="1429"/>
      <c r="AX10" s="1429"/>
    </row>
    <row r="11" spans="3:60" s="1426" customFormat="1" ht="100" customHeight="1" x14ac:dyDescent="1.2">
      <c r="C11" s="1431"/>
      <c r="AH11" s="1427" t="s">
        <v>151</v>
      </c>
      <c r="AJ11" s="1429" t="s">
        <v>201</v>
      </c>
      <c r="AK11" s="1429"/>
      <c r="AL11" s="1429"/>
      <c r="AM11" s="1429"/>
      <c r="AN11" s="1429"/>
      <c r="AO11" s="1429"/>
      <c r="AP11" s="1430"/>
      <c r="AQ11" s="1430"/>
      <c r="AR11" s="1429"/>
      <c r="AS11" s="1429"/>
      <c r="AT11" s="1429"/>
      <c r="AU11" s="1429"/>
      <c r="AV11" s="1429"/>
      <c r="AW11" s="1429"/>
      <c r="AX11" s="1429"/>
    </row>
    <row r="12" spans="3:60" s="1426" customFormat="1" ht="100" customHeight="1" x14ac:dyDescent="1.2">
      <c r="C12" s="1431"/>
      <c r="AJ12" s="1429" t="s">
        <v>274</v>
      </c>
      <c r="AK12" s="1429"/>
      <c r="AL12" s="1429"/>
      <c r="AM12" s="1429"/>
      <c r="AN12" s="1429"/>
      <c r="AO12" s="1429"/>
      <c r="AP12" s="1430"/>
      <c r="AQ12" s="1430"/>
      <c r="AR12" s="1429"/>
      <c r="AS12" s="1429"/>
      <c r="AT12" s="1429"/>
      <c r="AU12" s="1429"/>
      <c r="AV12" s="1429"/>
      <c r="AW12" s="1429"/>
      <c r="AX12" s="1429"/>
    </row>
    <row r="13" spans="3:60" s="1426" customFormat="1" ht="100" customHeight="1" x14ac:dyDescent="1.2">
      <c r="C13" s="1431"/>
      <c r="AJ13" s="1429" t="s">
        <v>203</v>
      </c>
      <c r="AK13" s="1429"/>
      <c r="AL13" s="1429"/>
      <c r="AM13" s="1429"/>
      <c r="AN13" s="1429"/>
      <c r="AO13" s="1429"/>
      <c r="AP13" s="1430"/>
      <c r="AQ13" s="1430"/>
      <c r="AR13" s="1429"/>
      <c r="AS13" s="1429"/>
      <c r="AT13" s="1429"/>
      <c r="AU13" s="1429"/>
      <c r="AV13" s="1429"/>
      <c r="AW13" s="1429"/>
      <c r="AX13" s="1429"/>
    </row>
    <row r="14" spans="3:60" s="1426" customFormat="1" ht="100" customHeight="1" x14ac:dyDescent="1.2">
      <c r="C14" s="1431"/>
      <c r="AJ14" s="1429" t="s">
        <v>202</v>
      </c>
      <c r="AK14" s="1429"/>
      <c r="AL14" s="1429"/>
      <c r="AM14" s="1429"/>
      <c r="AN14" s="1429"/>
      <c r="AO14" s="1429"/>
      <c r="AP14" s="1430"/>
      <c r="AQ14" s="1430"/>
      <c r="AR14" s="1429"/>
      <c r="AS14" s="1429"/>
      <c r="AT14" s="1429"/>
      <c r="AU14" s="1429"/>
      <c r="AV14" s="1429"/>
      <c r="AW14" s="1429"/>
      <c r="AX14" s="1429"/>
    </row>
    <row r="15" spans="3:60" ht="60" customHeight="1" thickBot="1" x14ac:dyDescent="1.05">
      <c r="AD15" s="697"/>
      <c r="AE15" s="697"/>
      <c r="AF15" s="697"/>
      <c r="AG15" s="697"/>
      <c r="AH15" s="697"/>
      <c r="AI15" s="697"/>
      <c r="AQ15" s="697"/>
      <c r="AR15" s="697"/>
      <c r="AS15" s="697"/>
      <c r="AT15" s="697"/>
      <c r="AU15" s="372"/>
      <c r="BG15" s="372"/>
    </row>
    <row r="16" spans="3:60" ht="8" customHeight="1" thickTop="1" thickBot="1" x14ac:dyDescent="1.05">
      <c r="E16" s="698"/>
      <c r="F16" s="477"/>
      <c r="G16" s="476"/>
      <c r="H16" s="476"/>
      <c r="I16" s="476"/>
      <c r="J16" s="476"/>
      <c r="K16" s="476"/>
      <c r="L16" s="476"/>
      <c r="M16" s="476"/>
      <c r="N16" s="699"/>
      <c r="O16" s="476"/>
      <c r="P16" s="700"/>
      <c r="Q16" s="476"/>
      <c r="R16" s="477"/>
      <c r="S16" s="476"/>
      <c r="T16" s="476"/>
      <c r="U16" s="476"/>
      <c r="V16" s="476"/>
      <c r="W16" s="476"/>
      <c r="X16" s="699"/>
      <c r="Y16" s="476"/>
      <c r="Z16" s="701"/>
      <c r="AA16" s="476"/>
      <c r="AB16" s="478"/>
      <c r="AC16" s="702"/>
      <c r="AD16" s="703"/>
      <c r="AE16" s="703"/>
      <c r="AF16" s="703"/>
      <c r="AG16" s="703"/>
      <c r="AH16" s="704"/>
      <c r="AI16" s="704"/>
      <c r="AJ16" s="392"/>
      <c r="AK16" s="392"/>
      <c r="AL16" s="392"/>
      <c r="AM16" s="392"/>
      <c r="AN16" s="392"/>
      <c r="AO16" s="392"/>
      <c r="AP16" s="392"/>
      <c r="AQ16" s="705"/>
      <c r="AR16" s="706"/>
      <c r="AS16" s="707"/>
      <c r="AT16" s="708"/>
      <c r="AU16" s="465"/>
      <c r="AV16" s="476"/>
      <c r="AW16" s="476"/>
      <c r="AX16" s="476"/>
      <c r="AY16" s="476"/>
      <c r="AZ16" s="476"/>
      <c r="BA16" s="476"/>
      <c r="BB16" s="476"/>
      <c r="BC16" s="476"/>
      <c r="BD16" s="476"/>
      <c r="BE16" s="476"/>
      <c r="BF16" s="478"/>
      <c r="BG16" s="471"/>
    </row>
    <row r="17" spans="4:63" ht="100" customHeight="1" thickTop="1" x14ac:dyDescent="1">
      <c r="E17" s="466"/>
      <c r="F17" s="508"/>
      <c r="G17" s="386"/>
      <c r="H17" s="386"/>
      <c r="I17" s="386"/>
      <c r="J17" s="386"/>
      <c r="K17" s="386"/>
      <c r="L17" s="386"/>
      <c r="M17" s="386"/>
      <c r="N17" s="392"/>
      <c r="O17" s="392"/>
      <c r="P17" s="505"/>
      <c r="Q17" s="465"/>
      <c r="R17" s="508"/>
      <c r="S17" s="386"/>
      <c r="T17" s="386"/>
      <c r="U17" s="386"/>
      <c r="V17" s="386"/>
      <c r="W17" s="386"/>
      <c r="X17" s="386"/>
      <c r="Y17" s="386"/>
      <c r="Z17" s="386"/>
      <c r="AA17" s="386"/>
      <c r="AB17" s="505"/>
      <c r="AC17" s="465"/>
      <c r="AD17" s="709"/>
      <c r="AE17" s="710"/>
      <c r="AF17" s="710"/>
      <c r="AG17" s="710"/>
      <c r="AH17" s="711"/>
      <c r="AI17" s="704"/>
      <c r="AJ17" s="388"/>
      <c r="AK17" s="388"/>
      <c r="AL17" s="388"/>
      <c r="AM17" s="388"/>
      <c r="AN17" s="388"/>
      <c r="AO17" s="388"/>
      <c r="AP17" s="391"/>
      <c r="AQ17" s="712"/>
      <c r="AR17" s="713"/>
      <c r="AS17" s="714"/>
      <c r="AT17" s="715"/>
      <c r="AU17" s="469"/>
      <c r="AV17" s="716"/>
      <c r="AW17" s="716"/>
      <c r="AX17" s="716"/>
      <c r="AY17" s="716"/>
      <c r="AZ17" s="717"/>
      <c r="BA17" s="717"/>
      <c r="BB17" s="716"/>
      <c r="BC17" s="716"/>
      <c r="BD17" s="716"/>
      <c r="BE17" s="716"/>
      <c r="BF17" s="718"/>
      <c r="BG17" s="471"/>
    </row>
    <row r="18" spans="4:63" ht="100" customHeight="1" x14ac:dyDescent="1">
      <c r="E18" s="466"/>
      <c r="F18" s="508"/>
      <c r="G18" s="386"/>
      <c r="H18" s="386"/>
      <c r="I18" s="386"/>
      <c r="J18" s="386"/>
      <c r="K18" s="386"/>
      <c r="L18" s="386"/>
      <c r="M18" s="386"/>
      <c r="N18" s="392"/>
      <c r="O18" s="392"/>
      <c r="P18" s="505"/>
      <c r="Q18" s="465"/>
      <c r="R18" s="508"/>
      <c r="S18" s="386"/>
      <c r="T18" s="386"/>
      <c r="U18" s="386"/>
      <c r="V18" s="386"/>
      <c r="W18" s="386"/>
      <c r="X18" s="386"/>
      <c r="Y18" s="386"/>
      <c r="Z18" s="386"/>
      <c r="AA18" s="386"/>
      <c r="AB18" s="505"/>
      <c r="AC18" s="465"/>
      <c r="AD18" s="719"/>
      <c r="AE18" s="720"/>
      <c r="AF18" s="720"/>
      <c r="AG18" s="720"/>
      <c r="AH18" s="721"/>
      <c r="AI18" s="704"/>
      <c r="AJ18" s="388"/>
      <c r="AK18" s="388"/>
      <c r="AL18" s="388"/>
      <c r="AM18" s="388"/>
      <c r="AN18" s="388"/>
      <c r="AO18" s="388"/>
      <c r="AP18" s="391"/>
      <c r="AQ18" s="712"/>
      <c r="AR18" s="722"/>
      <c r="AS18" s="723"/>
      <c r="AT18" s="724"/>
      <c r="AU18" s="469"/>
      <c r="AV18" s="386"/>
      <c r="AW18" s="386"/>
      <c r="AX18" s="386"/>
      <c r="AY18" s="386"/>
      <c r="AZ18" s="392"/>
      <c r="BA18" s="392"/>
      <c r="BB18" s="386"/>
      <c r="BC18" s="386"/>
      <c r="BD18" s="386"/>
      <c r="BE18" s="386"/>
      <c r="BF18" s="505"/>
      <c r="BG18" s="471"/>
    </row>
    <row r="19" spans="4:63" ht="100" customHeight="1" x14ac:dyDescent="1">
      <c r="E19" s="466"/>
      <c r="F19" s="1544"/>
      <c r="G19" s="1545"/>
      <c r="H19" s="1545"/>
      <c r="I19" s="1545"/>
      <c r="J19" s="1545"/>
      <c r="K19" s="1545"/>
      <c r="L19" s="1545"/>
      <c r="M19" s="1545"/>
      <c r="N19" s="1560"/>
      <c r="O19" s="1560"/>
      <c r="P19" s="1548"/>
      <c r="Q19" s="1539"/>
      <c r="R19" s="1544"/>
      <c r="S19" s="1545"/>
      <c r="T19" s="1545"/>
      <c r="U19" s="1545"/>
      <c r="V19" s="1545"/>
      <c r="W19" s="1545"/>
      <c r="X19" s="1545"/>
      <c r="Y19" s="1545"/>
      <c r="Z19" s="1545"/>
      <c r="AA19" s="1545"/>
      <c r="AB19" s="1548"/>
      <c r="AC19" s="1539"/>
      <c r="AD19" s="1566"/>
      <c r="AE19" s="1567"/>
      <c r="AF19" s="1567"/>
      <c r="AG19" s="1567"/>
      <c r="AH19" s="1568"/>
      <c r="AI19" s="725"/>
      <c r="AJ19" s="1569"/>
      <c r="AK19" s="1569"/>
      <c r="AL19" s="1569"/>
      <c r="AM19" s="1569"/>
      <c r="AN19" s="1569"/>
      <c r="AO19" s="1569"/>
      <c r="AP19" s="379"/>
      <c r="AQ19" s="726"/>
      <c r="AR19" s="1563"/>
      <c r="AS19" s="1564"/>
      <c r="AT19" s="1565"/>
      <c r="AU19" s="1540"/>
      <c r="AV19" s="1545"/>
      <c r="AW19" s="1545"/>
      <c r="AX19" s="1545"/>
      <c r="AY19" s="1545"/>
      <c r="AZ19" s="1560"/>
      <c r="BA19" s="1560"/>
      <c r="BB19" s="1545"/>
      <c r="BC19" s="1545"/>
      <c r="BD19" s="1545"/>
      <c r="BE19" s="1545"/>
      <c r="BF19" s="505"/>
      <c r="BG19" s="471"/>
    </row>
    <row r="20" spans="4:63" ht="100" customHeight="1" x14ac:dyDescent="1">
      <c r="E20" s="466"/>
      <c r="F20" s="1544"/>
      <c r="G20" s="1545"/>
      <c r="H20" s="727" t="s">
        <v>179</v>
      </c>
      <c r="I20" s="727"/>
      <c r="J20" s="1549"/>
      <c r="K20" s="1549"/>
      <c r="L20" s="1545"/>
      <c r="M20" s="1545"/>
      <c r="N20" s="728" t="s">
        <v>175</v>
      </c>
      <c r="O20" s="728"/>
      <c r="P20" s="1548"/>
      <c r="Q20" s="1539"/>
      <c r="R20" s="1544"/>
      <c r="S20" s="1545"/>
      <c r="T20" s="727" t="s">
        <v>179</v>
      </c>
      <c r="U20" s="1545"/>
      <c r="V20" s="1545"/>
      <c r="W20" s="1545"/>
      <c r="X20" s="1549"/>
      <c r="Y20" s="1549"/>
      <c r="Z20" s="1545"/>
      <c r="AA20" s="1545"/>
      <c r="AB20" s="1548"/>
      <c r="AC20" s="1539"/>
      <c r="AD20" s="2070" t="s">
        <v>138</v>
      </c>
      <c r="AE20" s="2071"/>
      <c r="AF20" s="2071"/>
      <c r="AG20" s="2071"/>
      <c r="AH20" s="2072"/>
      <c r="AI20" s="725"/>
      <c r="AJ20" s="2073" t="s">
        <v>124</v>
      </c>
      <c r="AK20" s="2056"/>
      <c r="AL20" s="2056"/>
      <c r="AM20" s="2056"/>
      <c r="AN20" s="2074"/>
      <c r="AO20" s="1560"/>
      <c r="AP20" s="379" t="s">
        <v>178</v>
      </c>
      <c r="AQ20" s="726"/>
      <c r="AR20" s="2075" t="s">
        <v>139</v>
      </c>
      <c r="AS20" s="2076"/>
      <c r="AT20" s="2077"/>
      <c r="AU20" s="1540"/>
      <c r="AV20" s="1545"/>
      <c r="AW20" s="1545"/>
      <c r="AX20" s="1545"/>
      <c r="AY20" s="1545"/>
      <c r="AZ20" s="728" t="s">
        <v>175</v>
      </c>
      <c r="BA20" s="728"/>
      <c r="BB20" s="1549"/>
      <c r="BC20" s="1549"/>
      <c r="BD20" s="1545"/>
      <c r="BE20" s="1545"/>
      <c r="BF20" s="1548"/>
      <c r="BG20" s="471"/>
    </row>
    <row r="21" spans="4:63" ht="100" customHeight="1" x14ac:dyDescent="1">
      <c r="E21" s="466"/>
      <c r="F21" s="508"/>
      <c r="G21" s="386"/>
      <c r="H21" s="1549">
        <v>2700</v>
      </c>
      <c r="I21" s="1549"/>
      <c r="J21" s="386"/>
      <c r="K21" s="386"/>
      <c r="L21" s="386"/>
      <c r="M21" s="386"/>
      <c r="N21" s="728" t="s">
        <v>127</v>
      </c>
      <c r="O21" s="728"/>
      <c r="P21" s="505"/>
      <c r="Q21" s="465"/>
      <c r="R21" s="508"/>
      <c r="S21" s="386"/>
      <c r="T21" s="1549">
        <v>2700</v>
      </c>
      <c r="U21" s="386"/>
      <c r="V21" s="386"/>
      <c r="W21" s="386"/>
      <c r="X21" s="1549"/>
      <c r="Y21" s="1549"/>
      <c r="Z21" s="386"/>
      <c r="AA21" s="386"/>
      <c r="AB21" s="505"/>
      <c r="AC21" s="465"/>
      <c r="AD21" s="719"/>
      <c r="AE21" s="720"/>
      <c r="AF21" s="736">
        <v>400</v>
      </c>
      <c r="AG21" s="737"/>
      <c r="AH21" s="721"/>
      <c r="AI21" s="704"/>
      <c r="AJ21" s="388"/>
      <c r="AK21" s="388"/>
      <c r="AL21" s="388"/>
      <c r="AM21" s="388"/>
      <c r="AN21" s="388"/>
      <c r="AO21" s="388"/>
      <c r="AP21" s="379" t="s">
        <v>127</v>
      </c>
      <c r="AQ21" s="726"/>
      <c r="AR21" s="738">
        <v>300</v>
      </c>
      <c r="AS21" s="739"/>
      <c r="AT21" s="740"/>
      <c r="AU21" s="1540"/>
      <c r="AV21" s="386"/>
      <c r="AW21" s="386"/>
      <c r="AX21" s="386"/>
      <c r="AY21" s="386"/>
      <c r="AZ21" s="728" t="s">
        <v>127</v>
      </c>
      <c r="BA21" s="728"/>
      <c r="BB21" s="741"/>
      <c r="BC21" s="741"/>
      <c r="BD21" s="1545"/>
      <c r="BE21" s="1545"/>
      <c r="BF21" s="505"/>
      <c r="BG21" s="471"/>
    </row>
    <row r="22" spans="4:63" ht="100" customHeight="1" x14ac:dyDescent="1">
      <c r="E22" s="466"/>
      <c r="F22" s="508"/>
      <c r="G22" s="386"/>
      <c r="H22" s="386"/>
      <c r="I22" s="386"/>
      <c r="J22" s="386"/>
      <c r="K22" s="386"/>
      <c r="L22" s="386"/>
      <c r="M22" s="386"/>
      <c r="N22" s="392"/>
      <c r="O22" s="392"/>
      <c r="P22" s="505"/>
      <c r="Q22" s="465"/>
      <c r="R22" s="508"/>
      <c r="S22" s="386"/>
      <c r="T22" s="386"/>
      <c r="U22" s="386"/>
      <c r="V22" s="386"/>
      <c r="W22" s="386"/>
      <c r="X22" s="386"/>
      <c r="Y22" s="386"/>
      <c r="Z22" s="386"/>
      <c r="AA22" s="386"/>
      <c r="AB22" s="505"/>
      <c r="AC22" s="465"/>
      <c r="AD22" s="719"/>
      <c r="AE22" s="720"/>
      <c r="AF22" s="720"/>
      <c r="AG22" s="720"/>
      <c r="AH22" s="721"/>
      <c r="AI22" s="704"/>
      <c r="AJ22" s="388"/>
      <c r="AK22" s="388"/>
      <c r="AL22" s="388"/>
      <c r="AM22" s="388"/>
      <c r="AN22" s="388"/>
      <c r="AO22" s="388"/>
      <c r="AP22" s="391"/>
      <c r="AQ22" s="712"/>
      <c r="AR22" s="722"/>
      <c r="AS22" s="723"/>
      <c r="AT22" s="724"/>
      <c r="AU22" s="469"/>
      <c r="AV22" s="386"/>
      <c r="AW22" s="386"/>
      <c r="AX22" s="386"/>
      <c r="AY22" s="386"/>
      <c r="AZ22" s="392"/>
      <c r="BA22" s="392"/>
      <c r="BB22" s="386"/>
      <c r="BC22" s="386"/>
      <c r="BD22" s="386"/>
      <c r="BE22" s="386"/>
      <c r="BF22" s="505"/>
      <c r="BG22" s="471"/>
    </row>
    <row r="23" spans="4:63" ht="100" customHeight="1" thickBot="1" x14ac:dyDescent="1.05">
      <c r="E23" s="742"/>
      <c r="F23" s="743"/>
      <c r="G23" s="500"/>
      <c r="H23" s="500"/>
      <c r="I23" s="500"/>
      <c r="J23" s="500"/>
      <c r="K23" s="500"/>
      <c r="L23" s="500"/>
      <c r="M23" s="500"/>
      <c r="N23" s="744"/>
      <c r="O23" s="744"/>
      <c r="P23" s="509"/>
      <c r="Q23" s="467"/>
      <c r="R23" s="743"/>
      <c r="S23" s="500"/>
      <c r="T23" s="500"/>
      <c r="U23" s="500"/>
      <c r="V23" s="500"/>
      <c r="W23" s="500"/>
      <c r="X23" s="500"/>
      <c r="Y23" s="500"/>
      <c r="Z23" s="500"/>
      <c r="AA23" s="500"/>
      <c r="AB23" s="509"/>
      <c r="AC23" s="467"/>
      <c r="AD23" s="745"/>
      <c r="AE23" s="746"/>
      <c r="AF23" s="746"/>
      <c r="AG23" s="746"/>
      <c r="AH23" s="747"/>
      <c r="AI23" s="748"/>
      <c r="AJ23" s="388"/>
      <c r="AK23" s="388"/>
      <c r="AL23" s="388"/>
      <c r="AM23" s="388"/>
      <c r="AN23" s="388"/>
      <c r="AO23" s="388"/>
      <c r="AP23" s="391"/>
      <c r="AQ23" s="749"/>
      <c r="AR23" s="750"/>
      <c r="AS23" s="751"/>
      <c r="AT23" s="752"/>
      <c r="AU23" s="469"/>
      <c r="AV23" s="386"/>
      <c r="AW23" s="386"/>
      <c r="AX23" s="386"/>
      <c r="AY23" s="386"/>
      <c r="AZ23" s="392"/>
      <c r="BA23" s="392"/>
      <c r="BB23" s="386"/>
      <c r="BC23" s="386"/>
      <c r="BD23" s="386"/>
      <c r="BE23" s="386"/>
      <c r="BF23" s="505"/>
      <c r="BG23" s="471"/>
    </row>
    <row r="24" spans="4:63" ht="8" customHeight="1" thickTop="1" thickBot="1" x14ac:dyDescent="1.05">
      <c r="E24" s="477"/>
      <c r="F24" s="476"/>
      <c r="G24" s="476"/>
      <c r="H24" s="476"/>
      <c r="I24" s="476"/>
      <c r="J24" s="476"/>
      <c r="K24" s="476"/>
      <c r="L24" s="476"/>
      <c r="M24" s="476"/>
      <c r="N24" s="476"/>
      <c r="O24" s="476"/>
      <c r="P24" s="476"/>
      <c r="Q24" s="478"/>
      <c r="R24" s="477"/>
      <c r="S24" s="476"/>
      <c r="T24" s="476"/>
      <c r="U24" s="476"/>
      <c r="V24" s="476"/>
      <c r="W24" s="476"/>
      <c r="X24" s="476"/>
      <c r="Y24" s="476"/>
      <c r="Z24" s="476"/>
      <c r="AA24" s="476"/>
      <c r="AB24" s="476"/>
      <c r="AC24" s="476"/>
      <c r="AD24" s="753"/>
      <c r="AE24" s="754"/>
      <c r="AF24" s="754"/>
      <c r="AG24" s="754"/>
      <c r="AH24" s="754"/>
      <c r="AI24" s="755"/>
      <c r="AJ24" s="388"/>
      <c r="AK24" s="388"/>
      <c r="AL24" s="388"/>
      <c r="AM24" s="388"/>
      <c r="AN24" s="388"/>
      <c r="AO24" s="388"/>
      <c r="AP24" s="392"/>
      <c r="AQ24" s="753"/>
      <c r="AR24" s="754"/>
      <c r="AS24" s="754"/>
      <c r="AT24" s="755"/>
      <c r="AU24" s="469"/>
      <c r="AV24" s="386"/>
      <c r="AW24" s="386"/>
      <c r="AX24" s="386"/>
      <c r="AY24" s="386"/>
      <c r="AZ24" s="392"/>
      <c r="BA24" s="392"/>
      <c r="BB24" s="386"/>
      <c r="BC24" s="386"/>
      <c r="BD24" s="386"/>
      <c r="BE24" s="386"/>
      <c r="BF24" s="505"/>
      <c r="BG24" s="471"/>
    </row>
    <row r="25" spans="4:63" ht="100" customHeight="1" thickTop="1" x14ac:dyDescent="1">
      <c r="D25" s="756"/>
      <c r="E25" s="757"/>
      <c r="F25" s="2078" t="s">
        <v>168</v>
      </c>
      <c r="G25" s="2079"/>
      <c r="H25" s="2079"/>
      <c r="I25" s="2079"/>
      <c r="J25" s="2079"/>
      <c r="K25" s="2079"/>
      <c r="L25" s="2079"/>
      <c r="M25" s="2079"/>
      <c r="N25" s="2079"/>
      <c r="O25" s="2079"/>
      <c r="P25" s="2080"/>
      <c r="Q25" s="1538"/>
      <c r="R25" s="1990" t="s">
        <v>168</v>
      </c>
      <c r="S25" s="1990"/>
      <c r="T25" s="1990"/>
      <c r="U25" s="1990"/>
      <c r="V25" s="1990"/>
      <c r="W25" s="1990"/>
      <c r="X25" s="1990"/>
      <c r="Y25" s="1990"/>
      <c r="Z25" s="1990"/>
      <c r="AA25" s="1990"/>
      <c r="AB25" s="2084"/>
      <c r="AC25" s="1538"/>
      <c r="AD25" s="2064" t="s">
        <v>169</v>
      </c>
      <c r="AE25" s="2064"/>
      <c r="AF25" s="2064"/>
      <c r="AG25" s="2064"/>
      <c r="AH25" s="2064"/>
      <c r="AI25" s="2064"/>
      <c r="AJ25" s="2085" t="s">
        <v>186</v>
      </c>
      <c r="AK25" s="2085"/>
      <c r="AL25" s="2085"/>
      <c r="AM25" s="2085"/>
      <c r="AN25" s="2085"/>
      <c r="AO25" s="2085"/>
      <c r="AP25" s="2085"/>
      <c r="AQ25" s="1990" t="s">
        <v>170</v>
      </c>
      <c r="AR25" s="1990"/>
      <c r="AS25" s="1990"/>
      <c r="AT25" s="1990"/>
      <c r="AU25" s="758"/>
      <c r="AV25" s="2053" t="s">
        <v>133</v>
      </c>
      <c r="AW25" s="2054"/>
      <c r="AX25" s="2054"/>
      <c r="AY25" s="2054"/>
      <c r="AZ25" s="2054"/>
      <c r="BA25" s="2054"/>
      <c r="BB25" s="2054"/>
      <c r="BC25" s="2054"/>
      <c r="BD25" s="2054"/>
      <c r="BE25" s="2054"/>
      <c r="BF25" s="2055"/>
      <c r="BG25" s="471"/>
    </row>
    <row r="26" spans="4:63" ht="100" customHeight="1" thickBot="1" x14ac:dyDescent="1.05">
      <c r="D26" s="756"/>
      <c r="E26" s="759"/>
      <c r="F26" s="2081"/>
      <c r="G26" s="2082"/>
      <c r="H26" s="2082"/>
      <c r="I26" s="2082"/>
      <c r="J26" s="2082"/>
      <c r="K26" s="2082"/>
      <c r="L26" s="2082"/>
      <c r="M26" s="2082"/>
      <c r="N26" s="2082"/>
      <c r="O26" s="2082"/>
      <c r="P26" s="2083"/>
      <c r="Q26" s="1538"/>
      <c r="R26" s="2082"/>
      <c r="S26" s="2082"/>
      <c r="T26" s="2082"/>
      <c r="U26" s="2082"/>
      <c r="V26" s="2082"/>
      <c r="W26" s="2082"/>
      <c r="X26" s="2082"/>
      <c r="Y26" s="2082"/>
      <c r="Z26" s="2082"/>
      <c r="AA26" s="2082"/>
      <c r="AB26" s="2083"/>
      <c r="AC26" s="1538"/>
      <c r="AD26" s="2082"/>
      <c r="AE26" s="2082"/>
      <c r="AF26" s="2082"/>
      <c r="AG26" s="2082"/>
      <c r="AH26" s="2082"/>
      <c r="AI26" s="2082"/>
      <c r="AJ26" s="2066"/>
      <c r="AK26" s="2066"/>
      <c r="AL26" s="2066"/>
      <c r="AM26" s="2066"/>
      <c r="AN26" s="2066"/>
      <c r="AO26" s="2066"/>
      <c r="AP26" s="2066"/>
      <c r="AQ26" s="1990"/>
      <c r="AR26" s="1990"/>
      <c r="AS26" s="1990"/>
      <c r="AT26" s="1990"/>
      <c r="AU26" s="758"/>
      <c r="AV26" s="2053"/>
      <c r="AW26" s="2054"/>
      <c r="AX26" s="2054"/>
      <c r="AY26" s="2054"/>
      <c r="AZ26" s="2054"/>
      <c r="BA26" s="2054"/>
      <c r="BB26" s="2054"/>
      <c r="BC26" s="2054"/>
      <c r="BD26" s="2054"/>
      <c r="BE26" s="2054"/>
      <c r="BF26" s="2055"/>
      <c r="BG26" s="471"/>
    </row>
    <row r="27" spans="4:63" ht="8" customHeight="1" thickTop="1" thickBot="1" x14ac:dyDescent="1.05">
      <c r="E27" s="698"/>
      <c r="F27" s="760"/>
      <c r="G27" s="761"/>
      <c r="H27" s="761"/>
      <c r="I27" s="761"/>
      <c r="J27" s="761"/>
      <c r="K27" s="761"/>
      <c r="L27" s="761"/>
      <c r="M27" s="761"/>
      <c r="N27" s="761"/>
      <c r="O27" s="761"/>
      <c r="P27" s="761"/>
      <c r="Q27" s="762"/>
      <c r="R27" s="761"/>
      <c r="S27" s="761"/>
      <c r="T27" s="761"/>
      <c r="U27" s="761"/>
      <c r="V27" s="761"/>
      <c r="W27" s="761"/>
      <c r="X27" s="761"/>
      <c r="Y27" s="761"/>
      <c r="Z27" s="761"/>
      <c r="AA27" s="761"/>
      <c r="AB27" s="761"/>
      <c r="AC27" s="763"/>
      <c r="AD27" s="764"/>
      <c r="AE27" s="761"/>
      <c r="AF27" s="761"/>
      <c r="AG27" s="761"/>
      <c r="AH27" s="761"/>
      <c r="AI27" s="762"/>
      <c r="AJ27" s="761"/>
      <c r="AK27" s="761"/>
      <c r="AL27" s="761"/>
      <c r="AM27" s="761"/>
      <c r="AN27" s="761"/>
      <c r="AO27" s="761"/>
      <c r="AP27" s="765"/>
      <c r="AQ27" s="766"/>
      <c r="AR27" s="765"/>
      <c r="AS27" s="767"/>
      <c r="AT27" s="768"/>
      <c r="AU27" s="758"/>
      <c r="AV27" s="2053"/>
      <c r="AW27" s="2054"/>
      <c r="AX27" s="2054"/>
      <c r="AY27" s="2054"/>
      <c r="AZ27" s="2054"/>
      <c r="BA27" s="2054"/>
      <c r="BB27" s="2054"/>
      <c r="BC27" s="2054"/>
      <c r="BD27" s="2054"/>
      <c r="BE27" s="2054"/>
      <c r="BF27" s="2055"/>
      <c r="BG27" s="471"/>
      <c r="BI27" s="961"/>
      <c r="BJ27" s="961"/>
      <c r="BK27" s="695"/>
    </row>
    <row r="28" spans="4:63" ht="100" customHeight="1" thickTop="1" x14ac:dyDescent="1">
      <c r="E28" s="466"/>
      <c r="F28" s="504"/>
      <c r="G28" s="716"/>
      <c r="H28" s="716"/>
      <c r="I28" s="716"/>
      <c r="J28" s="716"/>
      <c r="K28" s="716"/>
      <c r="L28" s="716"/>
      <c r="M28" s="716"/>
      <c r="N28" s="716"/>
      <c r="O28" s="716"/>
      <c r="P28" s="718"/>
      <c r="Q28" s="769"/>
      <c r="R28" s="504"/>
      <c r="S28" s="716"/>
      <c r="T28" s="716"/>
      <c r="U28" s="716"/>
      <c r="V28" s="716"/>
      <c r="W28" s="716"/>
      <c r="X28" s="716"/>
      <c r="Y28" s="716"/>
      <c r="Z28" s="716"/>
      <c r="AA28" s="716"/>
      <c r="AB28" s="718"/>
      <c r="AC28" s="702"/>
      <c r="AD28" s="716"/>
      <c r="AE28" s="716"/>
      <c r="AF28" s="716"/>
      <c r="AG28" s="716"/>
      <c r="AH28" s="716"/>
      <c r="AI28" s="716"/>
      <c r="AJ28" s="716"/>
      <c r="AK28" s="716"/>
      <c r="AL28" s="716"/>
      <c r="AM28" s="716"/>
      <c r="AN28" s="718"/>
      <c r="AO28" s="465"/>
      <c r="AP28" s="709"/>
      <c r="AQ28" s="710"/>
      <c r="AR28" s="710"/>
      <c r="AS28" s="710"/>
      <c r="AT28" s="711"/>
      <c r="AU28" s="465"/>
      <c r="AV28" s="508"/>
      <c r="AW28" s="386"/>
      <c r="AX28" s="386"/>
      <c r="AY28" s="386"/>
      <c r="AZ28" s="386"/>
      <c r="BA28" s="386"/>
      <c r="BB28" s="386"/>
      <c r="BC28" s="386"/>
      <c r="BD28" s="386"/>
      <c r="BE28" s="386"/>
      <c r="BF28" s="505"/>
      <c r="BG28" s="471"/>
    </row>
    <row r="29" spans="4:63" ht="100" customHeight="1" x14ac:dyDescent="1">
      <c r="E29" s="466"/>
      <c r="F29" s="508"/>
      <c r="G29" s="386"/>
      <c r="H29" s="386"/>
      <c r="I29" s="386"/>
      <c r="J29" s="386"/>
      <c r="K29" s="386"/>
      <c r="L29" s="386"/>
      <c r="M29" s="386"/>
      <c r="N29" s="598"/>
      <c r="O29" s="598"/>
      <c r="P29" s="770"/>
      <c r="Q29" s="771"/>
      <c r="R29" s="508"/>
      <c r="S29" s="386"/>
      <c r="T29" s="386"/>
      <c r="U29" s="386"/>
      <c r="V29" s="386"/>
      <c r="W29" s="386"/>
      <c r="X29" s="386"/>
      <c r="Y29" s="386"/>
      <c r="Z29" s="772"/>
      <c r="AA29" s="772"/>
      <c r="AB29" s="773"/>
      <c r="AC29" s="774"/>
      <c r="AD29" s="386"/>
      <c r="AE29" s="386"/>
      <c r="AF29" s="386"/>
      <c r="AG29" s="386"/>
      <c r="AH29" s="386"/>
      <c r="AI29" s="386"/>
      <c r="AJ29" s="386"/>
      <c r="AK29" s="386"/>
      <c r="AL29" s="386"/>
      <c r="AM29" s="386"/>
      <c r="AN29" s="505"/>
      <c r="AO29" s="466"/>
      <c r="AP29" s="719"/>
      <c r="AQ29" s="720"/>
      <c r="AR29" s="720"/>
      <c r="AS29" s="720"/>
      <c r="AT29" s="721"/>
      <c r="AU29" s="465"/>
      <c r="AV29" s="508"/>
      <c r="AW29" s="386"/>
      <c r="AX29" s="386"/>
      <c r="AY29" s="386"/>
      <c r="AZ29" s="741"/>
      <c r="BA29" s="741"/>
      <c r="BB29" s="386"/>
      <c r="BC29" s="386"/>
      <c r="BD29" s="386"/>
      <c r="BE29" s="386"/>
      <c r="BF29" s="505"/>
      <c r="BG29" s="471"/>
    </row>
    <row r="30" spans="4:63" ht="100" customHeight="1" x14ac:dyDescent="1">
      <c r="E30" s="466"/>
      <c r="F30" s="1544"/>
      <c r="G30" s="1545"/>
      <c r="H30" s="1545"/>
      <c r="I30" s="1545"/>
      <c r="J30" s="386"/>
      <c r="K30" s="386"/>
      <c r="L30" s="386"/>
      <c r="M30" s="386"/>
      <c r="N30" s="598"/>
      <c r="O30" s="598"/>
      <c r="P30" s="770"/>
      <c r="Q30" s="771"/>
      <c r="R30" s="508"/>
      <c r="S30" s="386"/>
      <c r="T30" s="386"/>
      <c r="U30" s="386"/>
      <c r="V30" s="386"/>
      <c r="W30" s="386"/>
      <c r="X30" s="386"/>
      <c r="Y30" s="386"/>
      <c r="Z30" s="772"/>
      <c r="AA30" s="772"/>
      <c r="AB30" s="773"/>
      <c r="AC30" s="774"/>
      <c r="AD30" s="386"/>
      <c r="AE30" s="386"/>
      <c r="AF30" s="386"/>
      <c r="AG30" s="386"/>
      <c r="AH30" s="386"/>
      <c r="AI30" s="386"/>
      <c r="AJ30" s="386"/>
      <c r="AK30" s="386"/>
      <c r="AL30" s="386"/>
      <c r="AM30" s="386"/>
      <c r="AN30" s="505"/>
      <c r="AO30" s="466"/>
      <c r="AP30" s="719"/>
      <c r="AQ30" s="720"/>
      <c r="AR30" s="720"/>
      <c r="AS30" s="720"/>
      <c r="AT30" s="721"/>
      <c r="AU30" s="465"/>
      <c r="AV30" s="508"/>
      <c r="AW30" s="386"/>
      <c r="AX30" s="386"/>
      <c r="AY30" s="386"/>
      <c r="AZ30" s="1867"/>
      <c r="BA30" s="1867"/>
      <c r="BB30" s="1867"/>
      <c r="BC30" s="1867"/>
      <c r="BD30" s="1867"/>
      <c r="BE30" s="1867"/>
      <c r="BF30" s="1983"/>
      <c r="BG30" s="471"/>
      <c r="BJ30" s="961"/>
    </row>
    <row r="31" spans="4:63" ht="100" customHeight="1" x14ac:dyDescent="1">
      <c r="E31" s="466"/>
      <c r="F31" s="508"/>
      <c r="G31" s="386"/>
      <c r="H31" s="727" t="s">
        <v>179</v>
      </c>
      <c r="I31" s="727"/>
      <c r="J31" s="1549"/>
      <c r="K31" s="1549"/>
      <c r="L31" s="386"/>
      <c r="M31" s="386"/>
      <c r="N31" s="386"/>
      <c r="O31" s="386"/>
      <c r="P31" s="1543"/>
      <c r="Q31" s="775"/>
      <c r="R31" s="1541"/>
      <c r="S31" s="1542"/>
      <c r="T31" s="727" t="s">
        <v>179</v>
      </c>
      <c r="U31" s="1542"/>
      <c r="V31" s="1542"/>
      <c r="W31" s="1542"/>
      <c r="X31" s="1549"/>
      <c r="Y31" s="1549"/>
      <c r="Z31" s="598"/>
      <c r="AA31" s="598"/>
      <c r="AB31" s="770"/>
      <c r="AC31" s="776"/>
      <c r="AD31" s="1542"/>
      <c r="AE31" s="1542"/>
      <c r="AF31" s="727" t="s">
        <v>179</v>
      </c>
      <c r="AG31" s="1542"/>
      <c r="AH31" s="1545"/>
      <c r="AI31" s="1545"/>
      <c r="AJ31" s="1549"/>
      <c r="AK31" s="1549"/>
      <c r="AL31" s="1545"/>
      <c r="AM31" s="1545"/>
      <c r="AN31" s="1548"/>
      <c r="AO31" s="777"/>
      <c r="AP31" s="1566"/>
      <c r="AQ31" s="1567"/>
      <c r="AR31" s="1567" t="s">
        <v>138</v>
      </c>
      <c r="AS31" s="1567"/>
      <c r="AT31" s="1568"/>
      <c r="AU31" s="1539"/>
      <c r="AV31" s="778"/>
      <c r="AW31" s="579"/>
      <c r="AX31" s="727" t="s">
        <v>196</v>
      </c>
      <c r="AY31" s="727"/>
      <c r="AZ31" s="579"/>
      <c r="BA31" s="579"/>
      <c r="BB31" s="579"/>
      <c r="BC31" s="579"/>
      <c r="BD31" s="579"/>
      <c r="BE31" s="579"/>
      <c r="BF31" s="779"/>
      <c r="BG31" s="471"/>
      <c r="BH31" s="696"/>
      <c r="BI31" s="696"/>
      <c r="BJ31" s="696"/>
    </row>
    <row r="32" spans="4:63" ht="100" customHeight="1" x14ac:dyDescent="1">
      <c r="E32" s="466"/>
      <c r="F32" s="508"/>
      <c r="G32" s="386"/>
      <c r="H32" s="1549">
        <v>2700</v>
      </c>
      <c r="I32" s="1549"/>
      <c r="J32" s="780"/>
      <c r="K32" s="780"/>
      <c r="L32" s="780"/>
      <c r="M32" s="780"/>
      <c r="N32" s="780"/>
      <c r="O32" s="780"/>
      <c r="P32" s="1543"/>
      <c r="Q32" s="775"/>
      <c r="R32" s="781"/>
      <c r="S32" s="780"/>
      <c r="T32" s="1549">
        <v>2700</v>
      </c>
      <c r="U32" s="780"/>
      <c r="V32" s="780"/>
      <c r="W32" s="780"/>
      <c r="X32" s="780"/>
      <c r="Y32" s="780"/>
      <c r="Z32" s="782"/>
      <c r="AA32" s="782"/>
      <c r="AB32" s="773"/>
      <c r="AC32" s="774"/>
      <c r="AD32" s="780"/>
      <c r="AE32" s="780"/>
      <c r="AF32" s="1549">
        <v>2700</v>
      </c>
      <c r="AG32" s="780"/>
      <c r="AH32" s="1549"/>
      <c r="AI32" s="1549"/>
      <c r="AJ32" s="1549"/>
      <c r="AK32" s="1549"/>
      <c r="AL32" s="1545"/>
      <c r="AM32" s="1545"/>
      <c r="AN32" s="1548"/>
      <c r="AO32" s="777"/>
      <c r="AP32" s="1566"/>
      <c r="AQ32" s="1567"/>
      <c r="AR32" s="736">
        <v>400</v>
      </c>
      <c r="AS32" s="736"/>
      <c r="AT32" s="783"/>
      <c r="AU32" s="784"/>
      <c r="AV32" s="785"/>
      <c r="AW32" s="786"/>
      <c r="AX32" s="786">
        <f>AF32+T32</f>
        <v>5400</v>
      </c>
      <c r="AY32" s="786"/>
      <c r="AZ32" s="786"/>
      <c r="BA32" s="786"/>
      <c r="BB32" s="786"/>
      <c r="BC32" s="786"/>
      <c r="BD32" s="786"/>
      <c r="BE32" s="786"/>
      <c r="BF32" s="787"/>
      <c r="BG32" s="471"/>
    </row>
    <row r="33" spans="3:62" ht="100" customHeight="1" x14ac:dyDescent="1">
      <c r="D33" s="475"/>
      <c r="E33" s="465"/>
      <c r="F33" s="508"/>
      <c r="G33" s="386"/>
      <c r="H33" s="386"/>
      <c r="I33" s="386"/>
      <c r="J33" s="386"/>
      <c r="K33" s="386"/>
      <c r="L33" s="386"/>
      <c r="M33" s="386"/>
      <c r="N33" s="598"/>
      <c r="O33" s="598"/>
      <c r="P33" s="770"/>
      <c r="Q33" s="771"/>
      <c r="R33" s="508"/>
      <c r="S33" s="386"/>
      <c r="T33" s="386"/>
      <c r="U33" s="386"/>
      <c r="V33" s="386"/>
      <c r="W33" s="386"/>
      <c r="X33" s="386"/>
      <c r="Y33" s="386"/>
      <c r="Z33" s="772"/>
      <c r="AA33" s="772"/>
      <c r="AB33" s="773"/>
      <c r="AC33" s="774"/>
      <c r="AD33" s="386"/>
      <c r="AE33" s="386"/>
      <c r="AF33" s="386"/>
      <c r="AG33" s="386"/>
      <c r="AH33" s="386"/>
      <c r="AI33" s="386"/>
      <c r="AJ33" s="386"/>
      <c r="AK33" s="386"/>
      <c r="AL33" s="386"/>
      <c r="AM33" s="386"/>
      <c r="AN33" s="505"/>
      <c r="AO33" s="466"/>
      <c r="AP33" s="719"/>
      <c r="AQ33" s="720"/>
      <c r="AR33" s="720"/>
      <c r="AS33" s="720"/>
      <c r="AT33" s="721"/>
      <c r="AU33" s="465"/>
      <c r="AV33" s="508"/>
      <c r="AW33" s="386"/>
      <c r="AX33" s="386"/>
      <c r="AY33" s="386"/>
      <c r="AZ33" s="386"/>
      <c r="BA33" s="386"/>
      <c r="BB33" s="386"/>
      <c r="BC33" s="386"/>
      <c r="BD33" s="386"/>
      <c r="BE33" s="386"/>
      <c r="BF33" s="505"/>
      <c r="BG33" s="471"/>
    </row>
    <row r="34" spans="3:62" ht="100" customHeight="1" thickBot="1" x14ac:dyDescent="1.05">
      <c r="D34" s="475"/>
      <c r="E34" s="467"/>
      <c r="F34" s="743"/>
      <c r="G34" s="500"/>
      <c r="H34" s="500"/>
      <c r="I34" s="500"/>
      <c r="J34" s="500"/>
      <c r="K34" s="500"/>
      <c r="L34" s="500"/>
      <c r="M34" s="500"/>
      <c r="N34" s="500"/>
      <c r="O34" s="500"/>
      <c r="P34" s="509"/>
      <c r="Q34" s="467"/>
      <c r="R34" s="743"/>
      <c r="S34" s="500"/>
      <c r="T34" s="500"/>
      <c r="U34" s="500"/>
      <c r="V34" s="500"/>
      <c r="W34" s="500"/>
      <c r="X34" s="500"/>
      <c r="Y34" s="500"/>
      <c r="Z34" s="500"/>
      <c r="AA34" s="500"/>
      <c r="AB34" s="509"/>
      <c r="AC34" s="788"/>
      <c r="AD34" s="386"/>
      <c r="AE34" s="386"/>
      <c r="AF34" s="386"/>
      <c r="AG34" s="500"/>
      <c r="AH34" s="500"/>
      <c r="AI34" s="500"/>
      <c r="AJ34" s="500"/>
      <c r="AK34" s="500"/>
      <c r="AL34" s="500"/>
      <c r="AM34" s="386"/>
      <c r="AN34" s="505"/>
      <c r="AO34" s="466"/>
      <c r="AP34" s="745"/>
      <c r="AQ34" s="746"/>
      <c r="AR34" s="746"/>
      <c r="AS34" s="746"/>
      <c r="AT34" s="747"/>
      <c r="AU34" s="465"/>
      <c r="AV34" s="508"/>
      <c r="AW34" s="386"/>
      <c r="AX34" s="386"/>
      <c r="AY34" s="386"/>
      <c r="AZ34" s="386"/>
      <c r="BA34" s="386"/>
      <c r="BB34" s="386"/>
      <c r="BC34" s="386"/>
      <c r="BD34" s="386"/>
      <c r="BE34" s="386"/>
      <c r="BF34" s="505"/>
      <c r="BG34" s="471"/>
    </row>
    <row r="35" spans="3:62" ht="8" customHeight="1" thickTop="1" thickBot="1" x14ac:dyDescent="1.05">
      <c r="D35" s="475"/>
      <c r="E35" s="471"/>
      <c r="F35" s="742"/>
      <c r="G35" s="467"/>
      <c r="H35" s="467"/>
      <c r="I35" s="467"/>
      <c r="J35" s="467"/>
      <c r="K35" s="467"/>
      <c r="L35" s="467"/>
      <c r="M35" s="467"/>
      <c r="N35" s="789"/>
      <c r="O35" s="467"/>
      <c r="P35" s="790"/>
      <c r="Q35" s="467"/>
      <c r="R35" s="742"/>
      <c r="S35" s="467"/>
      <c r="T35" s="467"/>
      <c r="U35" s="467"/>
      <c r="V35" s="467"/>
      <c r="W35" s="467"/>
      <c r="X35" s="789"/>
      <c r="Y35" s="467"/>
      <c r="Z35" s="791"/>
      <c r="AA35" s="467"/>
      <c r="AB35" s="788"/>
      <c r="AC35" s="467"/>
      <c r="AD35" s="477"/>
      <c r="AE35" s="476"/>
      <c r="AF35" s="476"/>
      <c r="AG35" s="467"/>
      <c r="AH35" s="789"/>
      <c r="AI35" s="467"/>
      <c r="AJ35" s="791"/>
      <c r="AK35" s="467"/>
      <c r="AL35" s="742"/>
      <c r="AM35" s="476"/>
      <c r="AN35" s="478"/>
      <c r="AO35" s="465"/>
      <c r="AP35" s="753"/>
      <c r="AQ35" s="754"/>
      <c r="AR35" s="754"/>
      <c r="AS35" s="753"/>
      <c r="AT35" s="755"/>
      <c r="AU35" s="467"/>
      <c r="AV35" s="476"/>
      <c r="AW35" s="476"/>
      <c r="AX35" s="701"/>
      <c r="AY35" s="701"/>
      <c r="AZ35" s="701"/>
      <c r="BA35" s="476"/>
      <c r="BB35" s="476"/>
      <c r="BC35" s="476"/>
      <c r="BD35" s="476"/>
      <c r="BE35" s="476"/>
      <c r="BF35" s="478"/>
      <c r="BG35" s="471"/>
    </row>
    <row r="36" spans="3:62" ht="100" customHeight="1" thickTop="1" x14ac:dyDescent="1">
      <c r="E36" s="792"/>
      <c r="AN36" s="408"/>
      <c r="AO36" s="792"/>
      <c r="BG36" s="792"/>
    </row>
    <row r="37" spans="3:62" s="1426" customFormat="1" ht="100" customHeight="1" x14ac:dyDescent="1.2">
      <c r="C37" s="1431"/>
      <c r="F37" s="1436" t="s">
        <v>146</v>
      </c>
      <c r="G37" s="1436"/>
      <c r="P37" s="1427" t="s">
        <v>134</v>
      </c>
      <c r="Q37" s="1427"/>
      <c r="R37" s="1438">
        <v>20000</v>
      </c>
      <c r="S37" s="1438"/>
      <c r="AF37" s="1422" t="s">
        <v>231</v>
      </c>
      <c r="AG37" s="1422"/>
      <c r="AH37" s="1427" t="s">
        <v>151</v>
      </c>
      <c r="AI37" s="1427"/>
      <c r="AJ37" s="1426" t="s">
        <v>245</v>
      </c>
    </row>
    <row r="38" spans="3:62" s="1426" customFormat="1" ht="100" customHeight="1" x14ac:dyDescent="1.2">
      <c r="C38" s="1431"/>
      <c r="F38" s="1436"/>
      <c r="G38" s="1436"/>
      <c r="P38" s="1427" t="s">
        <v>143</v>
      </c>
      <c r="Q38" s="1427"/>
      <c r="R38" s="1443">
        <f>H48++AT59+H59+X59</f>
        <v>17500</v>
      </c>
      <c r="S38" s="1443"/>
      <c r="V38" s="1576"/>
      <c r="W38" s="1576"/>
      <c r="X38" s="1576"/>
      <c r="Y38" s="1576"/>
      <c r="Z38" s="1576"/>
      <c r="AA38" s="1576"/>
      <c r="AB38" s="1576"/>
      <c r="AC38" s="1576"/>
      <c r="AH38" s="1427" t="s">
        <v>151</v>
      </c>
      <c r="AI38" s="1427"/>
      <c r="AJ38" s="1426" t="s">
        <v>246</v>
      </c>
    </row>
    <row r="39" spans="3:62" s="1426" customFormat="1" ht="100" customHeight="1" x14ac:dyDescent="1.2">
      <c r="C39" s="1431"/>
      <c r="F39" s="1436"/>
      <c r="G39" s="1436"/>
      <c r="N39" s="1429"/>
      <c r="O39" s="1429"/>
      <c r="P39" s="1441" t="s">
        <v>156</v>
      </c>
      <c r="Q39" s="1441"/>
      <c r="R39" s="1444">
        <f>R37-R38</f>
        <v>2500</v>
      </c>
      <c r="S39" s="1438"/>
      <c r="T39" s="1429" t="s">
        <v>33</v>
      </c>
      <c r="U39" s="1429"/>
      <c r="V39" s="1429"/>
      <c r="AI39" s="1429"/>
      <c r="AJ39" s="1429"/>
      <c r="AK39" s="1429"/>
      <c r="AL39" s="1429" t="s">
        <v>275</v>
      </c>
      <c r="AM39" s="1429"/>
      <c r="AN39" s="1429"/>
      <c r="AO39" s="1429"/>
      <c r="AP39" s="1429"/>
      <c r="AQ39" s="1429"/>
      <c r="AR39" s="1429"/>
      <c r="AS39" s="1429"/>
      <c r="AT39" s="1429"/>
      <c r="AU39" s="1429"/>
      <c r="AV39" s="1429"/>
      <c r="AW39" s="1429"/>
    </row>
    <row r="40" spans="3:62" s="1426" customFormat="1" ht="100" customHeight="1" x14ac:dyDescent="1.2">
      <c r="C40" s="1431"/>
      <c r="F40" s="1436"/>
      <c r="G40" s="1436"/>
      <c r="L40" s="1429"/>
      <c r="M40" s="1429"/>
      <c r="N40" s="1441"/>
      <c r="O40" s="1441"/>
      <c r="P40" s="1438"/>
      <c r="Q40" s="1438"/>
      <c r="R40" s="1429"/>
      <c r="S40" s="1429"/>
      <c r="T40" s="1429"/>
      <c r="AH40" s="1427" t="s">
        <v>151</v>
      </c>
      <c r="AI40" s="1429"/>
      <c r="AJ40" s="1429" t="s">
        <v>247</v>
      </c>
      <c r="AK40" s="1429"/>
      <c r="AL40" s="1429"/>
      <c r="AM40" s="1429"/>
      <c r="AN40" s="1429"/>
      <c r="AO40" s="1429"/>
      <c r="AP40" s="1429"/>
      <c r="AQ40" s="1429"/>
      <c r="AR40" s="1429"/>
      <c r="AS40" s="1429"/>
      <c r="AT40" s="1429"/>
      <c r="AU40" s="1429"/>
      <c r="AV40" s="1429"/>
      <c r="AW40" s="1429"/>
    </row>
    <row r="41" spans="3:62" s="1426" customFormat="1" ht="100" customHeight="1" x14ac:dyDescent="1.2">
      <c r="C41" s="1431"/>
      <c r="F41" s="1436"/>
      <c r="G41" s="1436"/>
      <c r="L41" s="1429"/>
      <c r="M41" s="1429"/>
      <c r="N41" s="1441"/>
      <c r="O41" s="1441"/>
      <c r="P41" s="1438"/>
      <c r="Q41" s="1438"/>
      <c r="R41" s="1429"/>
      <c r="S41" s="1429"/>
      <c r="T41" s="1429"/>
      <c r="AH41" s="1427"/>
      <c r="AI41" s="1429"/>
      <c r="AJ41" s="1429" t="s">
        <v>204</v>
      </c>
      <c r="AK41" s="1429"/>
      <c r="AL41" s="1429"/>
      <c r="AM41" s="1429"/>
      <c r="AN41" s="1429"/>
      <c r="AO41" s="1429"/>
      <c r="AP41" s="1429"/>
      <c r="AQ41" s="1429"/>
      <c r="AR41" s="1429"/>
      <c r="AS41" s="1429"/>
      <c r="AT41" s="1429"/>
      <c r="AU41" s="1429"/>
      <c r="AV41" s="1429"/>
      <c r="AW41" s="1429"/>
    </row>
    <row r="42" spans="3:62" ht="50" customHeight="1" thickBot="1" x14ac:dyDescent="1.05">
      <c r="E42" s="408"/>
      <c r="AJ42" s="793"/>
      <c r="AK42" s="793"/>
      <c r="AL42" s="793"/>
      <c r="AM42" s="793"/>
      <c r="AN42" s="793"/>
      <c r="AO42" s="793"/>
      <c r="AP42" s="793"/>
      <c r="AQ42" s="562"/>
      <c r="AR42" s="562"/>
      <c r="AS42" s="562"/>
      <c r="AT42" s="562"/>
      <c r="AU42" s="562"/>
      <c r="AV42" s="562"/>
      <c r="AW42" s="562"/>
      <c r="AX42" s="562"/>
      <c r="AY42" s="562"/>
      <c r="AZ42" s="562"/>
      <c r="BA42" s="562"/>
      <c r="BB42" s="562"/>
      <c r="BC42" s="562"/>
      <c r="BD42" s="562"/>
      <c r="BE42" s="562"/>
      <c r="BF42" s="562"/>
      <c r="BG42" s="408"/>
      <c r="BH42" s="961"/>
      <c r="BI42" s="961"/>
      <c r="BJ42" s="961"/>
    </row>
    <row r="43" spans="3:62" ht="8" customHeight="1" thickTop="1" thickBot="1" x14ac:dyDescent="1.05">
      <c r="D43" s="794"/>
      <c r="E43" s="511"/>
      <c r="F43" s="575"/>
      <c r="G43" s="561"/>
      <c r="H43" s="561"/>
      <c r="I43" s="561"/>
      <c r="J43" s="561"/>
      <c r="K43" s="561"/>
      <c r="L43" s="561"/>
      <c r="M43" s="561"/>
      <c r="N43" s="561"/>
      <c r="O43" s="561"/>
      <c r="P43" s="561"/>
      <c r="Q43" s="561"/>
      <c r="R43" s="561"/>
      <c r="S43" s="561"/>
      <c r="T43" s="576"/>
      <c r="U43" s="577"/>
      <c r="V43" s="754"/>
      <c r="W43" s="754"/>
      <c r="X43" s="754"/>
      <c r="Y43" s="754"/>
      <c r="Z43" s="754"/>
      <c r="AA43" s="754"/>
      <c r="AB43" s="754"/>
      <c r="AC43" s="754"/>
      <c r="AD43" s="754"/>
      <c r="AE43" s="754"/>
      <c r="AF43" s="754"/>
      <c r="AG43" s="754"/>
      <c r="AH43" s="755"/>
      <c r="AI43" s="795"/>
      <c r="AJ43" s="388"/>
      <c r="AK43" s="388"/>
      <c r="AL43" s="388"/>
      <c r="AM43" s="388"/>
      <c r="AN43" s="388"/>
      <c r="AO43" s="388"/>
      <c r="AP43" s="796"/>
      <c r="AQ43" s="547"/>
      <c r="AR43" s="514"/>
      <c r="AS43" s="514"/>
      <c r="AT43" s="514"/>
      <c r="AU43" s="514"/>
      <c r="AV43" s="547"/>
      <c r="AW43" s="547"/>
      <c r="AX43" s="547"/>
      <c r="AY43" s="547"/>
      <c r="AZ43" s="547"/>
      <c r="BA43" s="547"/>
      <c r="BB43" s="547"/>
      <c r="BC43" s="547"/>
      <c r="BD43" s="547"/>
      <c r="BE43" s="547"/>
      <c r="BF43" s="560"/>
      <c r="BG43" s="577"/>
      <c r="BH43" s="696"/>
      <c r="BI43" s="696"/>
      <c r="BJ43" s="696"/>
    </row>
    <row r="44" spans="3:62" ht="100" customHeight="1" thickTop="1" x14ac:dyDescent="1">
      <c r="D44" s="794"/>
      <c r="E44" s="547"/>
      <c r="F44" s="568"/>
      <c r="G44" s="386"/>
      <c r="H44" s="386"/>
      <c r="I44" s="386"/>
      <c r="J44" s="386"/>
      <c r="K44" s="386"/>
      <c r="L44" s="386"/>
      <c r="M44" s="386"/>
      <c r="N44" s="392"/>
      <c r="O44" s="392"/>
      <c r="P44" s="386"/>
      <c r="Q44" s="386"/>
      <c r="R44" s="386"/>
      <c r="S44" s="386"/>
      <c r="T44" s="546"/>
      <c r="U44" s="578"/>
      <c r="V44" s="797"/>
      <c r="W44" s="797"/>
      <c r="X44" s="797"/>
      <c r="Y44" s="797"/>
      <c r="Z44" s="797"/>
      <c r="AA44" s="797"/>
      <c r="AB44" s="797"/>
      <c r="AC44" s="797"/>
      <c r="AD44" s="797"/>
      <c r="AE44" s="797"/>
      <c r="AF44" s="797"/>
      <c r="AG44" s="797"/>
      <c r="AH44" s="720"/>
      <c r="AI44" s="798"/>
      <c r="AJ44" s="388"/>
      <c r="AK44" s="388"/>
      <c r="AL44" s="388"/>
      <c r="AM44" s="388"/>
      <c r="AN44" s="392"/>
      <c r="AO44" s="799"/>
      <c r="AP44" s="796"/>
      <c r="AQ44" s="547"/>
      <c r="AR44" s="563"/>
      <c r="AS44" s="564"/>
      <c r="AT44" s="564"/>
      <c r="AU44" s="564"/>
      <c r="AV44" s="564"/>
      <c r="AW44" s="564"/>
      <c r="AX44" s="564"/>
      <c r="AY44" s="564"/>
      <c r="AZ44" s="800"/>
      <c r="BA44" s="800"/>
      <c r="BB44" s="564"/>
      <c r="BC44" s="564"/>
      <c r="BD44" s="564"/>
      <c r="BE44" s="564"/>
      <c r="BF44" s="531"/>
      <c r="BG44" s="578"/>
    </row>
    <row r="45" spans="3:62" ht="100" customHeight="1" x14ac:dyDescent="1">
      <c r="D45" s="794"/>
      <c r="E45" s="514"/>
      <c r="F45" s="568"/>
      <c r="G45" s="386"/>
      <c r="H45" s="386"/>
      <c r="I45" s="386"/>
      <c r="J45" s="386"/>
      <c r="K45" s="386"/>
      <c r="L45" s="386"/>
      <c r="M45" s="386"/>
      <c r="N45" s="392"/>
      <c r="O45" s="392"/>
      <c r="P45" s="386"/>
      <c r="Q45" s="386"/>
      <c r="R45" s="386"/>
      <c r="S45" s="386"/>
      <c r="T45" s="546"/>
      <c r="U45" s="560"/>
      <c r="V45" s="797"/>
      <c r="W45" s="797"/>
      <c r="X45" s="797"/>
      <c r="Y45" s="797"/>
      <c r="Z45" s="797"/>
      <c r="AA45" s="797"/>
      <c r="AB45" s="797"/>
      <c r="AC45" s="797"/>
      <c r="AD45" s="797"/>
      <c r="AE45" s="797"/>
      <c r="AF45" s="797"/>
      <c r="AG45" s="797"/>
      <c r="AH45" s="720"/>
      <c r="AI45" s="798"/>
      <c r="AJ45" s="388"/>
      <c r="AK45" s="388"/>
      <c r="AL45" s="388"/>
      <c r="AM45" s="388"/>
      <c r="AN45" s="392"/>
      <c r="AO45" s="799"/>
      <c r="AP45" s="796"/>
      <c r="AQ45" s="547"/>
      <c r="AR45" s="568"/>
      <c r="AS45" s="386"/>
      <c r="AT45" s="386"/>
      <c r="AU45" s="386"/>
      <c r="AV45" s="386"/>
      <c r="AW45" s="386"/>
      <c r="AX45" s="386"/>
      <c r="AY45" s="386"/>
      <c r="AZ45" s="392"/>
      <c r="BA45" s="392"/>
      <c r="BB45" s="386"/>
      <c r="BC45" s="386"/>
      <c r="BD45" s="386"/>
      <c r="BE45" s="386"/>
      <c r="BF45" s="546"/>
      <c r="BG45" s="578"/>
    </row>
    <row r="46" spans="3:62" ht="100" customHeight="1" x14ac:dyDescent="1">
      <c r="D46" s="794"/>
      <c r="E46" s="514"/>
      <c r="F46" s="1551"/>
      <c r="G46" s="1545"/>
      <c r="H46" s="1545"/>
      <c r="I46" s="1545"/>
      <c r="J46" s="1545"/>
      <c r="K46" s="1545"/>
      <c r="L46" s="1545"/>
      <c r="M46" s="1545"/>
      <c r="N46" s="1560"/>
      <c r="O46" s="1560"/>
      <c r="P46" s="1545"/>
      <c r="Q46" s="1545"/>
      <c r="R46" s="1545"/>
      <c r="S46" s="1545"/>
      <c r="T46" s="1577"/>
      <c r="U46" s="588"/>
      <c r="V46" s="801"/>
      <c r="W46" s="801"/>
      <c r="X46" s="801"/>
      <c r="Y46" s="801"/>
      <c r="Z46" s="801"/>
      <c r="AA46" s="801"/>
      <c r="AB46" s="801"/>
      <c r="AC46" s="801"/>
      <c r="AD46" s="801"/>
      <c r="AE46" s="801"/>
      <c r="AF46" s="801"/>
      <c r="AG46" s="801"/>
      <c r="AH46" s="1567"/>
      <c r="AI46" s="802"/>
      <c r="AJ46" s="1569"/>
      <c r="AK46" s="1569"/>
      <c r="AL46" s="1569"/>
      <c r="AM46" s="1569"/>
      <c r="AN46" s="1560"/>
      <c r="AO46" s="803"/>
      <c r="AP46" s="804"/>
      <c r="AQ46" s="805"/>
      <c r="AR46" s="1551"/>
      <c r="AS46" s="1545"/>
      <c r="AT46" s="1545"/>
      <c r="AU46" s="1545"/>
      <c r="AV46" s="1545"/>
      <c r="AW46" s="1545"/>
      <c r="AX46" s="1545"/>
      <c r="AY46" s="1545"/>
      <c r="AZ46" s="1560"/>
      <c r="BA46" s="1560"/>
      <c r="BB46" s="1545"/>
      <c r="BC46" s="1545"/>
      <c r="BD46" s="1545"/>
      <c r="BE46" s="1545"/>
      <c r="BF46" s="546"/>
      <c r="BG46" s="578"/>
    </row>
    <row r="47" spans="3:62" ht="100" customHeight="1" x14ac:dyDescent="1">
      <c r="D47" s="794"/>
      <c r="E47" s="514"/>
      <c r="F47" s="1551"/>
      <c r="G47" s="1545"/>
      <c r="H47" s="727" t="s">
        <v>179</v>
      </c>
      <c r="I47" s="727"/>
      <c r="J47" s="1549"/>
      <c r="K47" s="1549"/>
      <c r="L47" s="1545"/>
      <c r="M47" s="1545"/>
      <c r="N47" s="728" t="s">
        <v>175</v>
      </c>
      <c r="O47" s="728"/>
      <c r="P47" s="1545"/>
      <c r="Q47" s="1545"/>
      <c r="R47" s="1545"/>
      <c r="S47" s="1545"/>
      <c r="T47" s="1577"/>
      <c r="U47" s="588"/>
      <c r="V47" s="801"/>
      <c r="W47" s="801"/>
      <c r="X47" s="806" t="s">
        <v>138</v>
      </c>
      <c r="Y47" s="806"/>
      <c r="Z47" s="806"/>
      <c r="AA47" s="806"/>
      <c r="AB47" s="806"/>
      <c r="AC47" s="806"/>
      <c r="AD47" s="806"/>
      <c r="AE47" s="806"/>
      <c r="AF47" s="806"/>
      <c r="AG47" s="801"/>
      <c r="AH47" s="1567"/>
      <c r="AI47" s="802"/>
      <c r="AJ47" s="2056" t="s">
        <v>124</v>
      </c>
      <c r="AK47" s="2056"/>
      <c r="AL47" s="2056"/>
      <c r="AM47" s="2056"/>
      <c r="AN47" s="2056"/>
      <c r="AO47" s="803"/>
      <c r="AP47" s="804" t="s">
        <v>178</v>
      </c>
      <c r="AQ47" s="805"/>
      <c r="AR47" s="1551"/>
      <c r="AS47" s="1545"/>
      <c r="AT47" s="1545"/>
      <c r="AU47" s="1545"/>
      <c r="AV47" s="1545"/>
      <c r="AW47" s="1545"/>
      <c r="AX47" s="1545"/>
      <c r="AY47" s="1545"/>
      <c r="AZ47" s="728" t="s">
        <v>175</v>
      </c>
      <c r="BA47" s="728"/>
      <c r="BB47" s="1549"/>
      <c r="BC47" s="1549"/>
      <c r="BD47" s="1545"/>
      <c r="BE47" s="1545"/>
      <c r="BF47" s="1577"/>
      <c r="BG47" s="578"/>
    </row>
    <row r="48" spans="3:62" ht="100" customHeight="1" x14ac:dyDescent="1">
      <c r="D48" s="794"/>
      <c r="E48" s="514"/>
      <c r="F48" s="568"/>
      <c r="G48" s="386"/>
      <c r="H48" s="1549">
        <v>3500</v>
      </c>
      <c r="I48" s="1549"/>
      <c r="J48" s="386"/>
      <c r="K48" s="386"/>
      <c r="L48" s="386"/>
      <c r="M48" s="386"/>
      <c r="N48" s="728" t="s">
        <v>127</v>
      </c>
      <c r="O48" s="728"/>
      <c r="P48" s="386"/>
      <c r="Q48" s="386"/>
      <c r="R48" s="386"/>
      <c r="S48" s="386"/>
      <c r="T48" s="546"/>
      <c r="U48" s="560"/>
      <c r="V48" s="797"/>
      <c r="W48" s="797"/>
      <c r="X48" s="807">
        <v>2100</v>
      </c>
      <c r="Y48" s="808"/>
      <c r="Z48" s="809"/>
      <c r="AA48" s="809"/>
      <c r="AB48" s="809"/>
      <c r="AC48" s="809"/>
      <c r="AD48" s="809"/>
      <c r="AE48" s="809"/>
      <c r="AF48" s="809"/>
      <c r="AG48" s="810"/>
      <c r="AH48" s="720"/>
      <c r="AI48" s="798"/>
      <c r="AJ48" s="388"/>
      <c r="AK48" s="388"/>
      <c r="AL48" s="392"/>
      <c r="AM48" s="392"/>
      <c r="AN48" s="392"/>
      <c r="AO48" s="799"/>
      <c r="AP48" s="804" t="s">
        <v>127</v>
      </c>
      <c r="AQ48" s="805"/>
      <c r="AR48" s="568"/>
      <c r="AS48" s="386"/>
      <c r="AT48" s="386"/>
      <c r="AU48" s="386"/>
      <c r="AV48" s="386"/>
      <c r="AW48" s="386"/>
      <c r="AX48" s="386"/>
      <c r="AY48" s="386"/>
      <c r="AZ48" s="728" t="s">
        <v>127</v>
      </c>
      <c r="BA48" s="728"/>
      <c r="BB48" s="1549"/>
      <c r="BC48" s="1549"/>
      <c r="BD48" s="386"/>
      <c r="BE48" s="386"/>
      <c r="BF48" s="546"/>
      <c r="BG48" s="578"/>
    </row>
    <row r="49" spans="3:62" ht="100" customHeight="1" x14ac:dyDescent="1">
      <c r="D49" s="794"/>
      <c r="E49" s="514"/>
      <c r="F49" s="568"/>
      <c r="G49" s="386"/>
      <c r="H49" s="386"/>
      <c r="I49" s="386"/>
      <c r="J49" s="386"/>
      <c r="K49" s="386"/>
      <c r="L49" s="386"/>
      <c r="M49" s="386"/>
      <c r="N49" s="392"/>
      <c r="O49" s="392"/>
      <c r="P49" s="386"/>
      <c r="Q49" s="386"/>
      <c r="R49" s="386"/>
      <c r="S49" s="386"/>
      <c r="T49" s="546"/>
      <c r="U49" s="560"/>
      <c r="V49" s="797"/>
      <c r="W49" s="797"/>
      <c r="X49" s="797"/>
      <c r="Y49" s="797"/>
      <c r="Z49" s="797"/>
      <c r="AA49" s="797"/>
      <c r="AB49" s="797"/>
      <c r="AC49" s="797"/>
      <c r="AD49" s="797"/>
      <c r="AE49" s="797"/>
      <c r="AF49" s="797"/>
      <c r="AG49" s="797"/>
      <c r="AH49" s="720"/>
      <c r="AI49" s="798"/>
      <c r="AJ49" s="388"/>
      <c r="AK49" s="388"/>
      <c r="AL49" s="388"/>
      <c r="AM49" s="388"/>
      <c r="AN49" s="392"/>
      <c r="AO49" s="799"/>
      <c r="AP49" s="796"/>
      <c r="AQ49" s="547"/>
      <c r="AR49" s="568"/>
      <c r="AS49" s="386"/>
      <c r="AT49" s="386"/>
      <c r="AU49" s="386"/>
      <c r="AV49" s="386"/>
      <c r="AW49" s="386"/>
      <c r="AX49" s="386"/>
      <c r="AY49" s="386"/>
      <c r="AZ49" s="392"/>
      <c r="BA49" s="392"/>
      <c r="BB49" s="386"/>
      <c r="BC49" s="386"/>
      <c r="BD49" s="386"/>
      <c r="BE49" s="386"/>
      <c r="BF49" s="546"/>
      <c r="BG49" s="578"/>
    </row>
    <row r="50" spans="3:62" ht="100" customHeight="1" thickBot="1" x14ac:dyDescent="1.05">
      <c r="D50" s="794"/>
      <c r="E50" s="514"/>
      <c r="F50" s="569"/>
      <c r="G50" s="570"/>
      <c r="H50" s="570"/>
      <c r="I50" s="570"/>
      <c r="J50" s="570"/>
      <c r="K50" s="570"/>
      <c r="L50" s="570"/>
      <c r="M50" s="570"/>
      <c r="N50" s="811"/>
      <c r="O50" s="811"/>
      <c r="P50" s="570"/>
      <c r="Q50" s="570"/>
      <c r="R50" s="570"/>
      <c r="S50" s="570"/>
      <c r="T50" s="626"/>
      <c r="U50" s="560"/>
      <c r="V50" s="746"/>
      <c r="W50" s="746"/>
      <c r="X50" s="746"/>
      <c r="Y50" s="746"/>
      <c r="Z50" s="746"/>
      <c r="AA50" s="746"/>
      <c r="AB50" s="746"/>
      <c r="AC50" s="746"/>
      <c r="AD50" s="746"/>
      <c r="AE50" s="746"/>
      <c r="AF50" s="746"/>
      <c r="AG50" s="746"/>
      <c r="AH50" s="746"/>
      <c r="AI50" s="798"/>
      <c r="AJ50" s="388"/>
      <c r="AK50" s="388"/>
      <c r="AL50" s="388"/>
      <c r="AM50" s="388"/>
      <c r="AN50" s="392"/>
      <c r="AO50" s="799"/>
      <c r="AP50" s="392"/>
      <c r="AQ50" s="578"/>
      <c r="AR50" s="568"/>
      <c r="AS50" s="386"/>
      <c r="AT50" s="386"/>
      <c r="AU50" s="386"/>
      <c r="AV50" s="386"/>
      <c r="AW50" s="386"/>
      <c r="AX50" s="386"/>
      <c r="AY50" s="386"/>
      <c r="AZ50" s="392"/>
      <c r="BA50" s="392"/>
      <c r="BB50" s="386"/>
      <c r="BC50" s="386"/>
      <c r="BD50" s="386"/>
      <c r="BE50" s="386"/>
      <c r="BF50" s="546"/>
      <c r="BG50" s="578"/>
    </row>
    <row r="51" spans="3:62" ht="8" customHeight="1" thickTop="1" thickBot="1" x14ac:dyDescent="1.05">
      <c r="D51" s="794"/>
      <c r="E51" s="519"/>
      <c r="F51" s="519"/>
      <c r="G51" s="519"/>
      <c r="H51" s="519"/>
      <c r="I51" s="519"/>
      <c r="J51" s="519"/>
      <c r="K51" s="519"/>
      <c r="L51" s="519"/>
      <c r="M51" s="519"/>
      <c r="N51" s="519"/>
      <c r="O51" s="519"/>
      <c r="P51" s="519"/>
      <c r="Q51" s="519"/>
      <c r="R51" s="519"/>
      <c r="S51" s="519"/>
      <c r="T51" s="519"/>
      <c r="U51" s="520"/>
      <c r="V51" s="754"/>
      <c r="W51" s="754"/>
      <c r="X51" s="754"/>
      <c r="Y51" s="754"/>
      <c r="Z51" s="754"/>
      <c r="AA51" s="754"/>
      <c r="AB51" s="754"/>
      <c r="AC51" s="754"/>
      <c r="AD51" s="754"/>
      <c r="AE51" s="754"/>
      <c r="AF51" s="754"/>
      <c r="AG51" s="754"/>
      <c r="AH51" s="755"/>
      <c r="AI51" s="812"/>
      <c r="AJ51" s="813"/>
      <c r="AK51" s="814"/>
      <c r="AL51" s="814"/>
      <c r="AM51" s="814"/>
      <c r="AN51" s="814"/>
      <c r="AO51" s="814"/>
      <c r="AP51" s="815"/>
      <c r="AQ51" s="623"/>
      <c r="AR51" s="568"/>
      <c r="AS51" s="386"/>
      <c r="AT51" s="386"/>
      <c r="AU51" s="386"/>
      <c r="AV51" s="386"/>
      <c r="AW51" s="386"/>
      <c r="AX51" s="386"/>
      <c r="AY51" s="386"/>
      <c r="AZ51" s="392"/>
      <c r="BA51" s="392"/>
      <c r="BB51" s="386"/>
      <c r="BC51" s="386"/>
      <c r="BD51" s="386"/>
      <c r="BE51" s="386"/>
      <c r="BF51" s="546"/>
      <c r="BG51" s="578"/>
    </row>
    <row r="52" spans="3:62" ht="100" customHeight="1" thickTop="1" x14ac:dyDescent="1">
      <c r="D52" s="408"/>
      <c r="E52" s="816"/>
      <c r="F52" s="2057" t="s">
        <v>168</v>
      </c>
      <c r="G52" s="2058"/>
      <c r="H52" s="2058"/>
      <c r="I52" s="2058"/>
      <c r="J52" s="2058"/>
      <c r="K52" s="2058"/>
      <c r="L52" s="2058"/>
      <c r="M52" s="2058"/>
      <c r="N52" s="2058"/>
      <c r="O52" s="2058"/>
      <c r="P52" s="2058"/>
      <c r="Q52" s="2058"/>
      <c r="R52" s="2058"/>
      <c r="S52" s="2058"/>
      <c r="T52" s="2059"/>
      <c r="U52" s="817"/>
      <c r="V52" s="2063" t="s">
        <v>171</v>
      </c>
      <c r="W52" s="2064"/>
      <c r="X52" s="2064"/>
      <c r="Y52" s="2064"/>
      <c r="Z52" s="2064"/>
      <c r="AA52" s="2064"/>
      <c r="AB52" s="2064"/>
      <c r="AC52" s="2064"/>
      <c r="AD52" s="2064"/>
      <c r="AE52" s="2064"/>
      <c r="AF52" s="2064"/>
      <c r="AG52" s="2064"/>
      <c r="AH52" s="2065"/>
      <c r="AI52" s="818"/>
      <c r="AJ52" s="2066" t="s">
        <v>186</v>
      </c>
      <c r="AK52" s="2066"/>
      <c r="AL52" s="2066"/>
      <c r="AM52" s="2066"/>
      <c r="AN52" s="2066"/>
      <c r="AO52" s="2066"/>
      <c r="AP52" s="2067"/>
      <c r="AQ52" s="819"/>
      <c r="AR52" s="2068" t="s">
        <v>133</v>
      </c>
      <c r="AS52" s="2054"/>
      <c r="AT52" s="2054"/>
      <c r="AU52" s="2054"/>
      <c r="AV52" s="2054"/>
      <c r="AW52" s="2054"/>
      <c r="AX52" s="2054"/>
      <c r="AY52" s="2054"/>
      <c r="AZ52" s="2054"/>
      <c r="BA52" s="2054"/>
      <c r="BB52" s="2054"/>
      <c r="BC52" s="2054"/>
      <c r="BD52" s="2054"/>
      <c r="BE52" s="2054"/>
      <c r="BF52" s="2069"/>
      <c r="BG52" s="560"/>
    </row>
    <row r="53" spans="3:62" ht="100" customHeight="1" thickBot="1" x14ac:dyDescent="1.05">
      <c r="D53" s="408"/>
      <c r="E53" s="820"/>
      <c r="F53" s="2060"/>
      <c r="G53" s="2061"/>
      <c r="H53" s="2061"/>
      <c r="I53" s="2061"/>
      <c r="J53" s="2061"/>
      <c r="K53" s="2061"/>
      <c r="L53" s="2061"/>
      <c r="M53" s="2061"/>
      <c r="N53" s="2061"/>
      <c r="O53" s="2061"/>
      <c r="P53" s="2061"/>
      <c r="Q53" s="2061"/>
      <c r="R53" s="2061"/>
      <c r="S53" s="2061"/>
      <c r="T53" s="2062"/>
      <c r="U53" s="1538"/>
      <c r="V53" s="2060"/>
      <c r="W53" s="2061"/>
      <c r="X53" s="2061"/>
      <c r="Y53" s="2061"/>
      <c r="Z53" s="2061"/>
      <c r="AA53" s="2061"/>
      <c r="AB53" s="2061"/>
      <c r="AC53" s="2061"/>
      <c r="AD53" s="2061"/>
      <c r="AE53" s="2061"/>
      <c r="AF53" s="2061"/>
      <c r="AG53" s="2061"/>
      <c r="AH53" s="2062"/>
      <c r="AI53" s="1561"/>
      <c r="AJ53" s="2066"/>
      <c r="AK53" s="2066"/>
      <c r="AL53" s="2066"/>
      <c r="AM53" s="2066"/>
      <c r="AN53" s="2066"/>
      <c r="AO53" s="2066"/>
      <c r="AP53" s="2067"/>
      <c r="AQ53" s="822"/>
      <c r="AR53" s="2068"/>
      <c r="AS53" s="2054"/>
      <c r="AT53" s="2054"/>
      <c r="AU53" s="2054"/>
      <c r="AV53" s="2054"/>
      <c r="AW53" s="2054"/>
      <c r="AX53" s="2054"/>
      <c r="AY53" s="2054"/>
      <c r="AZ53" s="2054"/>
      <c r="BA53" s="2054"/>
      <c r="BB53" s="2054"/>
      <c r="BC53" s="2054"/>
      <c r="BD53" s="2054"/>
      <c r="BE53" s="2054"/>
      <c r="BF53" s="2069"/>
      <c r="BG53" s="560"/>
      <c r="BH53" s="961"/>
      <c r="BI53" s="961"/>
      <c r="BJ53" s="961"/>
    </row>
    <row r="54" spans="3:62" ht="8" customHeight="1" thickTop="1" thickBot="1" x14ac:dyDescent="1.05">
      <c r="E54" s="577"/>
      <c r="F54" s="823"/>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3"/>
      <c r="AG54" s="824"/>
      <c r="AH54" s="824"/>
      <c r="AI54" s="824"/>
      <c r="AJ54" s="824"/>
      <c r="AK54" s="825"/>
      <c r="AL54" s="826"/>
      <c r="AM54" s="766"/>
      <c r="AN54" s="766"/>
      <c r="AO54" s="766"/>
      <c r="AP54" s="827"/>
      <c r="AQ54" s="828"/>
      <c r="AR54" s="1558"/>
      <c r="AS54" s="1558"/>
      <c r="AT54" s="1558"/>
      <c r="AU54" s="1558"/>
      <c r="AV54" s="1558"/>
      <c r="AW54" s="1558"/>
      <c r="AX54" s="1558"/>
      <c r="AY54" s="1558"/>
      <c r="AZ54" s="1558"/>
      <c r="BA54" s="1558"/>
      <c r="BB54" s="1558"/>
      <c r="BC54" s="1558"/>
      <c r="BD54" s="1558"/>
      <c r="BE54" s="1558"/>
      <c r="BF54" s="1558"/>
      <c r="BG54" s="578"/>
      <c r="BH54" s="961"/>
      <c r="BI54" s="961"/>
      <c r="BJ54" s="961"/>
    </row>
    <row r="55" spans="3:62" ht="100" customHeight="1" thickTop="1" x14ac:dyDescent="1">
      <c r="E55" s="578"/>
      <c r="F55" s="564"/>
      <c r="G55" s="564"/>
      <c r="H55" s="564"/>
      <c r="I55" s="564"/>
      <c r="J55" s="564"/>
      <c r="K55" s="564"/>
      <c r="L55" s="564"/>
      <c r="M55" s="564"/>
      <c r="N55" s="564"/>
      <c r="O55" s="564"/>
      <c r="P55" s="564"/>
      <c r="Q55" s="564"/>
      <c r="R55" s="564"/>
      <c r="S55" s="564"/>
      <c r="T55" s="531"/>
      <c r="U55" s="513"/>
      <c r="V55" s="563"/>
      <c r="W55" s="564"/>
      <c r="X55" s="564"/>
      <c r="Y55" s="564"/>
      <c r="Z55" s="564"/>
      <c r="AA55" s="564"/>
      <c r="AB55" s="564"/>
      <c r="AC55" s="564"/>
      <c r="AD55" s="564"/>
      <c r="AE55" s="386"/>
      <c r="AF55" s="386"/>
      <c r="AG55" s="386"/>
      <c r="AH55" s="386"/>
      <c r="AI55" s="386"/>
      <c r="AJ55" s="546"/>
      <c r="AK55" s="560"/>
      <c r="AL55" s="830"/>
      <c r="AM55" s="830"/>
      <c r="AN55" s="830"/>
      <c r="AO55" s="830"/>
      <c r="AP55" s="831"/>
      <c r="AQ55" s="577"/>
      <c r="AR55" s="568"/>
      <c r="AS55" s="386"/>
      <c r="AT55" s="386"/>
      <c r="AU55" s="386"/>
      <c r="AV55" s="386"/>
      <c r="AW55" s="386"/>
      <c r="AX55" s="386"/>
      <c r="AY55" s="386"/>
      <c r="AZ55" s="386"/>
      <c r="BA55" s="386"/>
      <c r="BB55" s="386"/>
      <c r="BC55" s="386"/>
      <c r="BD55" s="386"/>
      <c r="BE55" s="386"/>
      <c r="BF55" s="546"/>
      <c r="BG55" s="578"/>
      <c r="BH55" s="696"/>
      <c r="BI55" s="696"/>
      <c r="BJ55" s="696"/>
    </row>
    <row r="56" spans="3:62" ht="100" customHeight="1" x14ac:dyDescent="1">
      <c r="E56" s="578"/>
      <c r="F56" s="386"/>
      <c r="G56" s="386"/>
      <c r="H56" s="386"/>
      <c r="I56" s="386"/>
      <c r="J56" s="386"/>
      <c r="K56" s="386"/>
      <c r="L56" s="386"/>
      <c r="M56" s="386"/>
      <c r="N56" s="598"/>
      <c r="O56" s="598"/>
      <c r="P56" s="598"/>
      <c r="Q56" s="598"/>
      <c r="R56" s="386"/>
      <c r="S56" s="386"/>
      <c r="T56" s="546"/>
      <c r="U56" s="547"/>
      <c r="V56" s="568"/>
      <c r="W56" s="386"/>
      <c r="X56" s="386"/>
      <c r="Y56" s="386"/>
      <c r="Z56" s="386"/>
      <c r="AA56" s="386"/>
      <c r="AB56" s="386"/>
      <c r="AC56" s="386"/>
      <c r="AD56" s="386"/>
      <c r="AE56" s="386"/>
      <c r="AF56" s="598"/>
      <c r="AG56" s="598"/>
      <c r="AH56" s="598"/>
      <c r="AI56" s="598"/>
      <c r="AJ56" s="546"/>
      <c r="AK56" s="560"/>
      <c r="AL56" s="723"/>
      <c r="AM56" s="723"/>
      <c r="AN56" s="723"/>
      <c r="AO56" s="723"/>
      <c r="AP56" s="832"/>
      <c r="AQ56" s="547"/>
      <c r="AR56" s="568"/>
      <c r="AS56" s="386"/>
      <c r="AT56" s="386"/>
      <c r="AU56" s="386"/>
      <c r="AV56" s="386"/>
      <c r="AW56" s="386"/>
      <c r="AX56" s="386"/>
      <c r="AY56" s="386"/>
      <c r="AZ56" s="598"/>
      <c r="BA56" s="598"/>
      <c r="BB56" s="598"/>
      <c r="BC56" s="598"/>
      <c r="BD56" s="386"/>
      <c r="BE56" s="386"/>
      <c r="BF56" s="546"/>
      <c r="BG56" s="578"/>
    </row>
    <row r="57" spans="3:62" ht="100" customHeight="1" x14ac:dyDescent="1">
      <c r="E57" s="578"/>
      <c r="F57" s="1545"/>
      <c r="G57" s="1545"/>
      <c r="H57" s="1545"/>
      <c r="I57" s="1545"/>
      <c r="J57" s="386"/>
      <c r="K57" s="386"/>
      <c r="L57" s="386"/>
      <c r="M57" s="386"/>
      <c r="N57" s="598"/>
      <c r="O57" s="598"/>
      <c r="P57" s="598"/>
      <c r="Q57" s="598"/>
      <c r="R57" s="386"/>
      <c r="S57" s="386"/>
      <c r="T57" s="546"/>
      <c r="U57" s="547"/>
      <c r="V57" s="568"/>
      <c r="W57" s="386"/>
      <c r="X57" s="1545"/>
      <c r="Y57" s="1545"/>
      <c r="Z57" s="1545"/>
      <c r="AA57" s="1545"/>
      <c r="AB57" s="386"/>
      <c r="AC57" s="386"/>
      <c r="AD57" s="386"/>
      <c r="AE57" s="386"/>
      <c r="AF57" s="598"/>
      <c r="AG57" s="598"/>
      <c r="AH57" s="598"/>
      <c r="AI57" s="598"/>
      <c r="AJ57" s="546"/>
      <c r="AK57" s="560"/>
      <c r="AL57" s="723"/>
      <c r="AM57" s="723"/>
      <c r="AN57" s="723"/>
      <c r="AO57" s="723"/>
      <c r="AP57" s="832"/>
      <c r="AQ57" s="547"/>
      <c r="AR57" s="1551"/>
      <c r="AS57" s="1545"/>
      <c r="AT57" s="1545"/>
      <c r="AU57" s="1545"/>
      <c r="AV57" s="386"/>
      <c r="AW57" s="386"/>
      <c r="AX57" s="579"/>
      <c r="AY57" s="579"/>
      <c r="AZ57" s="579"/>
      <c r="BA57" s="579"/>
      <c r="BB57" s="579"/>
      <c r="BC57" s="579"/>
      <c r="BD57" s="579"/>
      <c r="BE57" s="579"/>
      <c r="BF57" s="546"/>
      <c r="BG57" s="578"/>
    </row>
    <row r="58" spans="3:62" ht="100" customHeight="1" x14ac:dyDescent="1">
      <c r="E58" s="578"/>
      <c r="F58" s="1545"/>
      <c r="G58" s="1545"/>
      <c r="H58" s="727" t="s">
        <v>179</v>
      </c>
      <c r="I58" s="727"/>
      <c r="J58" s="1549"/>
      <c r="K58" s="1549"/>
      <c r="L58" s="1542"/>
      <c r="M58" s="1542"/>
      <c r="N58" s="1542"/>
      <c r="O58" s="1542"/>
      <c r="P58" s="1542"/>
      <c r="Q58" s="1542"/>
      <c r="R58" s="1542"/>
      <c r="S58" s="1542"/>
      <c r="T58" s="833"/>
      <c r="U58" s="834"/>
      <c r="V58" s="1550"/>
      <c r="W58" s="1542"/>
      <c r="X58" s="727" t="s">
        <v>179</v>
      </c>
      <c r="Y58" s="1545"/>
      <c r="Z58" s="1545"/>
      <c r="AA58" s="1545"/>
      <c r="AB58" s="1549"/>
      <c r="AC58" s="1549"/>
      <c r="AD58" s="1542"/>
      <c r="AE58" s="1542"/>
      <c r="AF58" s="1542"/>
      <c r="AG58" s="1542"/>
      <c r="AH58" s="1542"/>
      <c r="AI58" s="1542"/>
      <c r="AJ58" s="833"/>
      <c r="AK58" s="835"/>
      <c r="AL58" s="836"/>
      <c r="AM58" s="837" t="s">
        <v>139</v>
      </c>
      <c r="AN58" s="838"/>
      <c r="AO58" s="837"/>
      <c r="AP58" s="839"/>
      <c r="AQ58" s="840"/>
      <c r="AR58" s="1551"/>
      <c r="AS58" s="1545"/>
      <c r="AT58" s="727" t="s">
        <v>196</v>
      </c>
      <c r="AU58" s="1545"/>
      <c r="AV58" s="1542"/>
      <c r="AW58" s="1542"/>
      <c r="AX58" s="1542"/>
      <c r="AY58" s="1542"/>
      <c r="AZ58" s="598"/>
      <c r="BA58" s="598"/>
      <c r="BB58" s="1549"/>
      <c r="BC58" s="1549"/>
      <c r="BD58" s="1542"/>
      <c r="BE58" s="1542"/>
      <c r="BF58" s="833"/>
      <c r="BG58" s="578"/>
    </row>
    <row r="59" spans="3:62" ht="100" customHeight="1" x14ac:dyDescent="1">
      <c r="E59" s="578"/>
      <c r="F59" s="386"/>
      <c r="G59" s="386"/>
      <c r="H59" s="1549">
        <v>3500</v>
      </c>
      <c r="I59" s="1549"/>
      <c r="J59" s="780"/>
      <c r="K59" s="780"/>
      <c r="L59" s="780"/>
      <c r="M59" s="780"/>
      <c r="N59" s="780"/>
      <c r="O59" s="780"/>
      <c r="P59" s="1542"/>
      <c r="Q59" s="1542"/>
      <c r="R59" s="780"/>
      <c r="S59" s="780"/>
      <c r="T59" s="841"/>
      <c r="U59" s="842"/>
      <c r="V59" s="843"/>
      <c r="W59" s="780"/>
      <c r="X59" s="1571">
        <v>3500</v>
      </c>
      <c r="Y59" s="386"/>
      <c r="Z59" s="386"/>
      <c r="AA59" s="386"/>
      <c r="AB59" s="1549"/>
      <c r="AC59" s="1549"/>
      <c r="AD59" s="780"/>
      <c r="AE59" s="780"/>
      <c r="AF59" s="780"/>
      <c r="AG59" s="780"/>
      <c r="AH59" s="1542"/>
      <c r="AI59" s="1542"/>
      <c r="AJ59" s="841"/>
      <c r="AK59" s="844"/>
      <c r="AL59" s="845"/>
      <c r="AM59" s="845"/>
      <c r="AN59" s="846">
        <v>400</v>
      </c>
      <c r="AO59" s="845"/>
      <c r="AP59" s="832"/>
      <c r="AQ59" s="547"/>
      <c r="AR59" s="568"/>
      <c r="AS59" s="386"/>
      <c r="AT59" s="741">
        <f>H48+H59</f>
        <v>7000</v>
      </c>
      <c r="AU59" s="386"/>
      <c r="AV59" s="780"/>
      <c r="AW59" s="780"/>
      <c r="AX59" s="780"/>
      <c r="AY59" s="780"/>
      <c r="AZ59" s="780"/>
      <c r="BA59" s="780"/>
      <c r="BB59" s="1549"/>
      <c r="BC59" s="1549"/>
      <c r="BD59" s="780"/>
      <c r="BE59" s="780"/>
      <c r="BF59" s="841"/>
      <c r="BG59" s="578"/>
    </row>
    <row r="60" spans="3:62" ht="100" customHeight="1" x14ac:dyDescent="1">
      <c r="E60" s="578"/>
      <c r="F60" s="386"/>
      <c r="G60" s="386"/>
      <c r="H60" s="386"/>
      <c r="I60" s="386"/>
      <c r="J60" s="386"/>
      <c r="K60" s="386"/>
      <c r="L60" s="386"/>
      <c r="M60" s="386"/>
      <c r="N60" s="598"/>
      <c r="O60" s="598"/>
      <c r="P60" s="598"/>
      <c r="Q60" s="598"/>
      <c r="R60" s="386"/>
      <c r="S60" s="386"/>
      <c r="T60" s="546"/>
      <c r="U60" s="547"/>
      <c r="V60" s="568"/>
      <c r="W60" s="386"/>
      <c r="X60" s="386"/>
      <c r="Y60" s="386"/>
      <c r="Z60" s="386"/>
      <c r="AA60" s="386"/>
      <c r="AB60" s="386"/>
      <c r="AC60" s="386"/>
      <c r="AD60" s="386"/>
      <c r="AE60" s="386"/>
      <c r="AF60" s="598"/>
      <c r="AG60" s="598"/>
      <c r="AH60" s="598"/>
      <c r="AI60" s="598"/>
      <c r="AJ60" s="546"/>
      <c r="AK60" s="560"/>
      <c r="AL60" s="723"/>
      <c r="AM60" s="723"/>
      <c r="AN60" s="723"/>
      <c r="AO60" s="723"/>
      <c r="AP60" s="832"/>
      <c r="AQ60" s="547"/>
      <c r="AR60" s="568"/>
      <c r="AS60" s="386"/>
      <c r="AT60" s="386"/>
      <c r="AU60" s="386"/>
      <c r="AV60" s="386"/>
      <c r="AW60" s="386"/>
      <c r="AX60" s="386"/>
      <c r="AY60" s="386"/>
      <c r="AZ60" s="598"/>
      <c r="BA60" s="598"/>
      <c r="BB60" s="598"/>
      <c r="BC60" s="598"/>
      <c r="BD60" s="386"/>
      <c r="BE60" s="386"/>
      <c r="BF60" s="546"/>
      <c r="BG60" s="578"/>
    </row>
    <row r="61" spans="3:62" ht="100" customHeight="1" thickBot="1" x14ac:dyDescent="1.05">
      <c r="E61" s="578"/>
      <c r="F61" s="570"/>
      <c r="G61" s="570"/>
      <c r="H61" s="570"/>
      <c r="I61" s="570"/>
      <c r="J61" s="570"/>
      <c r="K61" s="570"/>
      <c r="L61" s="570"/>
      <c r="M61" s="570"/>
      <c r="N61" s="570"/>
      <c r="O61" s="570"/>
      <c r="P61" s="570"/>
      <c r="Q61" s="570"/>
      <c r="R61" s="570"/>
      <c r="S61" s="570"/>
      <c r="T61" s="626"/>
      <c r="U61" s="519"/>
      <c r="V61" s="569"/>
      <c r="W61" s="570"/>
      <c r="X61" s="570"/>
      <c r="Y61" s="570"/>
      <c r="Z61" s="570"/>
      <c r="AA61" s="570"/>
      <c r="AB61" s="570"/>
      <c r="AC61" s="570"/>
      <c r="AD61" s="570"/>
      <c r="AE61" s="570"/>
      <c r="AF61" s="570"/>
      <c r="AG61" s="570"/>
      <c r="AH61" s="570"/>
      <c r="AI61" s="570"/>
      <c r="AJ61" s="626"/>
      <c r="AK61" s="560"/>
      <c r="AL61" s="723"/>
      <c r="AM61" s="723"/>
      <c r="AN61" s="723"/>
      <c r="AO61" s="723"/>
      <c r="AP61" s="847"/>
      <c r="AQ61" s="547"/>
      <c r="AR61" s="569"/>
      <c r="AS61" s="570"/>
      <c r="AT61" s="570"/>
      <c r="AU61" s="570"/>
      <c r="AV61" s="570"/>
      <c r="AW61" s="570"/>
      <c r="AX61" s="570"/>
      <c r="AY61" s="570"/>
      <c r="AZ61" s="570"/>
      <c r="BA61" s="570"/>
      <c r="BB61" s="570"/>
      <c r="BC61" s="570"/>
      <c r="BD61" s="570"/>
      <c r="BE61" s="570"/>
      <c r="BF61" s="626"/>
      <c r="BG61" s="578"/>
    </row>
    <row r="62" spans="3:62" ht="8" customHeight="1" thickTop="1" thickBot="1" x14ac:dyDescent="1.05">
      <c r="E62" s="623"/>
      <c r="F62" s="561"/>
      <c r="G62" s="561"/>
      <c r="H62" s="561"/>
      <c r="I62" s="561"/>
      <c r="J62" s="561"/>
      <c r="K62" s="561"/>
      <c r="L62" s="561"/>
      <c r="M62" s="561"/>
      <c r="N62" s="561"/>
      <c r="O62" s="561"/>
      <c r="P62" s="561"/>
      <c r="Q62" s="561"/>
      <c r="R62" s="561"/>
      <c r="S62" s="561"/>
      <c r="T62" s="561"/>
      <c r="U62" s="561"/>
      <c r="V62" s="561"/>
      <c r="W62" s="561"/>
      <c r="X62" s="561"/>
      <c r="Y62" s="561"/>
      <c r="Z62" s="561"/>
      <c r="AA62" s="561"/>
      <c r="AB62" s="561"/>
      <c r="AC62" s="561"/>
      <c r="AD62" s="561"/>
      <c r="AE62" s="561"/>
      <c r="AF62" s="561"/>
      <c r="AG62" s="561"/>
      <c r="AH62" s="561"/>
      <c r="AI62" s="561"/>
      <c r="AJ62" s="576"/>
      <c r="AK62" s="623"/>
      <c r="AL62" s="848"/>
      <c r="AM62" s="848"/>
      <c r="AN62" s="848"/>
      <c r="AO62" s="848"/>
      <c r="AP62" s="849"/>
      <c r="AQ62" s="577"/>
      <c r="AR62" s="575"/>
      <c r="AS62" s="561"/>
      <c r="AT62" s="561"/>
      <c r="AU62" s="561"/>
      <c r="AV62" s="561"/>
      <c r="AW62" s="561"/>
      <c r="AX62" s="561"/>
      <c r="AY62" s="561"/>
      <c r="AZ62" s="561"/>
      <c r="BA62" s="561"/>
      <c r="BB62" s="561"/>
      <c r="BC62" s="561"/>
      <c r="BD62" s="561"/>
      <c r="BE62" s="561"/>
      <c r="BF62" s="576"/>
      <c r="BG62" s="623"/>
    </row>
    <row r="63" spans="3:62" ht="50" customHeight="1" thickTop="1" x14ac:dyDescent="1">
      <c r="AQ63" s="521"/>
    </row>
    <row r="64" spans="3:62" s="1426" customFormat="1" ht="100" customHeight="1" x14ac:dyDescent="1.2">
      <c r="C64" s="1431"/>
      <c r="F64" s="1426" t="s">
        <v>254</v>
      </c>
      <c r="AQ64" s="1431"/>
    </row>
    <row r="65" spans="3:59" s="1426" customFormat="1" ht="100" customHeight="1" x14ac:dyDescent="1.2">
      <c r="C65" s="1431"/>
      <c r="AQ65" s="1431"/>
    </row>
    <row r="66" spans="3:59" s="1426" customFormat="1" ht="100" customHeight="1" x14ac:dyDescent="1.2">
      <c r="C66" s="1431"/>
      <c r="F66" s="1436" t="s">
        <v>147</v>
      </c>
      <c r="G66" s="1436"/>
      <c r="P66" s="1427" t="s">
        <v>134</v>
      </c>
      <c r="Q66" s="1427"/>
      <c r="R66" s="1438">
        <v>20000</v>
      </c>
      <c r="S66" s="1438"/>
      <c r="T66" s="1446"/>
      <c r="U66" s="1446"/>
      <c r="V66" s="1431"/>
      <c r="AF66" s="1422" t="s">
        <v>231</v>
      </c>
      <c r="AG66" s="1422"/>
      <c r="AH66" s="1423" t="s">
        <v>151</v>
      </c>
      <c r="AI66" s="1423"/>
      <c r="AJ66" s="1424" t="s">
        <v>248</v>
      </c>
      <c r="AK66" s="1424"/>
    </row>
    <row r="67" spans="3:59" s="1426" customFormat="1" ht="100" customHeight="1" x14ac:dyDescent="1.2">
      <c r="C67" s="1431"/>
      <c r="F67" s="1436"/>
      <c r="G67" s="1436"/>
      <c r="P67" s="1427" t="s">
        <v>143</v>
      </c>
      <c r="Q67" s="1427"/>
      <c r="R67" s="1447">
        <f>H89+AR89</f>
        <v>14700</v>
      </c>
      <c r="S67" s="1448"/>
      <c r="T67" s="1446"/>
      <c r="U67" s="1446"/>
      <c r="V67" s="1431"/>
      <c r="AB67" s="1449"/>
      <c r="AH67" s="1427" t="s">
        <v>151</v>
      </c>
      <c r="AI67" s="1427"/>
      <c r="AJ67" s="1426" t="s">
        <v>245</v>
      </c>
    </row>
    <row r="68" spans="3:59" s="1426" customFormat="1" ht="100" customHeight="1" x14ac:dyDescent="1.2">
      <c r="C68" s="1431"/>
      <c r="F68" s="1436"/>
      <c r="G68" s="1436"/>
      <c r="N68" s="1429"/>
      <c r="O68" s="1429"/>
      <c r="P68" s="1441" t="s">
        <v>156</v>
      </c>
      <c r="Q68" s="1441"/>
      <c r="R68" s="1450">
        <f>R66-R67</f>
        <v>5300</v>
      </c>
      <c r="S68" s="1450"/>
      <c r="T68" s="1429" t="s">
        <v>33</v>
      </c>
      <c r="U68" s="1429"/>
      <c r="V68" s="1432"/>
      <c r="AH68" s="1427" t="s">
        <v>151</v>
      </c>
      <c r="AI68" s="1427"/>
      <c r="AJ68" s="1426" t="s">
        <v>246</v>
      </c>
    </row>
    <row r="69" spans="3:59" s="1426" customFormat="1" ht="100" customHeight="1" x14ac:dyDescent="1.2">
      <c r="C69" s="1431"/>
      <c r="AJ69" s="1429"/>
      <c r="AK69" s="1429"/>
      <c r="AL69" s="1429" t="s">
        <v>277</v>
      </c>
      <c r="AS69" s="1429"/>
      <c r="AT69" s="1429"/>
      <c r="AU69" s="1429"/>
      <c r="AV69" s="1429"/>
      <c r="AW69" s="1429"/>
      <c r="AX69" s="1429"/>
      <c r="AY69" s="1429"/>
      <c r="AZ69" s="1429"/>
      <c r="BA69" s="1429"/>
      <c r="BB69" s="1429"/>
      <c r="BC69" s="1429"/>
      <c r="BD69" s="1429"/>
    </row>
    <row r="70" spans="3:59" s="1426" customFormat="1" ht="100" customHeight="1" x14ac:dyDescent="1.2">
      <c r="C70" s="1431"/>
      <c r="AH70" s="1427" t="s">
        <v>151</v>
      </c>
      <c r="AJ70" s="1429" t="s">
        <v>205</v>
      </c>
      <c r="AK70" s="1429"/>
      <c r="AL70" s="1429"/>
      <c r="AS70" s="1429"/>
      <c r="AT70" s="1429"/>
      <c r="AU70" s="1429"/>
      <c r="AV70" s="1429"/>
      <c r="AW70" s="1429"/>
      <c r="AX70" s="1429"/>
      <c r="AY70" s="1429"/>
      <c r="AZ70" s="1429"/>
      <c r="BA70" s="1429"/>
      <c r="BB70" s="1429"/>
      <c r="BC70" s="1429"/>
      <c r="BD70" s="1429"/>
    </row>
    <row r="71" spans="3:59" s="1426" customFormat="1" ht="100" customHeight="1" x14ac:dyDescent="1.2">
      <c r="C71" s="1431"/>
      <c r="AJ71" s="1429" t="s">
        <v>249</v>
      </c>
      <c r="AK71" s="1429"/>
      <c r="AL71" s="1429"/>
      <c r="AS71" s="1429"/>
      <c r="AT71" s="1429"/>
      <c r="AU71" s="1429"/>
      <c r="AV71" s="1429"/>
      <c r="AW71" s="1429"/>
      <c r="AX71" s="1429"/>
      <c r="AY71" s="1429"/>
      <c r="AZ71" s="1429"/>
      <c r="BA71" s="1429"/>
      <c r="BB71" s="1429"/>
      <c r="BC71" s="1429"/>
      <c r="BD71" s="1429"/>
    </row>
    <row r="72" spans="3:59" s="1426" customFormat="1" ht="100" customHeight="1" thickBot="1" x14ac:dyDescent="1.25">
      <c r="C72" s="1431"/>
      <c r="E72" s="1451"/>
      <c r="F72" s="1451"/>
      <c r="G72" s="1451"/>
      <c r="H72" s="1451"/>
      <c r="AH72" s="1431"/>
      <c r="AI72" s="1431"/>
      <c r="AJ72" s="1431"/>
      <c r="AK72" s="1445"/>
      <c r="AL72" s="1445"/>
      <c r="AM72" s="1445"/>
      <c r="AN72" s="1445"/>
      <c r="AO72" s="1445"/>
      <c r="AP72" s="1445"/>
      <c r="AQ72" s="1431"/>
    </row>
    <row r="73" spans="3:59" ht="10" customHeight="1" thickTop="1" thickBot="1" x14ac:dyDescent="1.05">
      <c r="D73" s="408"/>
      <c r="E73" s="630"/>
      <c r="F73" s="638"/>
      <c r="G73" s="639"/>
      <c r="H73" s="639"/>
      <c r="I73" s="632"/>
      <c r="J73" s="632"/>
      <c r="K73" s="632"/>
      <c r="L73" s="632"/>
      <c r="M73" s="632"/>
      <c r="N73" s="632"/>
      <c r="O73" s="632"/>
      <c r="P73" s="632"/>
      <c r="Q73" s="632"/>
      <c r="R73" s="632"/>
      <c r="S73" s="632"/>
      <c r="T73" s="632"/>
      <c r="U73" s="632"/>
      <c r="V73" s="632"/>
      <c r="W73" s="632"/>
      <c r="X73" s="632"/>
      <c r="Y73" s="852"/>
      <c r="Z73" s="853"/>
      <c r="AA73" s="853"/>
      <c r="AB73" s="853"/>
      <c r="AC73" s="853"/>
      <c r="AD73" s="853"/>
      <c r="AE73" s="853"/>
      <c r="AF73" s="853"/>
      <c r="AG73" s="853"/>
      <c r="AH73" s="853"/>
      <c r="AI73" s="854"/>
      <c r="AJ73" s="855"/>
      <c r="AK73" s="388"/>
      <c r="AL73" s="388"/>
      <c r="AM73" s="388"/>
      <c r="AN73" s="388"/>
      <c r="AO73" s="388"/>
      <c r="AP73" s="856"/>
      <c r="AQ73" s="857"/>
      <c r="AR73" s="706"/>
      <c r="AS73" s="707"/>
      <c r="AT73" s="707"/>
      <c r="AU73" s="707"/>
      <c r="AV73" s="707"/>
      <c r="AW73" s="707"/>
      <c r="AX73" s="707"/>
      <c r="AY73" s="707"/>
      <c r="AZ73" s="707"/>
      <c r="BA73" s="707"/>
      <c r="BB73" s="707"/>
      <c r="BC73" s="707"/>
      <c r="BD73" s="707"/>
      <c r="BE73" s="707"/>
      <c r="BF73" s="708"/>
      <c r="BG73" s="705"/>
    </row>
    <row r="74" spans="3:59" ht="100" customHeight="1" thickTop="1" x14ac:dyDescent="1">
      <c r="D74" s="408"/>
      <c r="E74" s="635"/>
      <c r="F74" s="858"/>
      <c r="G74" s="667"/>
      <c r="H74" s="667"/>
      <c r="I74" s="667"/>
      <c r="J74" s="667"/>
      <c r="K74" s="667"/>
      <c r="L74" s="667"/>
      <c r="M74" s="667"/>
      <c r="N74" s="859"/>
      <c r="O74" s="859"/>
      <c r="P74" s="667"/>
      <c r="Q74" s="667"/>
      <c r="R74" s="667"/>
      <c r="S74" s="667"/>
      <c r="T74" s="667"/>
      <c r="U74" s="667"/>
      <c r="V74" s="667"/>
      <c r="W74" s="667"/>
      <c r="X74" s="669"/>
      <c r="Y74" s="673"/>
      <c r="Z74" s="723"/>
      <c r="AA74" s="723"/>
      <c r="AB74" s="723"/>
      <c r="AC74" s="723"/>
      <c r="AD74" s="723"/>
      <c r="AE74" s="723"/>
      <c r="AF74" s="723"/>
      <c r="AG74" s="723"/>
      <c r="AH74" s="830"/>
      <c r="AI74" s="798"/>
      <c r="AJ74" s="388"/>
      <c r="AK74" s="388"/>
      <c r="AL74" s="388"/>
      <c r="AM74" s="388"/>
      <c r="AN74" s="388"/>
      <c r="AO74" s="388"/>
      <c r="AP74" s="860"/>
      <c r="AQ74" s="861"/>
      <c r="AR74" s="862"/>
      <c r="AS74" s="863"/>
      <c r="AT74" s="863"/>
      <c r="AU74" s="863"/>
      <c r="AV74" s="863"/>
      <c r="AW74" s="863"/>
      <c r="AX74" s="863"/>
      <c r="AY74" s="863"/>
      <c r="AZ74" s="864"/>
      <c r="BA74" s="864"/>
      <c r="BB74" s="863"/>
      <c r="BC74" s="863"/>
      <c r="BD74" s="863"/>
      <c r="BE74" s="863"/>
      <c r="BF74" s="865"/>
      <c r="BG74" s="703"/>
    </row>
    <row r="75" spans="3:59" ht="100" customHeight="1" x14ac:dyDescent="1">
      <c r="D75" s="408"/>
      <c r="E75" s="635"/>
      <c r="F75" s="664"/>
      <c r="G75" s="386"/>
      <c r="H75" s="386"/>
      <c r="I75" s="386"/>
      <c r="J75" s="386"/>
      <c r="K75" s="386"/>
      <c r="L75" s="386"/>
      <c r="M75" s="386"/>
      <c r="N75" s="392"/>
      <c r="O75" s="392"/>
      <c r="P75" s="386"/>
      <c r="Q75" s="386"/>
      <c r="R75" s="386"/>
      <c r="S75" s="386"/>
      <c r="T75" s="386"/>
      <c r="U75" s="386"/>
      <c r="V75" s="386"/>
      <c r="W75" s="386"/>
      <c r="X75" s="674"/>
      <c r="Y75" s="673"/>
      <c r="Z75" s="838"/>
      <c r="AA75" s="838"/>
      <c r="AB75" s="838"/>
      <c r="AC75" s="838"/>
      <c r="AD75" s="838"/>
      <c r="AE75" s="838"/>
      <c r="AF75" s="838"/>
      <c r="AG75" s="838"/>
      <c r="AH75" s="723"/>
      <c r="AI75" s="798"/>
      <c r="AJ75" s="388"/>
      <c r="AK75" s="388"/>
      <c r="AL75" s="388"/>
      <c r="AM75" s="388"/>
      <c r="AN75" s="388"/>
      <c r="AO75" s="388"/>
      <c r="AP75" s="860"/>
      <c r="AQ75" s="861"/>
      <c r="AR75" s="719"/>
      <c r="AS75" s="720"/>
      <c r="AT75" s="720"/>
      <c r="AU75" s="720"/>
      <c r="AV75" s="720"/>
      <c r="AW75" s="720"/>
      <c r="AX75" s="720"/>
      <c r="AY75" s="720"/>
      <c r="AZ75" s="392"/>
      <c r="BA75" s="392"/>
      <c r="BB75" s="720"/>
      <c r="BC75" s="720"/>
      <c r="BD75" s="720"/>
      <c r="BE75" s="720"/>
      <c r="BF75" s="721"/>
      <c r="BG75" s="703"/>
    </row>
    <row r="76" spans="3:59" ht="100" customHeight="1" x14ac:dyDescent="1">
      <c r="D76" s="408"/>
      <c r="E76" s="635"/>
      <c r="F76" s="1555"/>
      <c r="G76" s="1545"/>
      <c r="H76" s="1545"/>
      <c r="I76" s="1545"/>
      <c r="J76" s="1545"/>
      <c r="K76" s="1545"/>
      <c r="L76" s="1545"/>
      <c r="M76" s="1545"/>
      <c r="N76" s="1560"/>
      <c r="O76" s="1560"/>
      <c r="P76" s="1545"/>
      <c r="Q76" s="1545"/>
      <c r="R76" s="1545"/>
      <c r="S76" s="1545"/>
      <c r="T76" s="1545"/>
      <c r="U76" s="1545"/>
      <c r="V76" s="1545"/>
      <c r="W76" s="1545"/>
      <c r="X76" s="1557"/>
      <c r="Y76" s="671"/>
      <c r="Z76" s="1573"/>
      <c r="AA76" s="1573"/>
      <c r="AB76" s="1573"/>
      <c r="AC76" s="1573"/>
      <c r="AD76" s="1573"/>
      <c r="AE76" s="1573"/>
      <c r="AF76" s="1573"/>
      <c r="AG76" s="1573"/>
      <c r="AH76" s="1564"/>
      <c r="AI76" s="802"/>
      <c r="AJ76" s="1569"/>
      <c r="AK76" s="1569"/>
      <c r="AL76" s="1569"/>
      <c r="AM76" s="1569"/>
      <c r="AN76" s="1569"/>
      <c r="AO76" s="1569"/>
      <c r="AP76" s="866"/>
      <c r="AQ76" s="867"/>
      <c r="AR76" s="1566"/>
      <c r="AS76" s="1567"/>
      <c r="AT76" s="1567"/>
      <c r="AU76" s="1567"/>
      <c r="AV76" s="1567"/>
      <c r="AW76" s="1567"/>
      <c r="AX76" s="1567"/>
      <c r="AY76" s="1567"/>
      <c r="AZ76" s="1560"/>
      <c r="BA76" s="1560"/>
      <c r="BB76" s="1567"/>
      <c r="BC76" s="1567"/>
      <c r="BD76" s="1567"/>
      <c r="BE76" s="1567"/>
      <c r="BF76" s="721"/>
      <c r="BG76" s="703"/>
    </row>
    <row r="77" spans="3:59" ht="100" customHeight="1" x14ac:dyDescent="1">
      <c r="D77" s="408"/>
      <c r="E77" s="635"/>
      <c r="F77" s="1555"/>
      <c r="G77" s="1545"/>
      <c r="H77" s="727"/>
      <c r="I77" s="727"/>
      <c r="J77" s="1545"/>
      <c r="K77" s="1545"/>
      <c r="L77" s="1549"/>
      <c r="M77" s="1549"/>
      <c r="N77" s="728" t="s">
        <v>175</v>
      </c>
      <c r="O77" s="728"/>
      <c r="P77" s="1545"/>
      <c r="Q77" s="1545"/>
      <c r="R77" s="1545"/>
      <c r="S77" s="1545"/>
      <c r="T77" s="1545"/>
      <c r="U77" s="1545"/>
      <c r="V77" s="1545"/>
      <c r="W77" s="1545"/>
      <c r="X77" s="1557"/>
      <c r="Y77" s="671"/>
      <c r="Z77" s="1573"/>
      <c r="AA77" s="1573"/>
      <c r="AB77" s="868" t="s">
        <v>139</v>
      </c>
      <c r="AC77" s="868"/>
      <c r="AD77" s="868"/>
      <c r="AE77" s="868"/>
      <c r="AF77" s="868"/>
      <c r="AG77" s="1573"/>
      <c r="AH77" s="1564"/>
      <c r="AI77" s="802"/>
      <c r="AJ77" s="2073" t="s">
        <v>124</v>
      </c>
      <c r="AK77" s="2056"/>
      <c r="AL77" s="2056"/>
      <c r="AM77" s="2056"/>
      <c r="AN77" s="2056"/>
      <c r="AO77" s="1569"/>
      <c r="AP77" s="866" t="s">
        <v>178</v>
      </c>
      <c r="AQ77" s="867"/>
      <c r="AR77" s="1566"/>
      <c r="AS77" s="1567"/>
      <c r="AT77" s="870" t="s">
        <v>138</v>
      </c>
      <c r="AU77" s="870"/>
      <c r="AV77" s="870"/>
      <c r="AW77" s="870"/>
      <c r="AX77" s="1567"/>
      <c r="AY77" s="1567"/>
      <c r="AZ77" s="728" t="s">
        <v>175</v>
      </c>
      <c r="BA77" s="728"/>
      <c r="BB77" s="737"/>
      <c r="BC77" s="737"/>
      <c r="BD77" s="1567"/>
      <c r="BE77" s="1567"/>
      <c r="BF77" s="1568"/>
      <c r="BG77" s="703"/>
    </row>
    <row r="78" spans="3:59" ht="100" customHeight="1" x14ac:dyDescent="1">
      <c r="D78" s="408"/>
      <c r="E78" s="635"/>
      <c r="F78" s="664"/>
      <c r="G78" s="386"/>
      <c r="H78" s="1549"/>
      <c r="I78" s="1549"/>
      <c r="J78" s="386"/>
      <c r="K78" s="386"/>
      <c r="L78" s="386"/>
      <c r="M78" s="386"/>
      <c r="N78" s="728" t="s">
        <v>127</v>
      </c>
      <c r="O78" s="728"/>
      <c r="P78" s="386"/>
      <c r="Q78" s="386"/>
      <c r="R78" s="386"/>
      <c r="S78" s="386"/>
      <c r="T78" s="386"/>
      <c r="U78" s="386"/>
      <c r="V78" s="386"/>
      <c r="W78" s="386"/>
      <c r="X78" s="674"/>
      <c r="Y78" s="673"/>
      <c r="Z78" s="838"/>
      <c r="AA78" s="838"/>
      <c r="AB78" s="871">
        <v>800</v>
      </c>
      <c r="AC78" s="838"/>
      <c r="AD78" s="838"/>
      <c r="AE78" s="838"/>
      <c r="AF78" s="838"/>
      <c r="AG78" s="838"/>
      <c r="AH78" s="723"/>
      <c r="AI78" s="798"/>
      <c r="AJ78" s="388"/>
      <c r="AK78" s="388"/>
      <c r="AL78" s="388"/>
      <c r="AM78" s="388"/>
      <c r="AN78" s="388"/>
      <c r="AO78" s="388"/>
      <c r="AP78" s="866" t="s">
        <v>127</v>
      </c>
      <c r="AQ78" s="867"/>
      <c r="AR78" s="719"/>
      <c r="AS78" s="720"/>
      <c r="AT78" s="872">
        <v>2000</v>
      </c>
      <c r="AU78" s="872"/>
      <c r="AV78" s="870"/>
      <c r="AW78" s="870"/>
      <c r="AX78" s="720"/>
      <c r="AY78" s="720"/>
      <c r="AZ78" s="728" t="s">
        <v>127</v>
      </c>
      <c r="BA78" s="728"/>
      <c r="BB78" s="720"/>
      <c r="BC78" s="720"/>
      <c r="BD78" s="720"/>
      <c r="BE78" s="720"/>
      <c r="BF78" s="721"/>
      <c r="BG78" s="703"/>
    </row>
    <row r="79" spans="3:59" ht="100" customHeight="1" x14ac:dyDescent="1">
      <c r="D79" s="408"/>
      <c r="E79" s="635"/>
      <c r="F79" s="664"/>
      <c r="G79" s="386"/>
      <c r="H79" s="386"/>
      <c r="I79" s="386"/>
      <c r="J79" s="386"/>
      <c r="K79" s="386"/>
      <c r="L79" s="386"/>
      <c r="M79" s="386"/>
      <c r="N79" s="392"/>
      <c r="O79" s="392"/>
      <c r="P79" s="386"/>
      <c r="Q79" s="386"/>
      <c r="R79" s="386"/>
      <c r="S79" s="386"/>
      <c r="T79" s="386"/>
      <c r="U79" s="386"/>
      <c r="V79" s="386"/>
      <c r="W79" s="386"/>
      <c r="X79" s="674"/>
      <c r="Y79" s="673"/>
      <c r="Z79" s="838"/>
      <c r="AA79" s="838"/>
      <c r="AB79" s="838"/>
      <c r="AC79" s="838"/>
      <c r="AD79" s="838"/>
      <c r="AE79" s="838"/>
      <c r="AF79" s="838"/>
      <c r="AG79" s="838"/>
      <c r="AH79" s="723"/>
      <c r="AI79" s="798"/>
      <c r="AJ79" s="388"/>
      <c r="AK79" s="388"/>
      <c r="AL79" s="388"/>
      <c r="AM79" s="388"/>
      <c r="AN79" s="388"/>
      <c r="AO79" s="388"/>
      <c r="AP79" s="860"/>
      <c r="AQ79" s="861"/>
      <c r="AR79" s="719"/>
      <c r="AS79" s="720"/>
      <c r="AT79" s="720"/>
      <c r="AU79" s="720"/>
      <c r="AV79" s="720"/>
      <c r="AW79" s="720"/>
      <c r="AX79" s="720"/>
      <c r="AY79" s="720"/>
      <c r="AZ79" s="392"/>
      <c r="BA79" s="392"/>
      <c r="BB79" s="720"/>
      <c r="BC79" s="720"/>
      <c r="BD79" s="720"/>
      <c r="BE79" s="720"/>
      <c r="BF79" s="721"/>
      <c r="BG79" s="703"/>
    </row>
    <row r="80" spans="3:59" ht="100" customHeight="1" thickBot="1" x14ac:dyDescent="1.05">
      <c r="D80" s="408"/>
      <c r="E80" s="635"/>
      <c r="F80" s="664"/>
      <c r="G80" s="386"/>
      <c r="H80" s="386"/>
      <c r="I80" s="386"/>
      <c r="J80" s="386"/>
      <c r="K80" s="386"/>
      <c r="L80" s="386"/>
      <c r="M80" s="386"/>
      <c r="N80" s="392"/>
      <c r="O80" s="392"/>
      <c r="P80" s="386"/>
      <c r="Q80" s="386"/>
      <c r="R80" s="386"/>
      <c r="S80" s="386"/>
      <c r="T80" s="386"/>
      <c r="U80" s="386"/>
      <c r="V80" s="386"/>
      <c r="W80" s="386"/>
      <c r="X80" s="674"/>
      <c r="Y80" s="673"/>
      <c r="Z80" s="723"/>
      <c r="AA80" s="723"/>
      <c r="AB80" s="723"/>
      <c r="AC80" s="723"/>
      <c r="AD80" s="723"/>
      <c r="AE80" s="723"/>
      <c r="AF80" s="723"/>
      <c r="AG80" s="723"/>
      <c r="AH80" s="723"/>
      <c r="AI80" s="798"/>
      <c r="AJ80" s="388"/>
      <c r="AK80" s="388"/>
      <c r="AL80" s="388"/>
      <c r="AM80" s="388"/>
      <c r="AN80" s="388"/>
      <c r="AO80" s="388"/>
      <c r="AP80" s="860"/>
      <c r="AQ80" s="861"/>
      <c r="AR80" s="745"/>
      <c r="AS80" s="746"/>
      <c r="AT80" s="746"/>
      <c r="AU80" s="746"/>
      <c r="AV80" s="746"/>
      <c r="AW80" s="746"/>
      <c r="AX80" s="746"/>
      <c r="AY80" s="746"/>
      <c r="AZ80" s="873"/>
      <c r="BA80" s="873"/>
      <c r="BB80" s="746"/>
      <c r="BC80" s="746"/>
      <c r="BD80" s="746"/>
      <c r="BE80" s="746"/>
      <c r="BF80" s="747"/>
      <c r="BG80" s="703"/>
    </row>
    <row r="81" spans="4:59" ht="10" customHeight="1" thickTop="1" thickBot="1" x14ac:dyDescent="1.05">
      <c r="D81" s="408"/>
      <c r="E81" s="635"/>
      <c r="F81" s="664"/>
      <c r="G81" s="386"/>
      <c r="H81" s="386"/>
      <c r="I81" s="386"/>
      <c r="J81" s="386"/>
      <c r="K81" s="386"/>
      <c r="L81" s="386"/>
      <c r="M81" s="386"/>
      <c r="N81" s="392"/>
      <c r="O81" s="392"/>
      <c r="P81" s="386"/>
      <c r="Q81" s="386"/>
      <c r="R81" s="386"/>
      <c r="S81" s="386"/>
      <c r="T81" s="386"/>
      <c r="U81" s="386"/>
      <c r="V81" s="386"/>
      <c r="W81" s="386"/>
      <c r="X81" s="674"/>
      <c r="Y81" s="652"/>
      <c r="Z81" s="753"/>
      <c r="AA81" s="754"/>
      <c r="AB81" s="754"/>
      <c r="AC81" s="754"/>
      <c r="AD81" s="754"/>
      <c r="AE81" s="754"/>
      <c r="AF81" s="754"/>
      <c r="AG81" s="754"/>
      <c r="AH81" s="755"/>
      <c r="AI81" s="812"/>
      <c r="AJ81" s="813"/>
      <c r="AK81" s="814"/>
      <c r="AL81" s="814"/>
      <c r="AM81" s="814"/>
      <c r="AN81" s="814"/>
      <c r="AO81" s="814"/>
      <c r="AP81" s="814"/>
      <c r="AQ81" s="749"/>
      <c r="AR81" s="874"/>
      <c r="AS81" s="874"/>
      <c r="AT81" s="874"/>
      <c r="AU81" s="874"/>
      <c r="AV81" s="754"/>
      <c r="AW81" s="754"/>
      <c r="AX81" s="754"/>
      <c r="AY81" s="754"/>
      <c r="AZ81" s="754"/>
      <c r="BA81" s="754"/>
      <c r="BB81" s="754"/>
      <c r="BC81" s="754"/>
      <c r="BD81" s="754"/>
      <c r="BE81" s="754"/>
      <c r="BF81" s="754"/>
      <c r="BG81" s="703"/>
    </row>
    <row r="82" spans="4:59" ht="100" customHeight="1" thickTop="1" x14ac:dyDescent="1">
      <c r="D82" s="408"/>
      <c r="E82" s="663"/>
      <c r="F82" s="2087" t="s">
        <v>133</v>
      </c>
      <c r="G82" s="2054"/>
      <c r="H82" s="2054"/>
      <c r="I82" s="2054"/>
      <c r="J82" s="2054"/>
      <c r="K82" s="2054"/>
      <c r="L82" s="2054"/>
      <c r="M82" s="2054"/>
      <c r="N82" s="2054"/>
      <c r="O82" s="2054"/>
      <c r="P82" s="2054"/>
      <c r="Q82" s="2054"/>
      <c r="R82" s="2054"/>
      <c r="S82" s="2054"/>
      <c r="T82" s="2054"/>
      <c r="U82" s="2054"/>
      <c r="V82" s="2054"/>
      <c r="W82" s="2054"/>
      <c r="X82" s="2088"/>
      <c r="Y82" s="875"/>
      <c r="Z82" s="2089" t="s">
        <v>168</v>
      </c>
      <c r="AA82" s="2064"/>
      <c r="AB82" s="2064"/>
      <c r="AC82" s="2064"/>
      <c r="AD82" s="2064"/>
      <c r="AE82" s="2064"/>
      <c r="AF82" s="2064"/>
      <c r="AG82" s="2064"/>
      <c r="AH82" s="2065"/>
      <c r="AI82" s="2092" t="s">
        <v>186</v>
      </c>
      <c r="AJ82" s="2066"/>
      <c r="AK82" s="2066"/>
      <c r="AL82" s="2066"/>
      <c r="AM82" s="2066"/>
      <c r="AN82" s="2066"/>
      <c r="AO82" s="2066"/>
      <c r="AP82" s="2066"/>
      <c r="AQ82" s="2064" t="s">
        <v>171</v>
      </c>
      <c r="AR82" s="2064"/>
      <c r="AS82" s="2064"/>
      <c r="AT82" s="2064"/>
      <c r="AU82" s="2064"/>
      <c r="AV82" s="2064"/>
      <c r="AW82" s="2064"/>
      <c r="AX82" s="2064"/>
      <c r="AY82" s="2064"/>
      <c r="AZ82" s="2064"/>
      <c r="BA82" s="2064"/>
      <c r="BB82" s="2064"/>
      <c r="BC82" s="2064"/>
      <c r="BD82" s="2064"/>
      <c r="BE82" s="2064"/>
      <c r="BF82" s="2064"/>
      <c r="BG82" s="2065"/>
    </row>
    <row r="83" spans="4:59" ht="100" customHeight="1" thickBot="1" x14ac:dyDescent="1.05">
      <c r="D83" s="408"/>
      <c r="E83" s="635"/>
      <c r="F83" s="2087"/>
      <c r="G83" s="2054"/>
      <c r="H83" s="2054"/>
      <c r="I83" s="2054"/>
      <c r="J83" s="2054"/>
      <c r="K83" s="2054"/>
      <c r="L83" s="2054"/>
      <c r="M83" s="2054"/>
      <c r="N83" s="2054"/>
      <c r="O83" s="2054"/>
      <c r="P83" s="2054"/>
      <c r="Q83" s="2054"/>
      <c r="R83" s="2054"/>
      <c r="S83" s="2054"/>
      <c r="T83" s="2054"/>
      <c r="U83" s="2054"/>
      <c r="V83" s="2054"/>
      <c r="W83" s="2054"/>
      <c r="X83" s="2088"/>
      <c r="Y83" s="875"/>
      <c r="Z83" s="2090"/>
      <c r="AA83" s="2086"/>
      <c r="AB83" s="2086"/>
      <c r="AC83" s="2086"/>
      <c r="AD83" s="2086"/>
      <c r="AE83" s="2086"/>
      <c r="AF83" s="2086"/>
      <c r="AG83" s="2086"/>
      <c r="AH83" s="2091"/>
      <c r="AI83" s="2092"/>
      <c r="AJ83" s="2066"/>
      <c r="AK83" s="2066"/>
      <c r="AL83" s="2066"/>
      <c r="AM83" s="2066"/>
      <c r="AN83" s="2066"/>
      <c r="AO83" s="2066"/>
      <c r="AP83" s="2066"/>
      <c r="AQ83" s="2093"/>
      <c r="AR83" s="2093"/>
      <c r="AS83" s="2093"/>
      <c r="AT83" s="2093"/>
      <c r="AU83" s="2093"/>
      <c r="AV83" s="2093"/>
      <c r="AW83" s="2093"/>
      <c r="AX83" s="2093"/>
      <c r="AY83" s="2093"/>
      <c r="AZ83" s="2093"/>
      <c r="BA83" s="2093"/>
      <c r="BB83" s="2093"/>
      <c r="BC83" s="2093"/>
      <c r="BD83" s="2093"/>
      <c r="BE83" s="2093"/>
      <c r="BF83" s="2093"/>
      <c r="BG83" s="2094"/>
    </row>
    <row r="84" spans="4:59" ht="10" customHeight="1" thickTop="1" thickBot="1" x14ac:dyDescent="1.05">
      <c r="D84" s="408"/>
      <c r="E84" s="635"/>
      <c r="F84" s="1558"/>
      <c r="G84" s="1558"/>
      <c r="H84" s="1558"/>
      <c r="I84" s="1558"/>
      <c r="J84" s="1558"/>
      <c r="K84" s="1558"/>
      <c r="L84" s="1558"/>
      <c r="M84" s="1558"/>
      <c r="N84" s="1558"/>
      <c r="O84" s="1558"/>
      <c r="P84" s="1558"/>
      <c r="Q84" s="1558"/>
      <c r="R84" s="1558"/>
      <c r="S84" s="1558"/>
      <c r="T84" s="1558"/>
      <c r="U84" s="1558"/>
      <c r="V84" s="1558"/>
      <c r="W84" s="1558"/>
      <c r="X84" s="1570"/>
      <c r="Y84" s="875"/>
      <c r="Z84" s="877"/>
      <c r="AA84" s="766"/>
      <c r="AB84" s="766"/>
      <c r="AC84" s="766"/>
      <c r="AD84" s="766"/>
      <c r="AE84" s="766"/>
      <c r="AF84" s="766"/>
      <c r="AG84" s="766"/>
      <c r="AH84" s="766"/>
      <c r="AI84" s="766"/>
      <c r="AJ84" s="766"/>
      <c r="AK84" s="826"/>
      <c r="AL84" s="878"/>
      <c r="AM84" s="766"/>
      <c r="AN84" s="879"/>
      <c r="AO84" s="880"/>
      <c r="AP84" s="881"/>
      <c r="AQ84" s="882"/>
      <c r="AR84" s="882"/>
      <c r="AS84" s="882"/>
      <c r="AT84" s="882"/>
      <c r="AU84" s="881"/>
      <c r="AV84" s="882"/>
      <c r="AW84" s="882"/>
      <c r="AX84" s="882"/>
      <c r="AY84" s="882"/>
      <c r="AZ84" s="882"/>
      <c r="BA84" s="882"/>
      <c r="BB84" s="882"/>
      <c r="BC84" s="882"/>
      <c r="BD84" s="882"/>
      <c r="BE84" s="882"/>
      <c r="BF84" s="880"/>
      <c r="BG84" s="883"/>
    </row>
    <row r="85" spans="4:59" ht="100" customHeight="1" thickTop="1" x14ac:dyDescent="1">
      <c r="D85" s="408"/>
      <c r="E85" s="635"/>
      <c r="F85" s="386"/>
      <c r="G85" s="386"/>
      <c r="H85" s="386"/>
      <c r="I85" s="386"/>
      <c r="J85" s="386"/>
      <c r="K85" s="386"/>
      <c r="L85" s="386"/>
      <c r="M85" s="386"/>
      <c r="N85" s="386"/>
      <c r="O85" s="386"/>
      <c r="P85" s="386"/>
      <c r="Q85" s="386"/>
      <c r="R85" s="386"/>
      <c r="S85" s="386"/>
      <c r="T85" s="386"/>
      <c r="U85" s="386"/>
      <c r="V85" s="386"/>
      <c r="W85" s="386"/>
      <c r="X85" s="674"/>
      <c r="Y85" s="673"/>
      <c r="Z85" s="720"/>
      <c r="AA85" s="720"/>
      <c r="AB85" s="720"/>
      <c r="AC85" s="720"/>
      <c r="AD85" s="720"/>
      <c r="AE85" s="720"/>
      <c r="AF85" s="720"/>
      <c r="AG85" s="720"/>
      <c r="AH85" s="720"/>
      <c r="AI85" s="720"/>
      <c r="AJ85" s="720"/>
      <c r="AK85" s="720"/>
      <c r="AL85" s="720"/>
      <c r="AM85" s="720"/>
      <c r="AN85" s="884"/>
      <c r="AO85" s="852"/>
      <c r="AP85" s="667"/>
      <c r="AQ85" s="667"/>
      <c r="AR85" s="667"/>
      <c r="AS85" s="667"/>
      <c r="AT85" s="667"/>
      <c r="AU85" s="667"/>
      <c r="AV85" s="667"/>
      <c r="AW85" s="667"/>
      <c r="AX85" s="667"/>
      <c r="AY85" s="667"/>
      <c r="AZ85" s="667"/>
      <c r="BA85" s="667"/>
      <c r="BB85" s="667"/>
      <c r="BC85" s="667"/>
      <c r="BD85" s="667"/>
      <c r="BE85" s="667"/>
      <c r="BF85" s="669"/>
      <c r="BG85" s="885"/>
    </row>
    <row r="86" spans="4:59" ht="100" customHeight="1" x14ac:dyDescent="1">
      <c r="D86" s="408"/>
      <c r="E86" s="635"/>
      <c r="F86" s="664"/>
      <c r="G86" s="386"/>
      <c r="H86" s="386"/>
      <c r="I86" s="386"/>
      <c r="J86" s="386"/>
      <c r="K86" s="386"/>
      <c r="L86" s="386"/>
      <c r="M86" s="386"/>
      <c r="N86" s="598"/>
      <c r="O86" s="598"/>
      <c r="P86" s="598"/>
      <c r="Q86" s="598"/>
      <c r="R86" s="386"/>
      <c r="S86" s="386"/>
      <c r="T86" s="386"/>
      <c r="U86" s="386"/>
      <c r="V86" s="386"/>
      <c r="W86" s="386"/>
      <c r="X86" s="674"/>
      <c r="Y86" s="673"/>
      <c r="Z86" s="886"/>
      <c r="AA86" s="886"/>
      <c r="AB86" s="886"/>
      <c r="AC86" s="886"/>
      <c r="AD86" s="797"/>
      <c r="AE86" s="797"/>
      <c r="AF86" s="797"/>
      <c r="AG86" s="797"/>
      <c r="AH86" s="797"/>
      <c r="AI86" s="797"/>
      <c r="AJ86" s="797"/>
      <c r="AK86" s="797"/>
      <c r="AL86" s="797"/>
      <c r="AM86" s="797"/>
      <c r="AN86" s="884"/>
      <c r="AO86" s="885"/>
      <c r="AP86" s="664"/>
      <c r="AQ86" s="386"/>
      <c r="AR86" s="386"/>
      <c r="AS86" s="386"/>
      <c r="AT86" s="386"/>
      <c r="AU86" s="386"/>
      <c r="AV86" s="386"/>
      <c r="AW86" s="386"/>
      <c r="AX86" s="386"/>
      <c r="AY86" s="386"/>
      <c r="AZ86" s="386"/>
      <c r="BA86" s="386"/>
      <c r="BB86" s="386"/>
      <c r="BC86" s="386"/>
      <c r="BD86" s="386"/>
      <c r="BE86" s="386"/>
      <c r="BF86" s="674"/>
      <c r="BG86" s="885"/>
    </row>
    <row r="87" spans="4:59" ht="100" customHeight="1" x14ac:dyDescent="1">
      <c r="D87" s="408"/>
      <c r="E87" s="635"/>
      <c r="F87" s="1555"/>
      <c r="G87" s="1545"/>
      <c r="H87" s="1545"/>
      <c r="I87" s="1545"/>
      <c r="J87" s="386"/>
      <c r="K87" s="386"/>
      <c r="L87" s="598"/>
      <c r="M87" s="598"/>
      <c r="N87" s="598"/>
      <c r="O87" s="598"/>
      <c r="P87" s="598"/>
      <c r="Q87" s="598"/>
      <c r="R87" s="386"/>
      <c r="S87" s="386"/>
      <c r="T87" s="386"/>
      <c r="U87" s="386"/>
      <c r="V87" s="386"/>
      <c r="W87" s="386"/>
      <c r="X87" s="674"/>
      <c r="Y87" s="673"/>
      <c r="Z87" s="886"/>
      <c r="AA87" s="886"/>
      <c r="AB87" s="886"/>
      <c r="AC87" s="886"/>
      <c r="AD87" s="797"/>
      <c r="AE87" s="797"/>
      <c r="AF87" s="797"/>
      <c r="AG87" s="797"/>
      <c r="AH87" s="797"/>
      <c r="AI87" s="797"/>
      <c r="AJ87" s="797"/>
      <c r="AK87" s="797"/>
      <c r="AL87" s="797"/>
      <c r="AM87" s="797"/>
      <c r="AN87" s="884"/>
      <c r="AO87" s="885"/>
      <c r="AP87" s="664"/>
      <c r="AQ87" s="386"/>
      <c r="AR87" s="386"/>
      <c r="AS87" s="386"/>
      <c r="AT87" s="386"/>
      <c r="AU87" s="386"/>
      <c r="AV87" s="386"/>
      <c r="AW87" s="386"/>
      <c r="AX87" s="386"/>
      <c r="AY87" s="386"/>
      <c r="AZ87" s="386"/>
      <c r="BA87" s="386"/>
      <c r="BB87" s="386"/>
      <c r="BC87" s="386"/>
      <c r="BD87" s="386"/>
      <c r="BE87" s="386"/>
      <c r="BF87" s="674"/>
      <c r="BG87" s="885"/>
    </row>
    <row r="88" spans="4:59" ht="100" customHeight="1" x14ac:dyDescent="1">
      <c r="D88" s="408"/>
      <c r="E88" s="635"/>
      <c r="F88" s="1555"/>
      <c r="G88" s="1545"/>
      <c r="H88" s="727" t="s">
        <v>196</v>
      </c>
      <c r="I88" s="727"/>
      <c r="J88" s="1542"/>
      <c r="K88" s="1542"/>
      <c r="L88" s="598"/>
      <c r="M88" s="598"/>
      <c r="N88" s="1542"/>
      <c r="O88" s="1542"/>
      <c r="P88" s="1542"/>
      <c r="Q88" s="1542"/>
      <c r="R88" s="1542"/>
      <c r="S88" s="1542"/>
      <c r="T88" s="1542"/>
      <c r="U88" s="1542"/>
      <c r="V88" s="1542"/>
      <c r="W88" s="1542"/>
      <c r="X88" s="1556"/>
      <c r="Y88" s="875"/>
      <c r="Z88" s="887"/>
      <c r="AA88" s="887"/>
      <c r="AB88" s="887" t="s">
        <v>138</v>
      </c>
      <c r="AC88" s="887"/>
      <c r="AD88" s="887"/>
      <c r="AE88" s="887"/>
      <c r="AF88" s="887"/>
      <c r="AG88" s="887"/>
      <c r="AH88" s="887"/>
      <c r="AI88" s="887"/>
      <c r="AJ88" s="887"/>
      <c r="AK88" s="887"/>
      <c r="AL88" s="887"/>
      <c r="AM88" s="888"/>
      <c r="AN88" s="889"/>
      <c r="AO88" s="890"/>
      <c r="AP88" s="664"/>
      <c r="AQ88" s="386"/>
      <c r="AR88" s="727" t="s">
        <v>179</v>
      </c>
      <c r="AS88" s="727"/>
      <c r="AT88" s="1545"/>
      <c r="AU88" s="1545"/>
      <c r="AV88" s="1545"/>
      <c r="AW88" s="1545"/>
      <c r="AX88" s="1545"/>
      <c r="AY88" s="1545"/>
      <c r="AZ88" s="1545"/>
      <c r="BA88" s="1545"/>
      <c r="BB88" s="1545"/>
      <c r="BC88" s="1545"/>
      <c r="BD88" s="1545"/>
      <c r="BE88" s="1545"/>
      <c r="BF88" s="1557"/>
      <c r="BG88" s="885"/>
    </row>
    <row r="89" spans="4:59" ht="100" customHeight="1" x14ac:dyDescent="1">
      <c r="D89" s="408"/>
      <c r="E89" s="635"/>
      <c r="F89" s="664"/>
      <c r="G89" s="386"/>
      <c r="H89" s="1549">
        <f>4900+4900</f>
        <v>9800</v>
      </c>
      <c r="I89" s="1549"/>
      <c r="J89" s="780"/>
      <c r="K89" s="780"/>
      <c r="L89" s="780"/>
      <c r="M89" s="780"/>
      <c r="N89" s="780"/>
      <c r="O89" s="780"/>
      <c r="P89" s="1542"/>
      <c r="Q89" s="1542"/>
      <c r="R89" s="780"/>
      <c r="S89" s="780"/>
      <c r="T89" s="780"/>
      <c r="U89" s="780"/>
      <c r="V89" s="780"/>
      <c r="W89" s="780"/>
      <c r="X89" s="891"/>
      <c r="Y89" s="892"/>
      <c r="Z89" s="893"/>
      <c r="AA89" s="893"/>
      <c r="AB89" s="894">
        <v>2500</v>
      </c>
      <c r="AC89" s="895"/>
      <c r="AD89" s="895"/>
      <c r="AE89" s="895"/>
      <c r="AF89" s="895"/>
      <c r="AG89" s="895"/>
      <c r="AH89" s="895"/>
      <c r="AI89" s="895"/>
      <c r="AJ89" s="895"/>
      <c r="AK89" s="895"/>
      <c r="AL89" s="895"/>
      <c r="AM89" s="896"/>
      <c r="AN89" s="897"/>
      <c r="AO89" s="898"/>
      <c r="AP89" s="664"/>
      <c r="AQ89" s="386"/>
      <c r="AR89" s="1549">
        <v>4900</v>
      </c>
      <c r="AS89" s="1549"/>
      <c r="AT89" s="1549"/>
      <c r="AU89" s="1549"/>
      <c r="AV89" s="1549"/>
      <c r="AW89" s="1549"/>
      <c r="AX89" s="1549"/>
      <c r="AY89" s="1549"/>
      <c r="AZ89" s="1545"/>
      <c r="BA89" s="1549"/>
      <c r="BB89" s="1549"/>
      <c r="BC89" s="1549"/>
      <c r="BD89" s="1549"/>
      <c r="BE89" s="1549"/>
      <c r="BF89" s="674"/>
      <c r="BG89" s="885"/>
    </row>
    <row r="90" spans="4:59" ht="100" customHeight="1" x14ac:dyDescent="1">
      <c r="D90" s="408"/>
      <c r="E90" s="635"/>
      <c r="F90" s="664"/>
      <c r="G90" s="386"/>
      <c r="H90" s="386"/>
      <c r="I90" s="386"/>
      <c r="J90" s="386"/>
      <c r="K90" s="386"/>
      <c r="L90" s="386"/>
      <c r="M90" s="386"/>
      <c r="N90" s="598"/>
      <c r="O90" s="598"/>
      <c r="P90" s="598"/>
      <c r="Q90" s="598"/>
      <c r="R90" s="386"/>
      <c r="S90" s="386"/>
      <c r="T90" s="386"/>
      <c r="U90" s="386"/>
      <c r="V90" s="386"/>
      <c r="W90" s="386"/>
      <c r="X90" s="674"/>
      <c r="Y90" s="673"/>
      <c r="Z90" s="886"/>
      <c r="AA90" s="886"/>
      <c r="AB90" s="886"/>
      <c r="AC90" s="886"/>
      <c r="AD90" s="797"/>
      <c r="AE90" s="797"/>
      <c r="AF90" s="797"/>
      <c r="AG90" s="797"/>
      <c r="AH90" s="797"/>
      <c r="AI90" s="797"/>
      <c r="AJ90" s="797"/>
      <c r="AK90" s="797"/>
      <c r="AL90" s="797"/>
      <c r="AM90" s="797"/>
      <c r="AN90" s="884"/>
      <c r="AO90" s="885"/>
      <c r="AP90" s="664"/>
      <c r="AQ90" s="386"/>
      <c r="AR90" s="386"/>
      <c r="AS90" s="386"/>
      <c r="AT90" s="386"/>
      <c r="AU90" s="386"/>
      <c r="AV90" s="386"/>
      <c r="AW90" s="386"/>
      <c r="AX90" s="386"/>
      <c r="AY90" s="386"/>
      <c r="AZ90" s="386"/>
      <c r="BA90" s="386"/>
      <c r="BB90" s="386"/>
      <c r="BC90" s="386"/>
      <c r="BD90" s="386"/>
      <c r="BE90" s="386"/>
      <c r="BF90" s="674"/>
      <c r="BG90" s="885"/>
    </row>
    <row r="91" spans="4:59" ht="100" customHeight="1" thickBot="1" x14ac:dyDescent="1.05">
      <c r="D91" s="408"/>
      <c r="E91" s="899"/>
      <c r="F91" s="676"/>
      <c r="G91" s="658"/>
      <c r="H91" s="658"/>
      <c r="I91" s="658"/>
      <c r="J91" s="658"/>
      <c r="K91" s="658"/>
      <c r="L91" s="658"/>
      <c r="M91" s="658"/>
      <c r="N91" s="658"/>
      <c r="O91" s="658"/>
      <c r="P91" s="658"/>
      <c r="Q91" s="658"/>
      <c r="R91" s="658"/>
      <c r="S91" s="658"/>
      <c r="T91" s="658"/>
      <c r="U91" s="658"/>
      <c r="V91" s="658"/>
      <c r="W91" s="658"/>
      <c r="X91" s="678"/>
      <c r="Y91" s="673"/>
      <c r="Z91" s="720"/>
      <c r="AA91" s="720"/>
      <c r="AB91" s="720"/>
      <c r="AC91" s="720"/>
      <c r="AD91" s="720"/>
      <c r="AE91" s="720"/>
      <c r="AF91" s="720"/>
      <c r="AG91" s="720"/>
      <c r="AH91" s="720"/>
      <c r="AI91" s="720"/>
      <c r="AJ91" s="720"/>
      <c r="AK91" s="720"/>
      <c r="AL91" s="720"/>
      <c r="AM91" s="720"/>
      <c r="AN91" s="900"/>
      <c r="AO91" s="673"/>
      <c r="AP91" s="676"/>
      <c r="AQ91" s="658"/>
      <c r="AR91" s="658"/>
      <c r="AS91" s="658"/>
      <c r="AT91" s="658"/>
      <c r="AU91" s="658"/>
      <c r="AV91" s="658"/>
      <c r="AW91" s="658"/>
      <c r="AX91" s="658"/>
      <c r="AY91" s="658"/>
      <c r="AZ91" s="658"/>
      <c r="BA91" s="658"/>
      <c r="BB91" s="658"/>
      <c r="BC91" s="658"/>
      <c r="BD91" s="658"/>
      <c r="BE91" s="658"/>
      <c r="BF91" s="678"/>
      <c r="BG91" s="885"/>
    </row>
    <row r="92" spans="4:59" ht="10" customHeight="1" thickTop="1" thickBot="1" x14ac:dyDescent="1.05">
      <c r="D92" s="408"/>
      <c r="E92" s="638"/>
      <c r="F92" s="631"/>
      <c r="G92" s="632"/>
      <c r="H92" s="632"/>
      <c r="I92" s="632"/>
      <c r="J92" s="632"/>
      <c r="K92" s="632"/>
      <c r="L92" s="632"/>
      <c r="M92" s="632"/>
      <c r="N92" s="632"/>
      <c r="O92" s="632"/>
      <c r="P92" s="632"/>
      <c r="Q92" s="632"/>
      <c r="R92" s="632"/>
      <c r="S92" s="632"/>
      <c r="T92" s="632"/>
      <c r="U92" s="632"/>
      <c r="V92" s="632"/>
      <c r="W92" s="632"/>
      <c r="X92" s="632"/>
      <c r="Y92" s="675"/>
      <c r="Z92" s="901"/>
      <c r="AA92" s="901"/>
      <c r="AB92" s="901"/>
      <c r="AC92" s="901"/>
      <c r="AD92" s="901"/>
      <c r="AE92" s="901"/>
      <c r="AF92" s="901"/>
      <c r="AG92" s="901"/>
      <c r="AH92" s="901"/>
      <c r="AI92" s="901"/>
      <c r="AJ92" s="901"/>
      <c r="AK92" s="901"/>
      <c r="AL92" s="901"/>
      <c r="AM92" s="901"/>
      <c r="AN92" s="902"/>
      <c r="AO92" s="632"/>
      <c r="AP92" s="632"/>
      <c r="AQ92" s="632"/>
      <c r="AR92" s="632"/>
      <c r="AS92" s="632"/>
      <c r="AT92" s="632"/>
      <c r="AU92" s="632"/>
      <c r="AV92" s="632"/>
      <c r="AW92" s="632"/>
      <c r="AX92" s="632"/>
      <c r="AY92" s="632"/>
      <c r="AZ92" s="632"/>
      <c r="BA92" s="632"/>
      <c r="BB92" s="632"/>
      <c r="BC92" s="632"/>
      <c r="BD92" s="632"/>
      <c r="BE92" s="632"/>
      <c r="BF92" s="633"/>
      <c r="BG92" s="885"/>
    </row>
    <row r="93" spans="4:59" ht="100" customHeight="1" thickTop="1" x14ac:dyDescent="1">
      <c r="E93" s="408"/>
      <c r="AO93" s="408"/>
      <c r="BG93" s="1464"/>
    </row>
    <row r="94" spans="4:59" ht="100" customHeight="1" x14ac:dyDescent="1">
      <c r="E94" s="408"/>
      <c r="AO94" s="408"/>
    </row>
    <row r="97" spans="3:65" s="1426" customFormat="1" ht="190" customHeight="1" x14ac:dyDescent="1.2">
      <c r="C97" s="1431"/>
      <c r="F97" s="1434" t="s">
        <v>130</v>
      </c>
      <c r="G97" s="1434"/>
      <c r="H97" s="1435"/>
      <c r="I97" s="1435"/>
      <c r="J97" s="1435"/>
      <c r="K97" s="1435"/>
      <c r="L97" s="1435"/>
      <c r="M97" s="1435"/>
      <c r="N97" s="1435"/>
      <c r="O97" s="1435"/>
      <c r="P97" s="1435"/>
      <c r="Q97" s="1435"/>
      <c r="R97" s="1435"/>
      <c r="S97" s="1435"/>
      <c r="T97" s="1435"/>
      <c r="U97" s="1435"/>
      <c r="V97" s="1435"/>
      <c r="W97" s="1435"/>
      <c r="X97" s="1435"/>
      <c r="Y97" s="1435"/>
      <c r="Z97" s="1435"/>
      <c r="AA97" s="1435"/>
      <c r="AB97" s="1435"/>
      <c r="AC97" s="1435"/>
      <c r="AD97" s="1435"/>
      <c r="AE97" s="1435"/>
      <c r="AF97" s="1435"/>
      <c r="AG97" s="1435"/>
      <c r="AH97" s="1435"/>
      <c r="AI97" s="1435"/>
      <c r="AJ97" s="1435"/>
      <c r="AK97" s="1435"/>
      <c r="AL97" s="1435"/>
      <c r="AM97" s="1435"/>
      <c r="AN97" s="1435"/>
      <c r="AO97" s="1435"/>
      <c r="AP97" s="1435"/>
      <c r="AQ97" s="1435"/>
      <c r="AR97" s="1435"/>
      <c r="AS97" s="1435"/>
      <c r="AT97" s="1435"/>
      <c r="AU97" s="1435"/>
      <c r="AV97" s="1435"/>
      <c r="AW97" s="1435"/>
      <c r="AX97" s="1435"/>
      <c r="AY97" s="1435"/>
      <c r="AZ97" s="1435"/>
      <c r="BA97" s="1435"/>
      <c r="BB97" s="1435"/>
      <c r="BC97" s="1435"/>
      <c r="BD97" s="1435"/>
      <c r="BE97" s="1435"/>
      <c r="BF97" s="1435"/>
      <c r="BG97" s="1435"/>
      <c r="BH97" s="1435"/>
    </row>
    <row r="98" spans="3:65" s="1426" customFormat="1" ht="100" customHeight="1" x14ac:dyDescent="1.2">
      <c r="C98" s="1431"/>
      <c r="F98" s="1436"/>
      <c r="G98" s="1436"/>
    </row>
    <row r="99" spans="3:65" s="1426" customFormat="1" ht="100" customHeight="1" x14ac:dyDescent="1.2">
      <c r="C99" s="1431"/>
      <c r="F99" s="1436" t="s">
        <v>131</v>
      </c>
      <c r="G99" s="1436"/>
      <c r="J99" s="1440"/>
      <c r="K99" s="1440"/>
      <c r="M99" s="1427"/>
      <c r="P99" s="1427" t="s">
        <v>134</v>
      </c>
      <c r="R99" s="1440">
        <v>20000</v>
      </c>
      <c r="S99" s="1440"/>
      <c r="T99" s="1426" t="s">
        <v>33</v>
      </c>
    </row>
    <row r="100" spans="3:65" ht="100" customHeight="1" thickBot="1" x14ac:dyDescent="1.05">
      <c r="E100" s="372"/>
      <c r="F100" s="355"/>
      <c r="G100" s="355"/>
      <c r="AC100" s="372"/>
      <c r="AI100" s="697"/>
      <c r="AJ100" s="793"/>
      <c r="AK100" s="793"/>
      <c r="AL100" s="793"/>
      <c r="AM100" s="793"/>
      <c r="AN100" s="793"/>
      <c r="AO100" s="793"/>
      <c r="AP100" s="793"/>
      <c r="AQ100" s="697"/>
      <c r="AU100" s="408"/>
      <c r="AV100" s="372"/>
      <c r="AW100" s="372"/>
      <c r="AX100" s="372"/>
      <c r="AY100" s="372"/>
      <c r="AZ100" s="372"/>
      <c r="BA100" s="372"/>
      <c r="BB100" s="372"/>
      <c r="BC100" s="372"/>
      <c r="BD100" s="372"/>
      <c r="BE100" s="372"/>
      <c r="BF100" s="372"/>
      <c r="BG100" s="408"/>
    </row>
    <row r="101" spans="3:65" ht="10" customHeight="1" thickTop="1" thickBot="1" x14ac:dyDescent="1.05">
      <c r="D101" s="475"/>
      <c r="E101" s="471"/>
      <c r="F101" s="477"/>
      <c r="G101" s="476"/>
      <c r="H101" s="476"/>
      <c r="I101" s="476"/>
      <c r="J101" s="476"/>
      <c r="K101" s="476"/>
      <c r="L101" s="476"/>
      <c r="M101" s="476"/>
      <c r="N101" s="476"/>
      <c r="O101" s="476"/>
      <c r="P101" s="477"/>
      <c r="Q101" s="477"/>
      <c r="R101" s="476"/>
      <c r="S101" s="476"/>
      <c r="T101" s="476"/>
      <c r="U101" s="477"/>
      <c r="V101" s="476"/>
      <c r="W101" s="476"/>
      <c r="X101" s="478"/>
      <c r="Y101" s="476"/>
      <c r="Z101" s="477"/>
      <c r="AA101" s="476"/>
      <c r="AB101" s="478"/>
      <c r="AC101" s="465"/>
      <c r="AD101" s="754"/>
      <c r="AE101" s="754"/>
      <c r="AF101" s="755"/>
      <c r="AG101" s="755"/>
      <c r="AH101" s="903"/>
      <c r="AI101" s="704"/>
      <c r="AJ101" s="388"/>
      <c r="AK101" s="388"/>
      <c r="AL101" s="388"/>
      <c r="AM101" s="388"/>
      <c r="AN101" s="388"/>
      <c r="AO101" s="388"/>
      <c r="AP101" s="388"/>
      <c r="AQ101" s="703"/>
      <c r="AR101" s="753"/>
      <c r="AS101" s="754"/>
      <c r="AT101" s="755"/>
      <c r="AU101" s="904"/>
      <c r="AV101" s="465"/>
      <c r="AW101" s="465"/>
      <c r="AX101" s="465"/>
      <c r="AY101" s="465"/>
      <c r="AZ101" s="465"/>
      <c r="BA101" s="465"/>
      <c r="BB101" s="465"/>
      <c r="BC101" s="465"/>
      <c r="BD101" s="465"/>
      <c r="BE101" s="465"/>
      <c r="BF101" s="469"/>
      <c r="BG101" s="698"/>
      <c r="BH101" s="905"/>
    </row>
    <row r="102" spans="3:65" ht="100" customHeight="1" thickTop="1" x14ac:dyDescent="1">
      <c r="D102" s="475"/>
      <c r="E102" s="465"/>
      <c r="F102" s="504"/>
      <c r="G102" s="716"/>
      <c r="H102" s="716"/>
      <c r="I102" s="716"/>
      <c r="J102" s="716"/>
      <c r="K102" s="716"/>
      <c r="L102" s="716"/>
      <c r="M102" s="716"/>
      <c r="N102" s="717"/>
      <c r="O102" s="717"/>
      <c r="P102" s="718"/>
      <c r="Q102" s="769"/>
      <c r="R102" s="906"/>
      <c r="S102" s="907"/>
      <c r="T102" s="908"/>
      <c r="U102" s="909"/>
      <c r="V102" s="910"/>
      <c r="W102" s="911"/>
      <c r="X102" s="912"/>
      <c r="Y102" s="909"/>
      <c r="Z102" s="911"/>
      <c r="AA102" s="913"/>
      <c r="AB102" s="914"/>
      <c r="AC102" s="465"/>
      <c r="AD102" s="797"/>
      <c r="AE102" s="797"/>
      <c r="AF102" s="797"/>
      <c r="AG102" s="797"/>
      <c r="AH102" s="721"/>
      <c r="AI102" s="704"/>
      <c r="AJ102" s="388"/>
      <c r="AK102" s="388"/>
      <c r="AL102" s="388"/>
      <c r="AM102" s="388"/>
      <c r="AN102" s="915"/>
      <c r="AO102" s="392"/>
      <c r="AP102" s="391"/>
      <c r="AQ102" s="861"/>
      <c r="AR102" s="722"/>
      <c r="AS102" s="723"/>
      <c r="AT102" s="723"/>
      <c r="AU102" s="702"/>
      <c r="AV102" s="716"/>
      <c r="AW102" s="716"/>
      <c r="AX102" s="716"/>
      <c r="AY102" s="716"/>
      <c r="AZ102" s="717"/>
      <c r="BA102" s="717"/>
      <c r="BB102" s="716"/>
      <c r="BC102" s="716"/>
      <c r="BD102" s="716"/>
      <c r="BE102" s="716"/>
      <c r="BF102" s="718"/>
      <c r="BG102" s="916"/>
    </row>
    <row r="103" spans="3:65" ht="100" customHeight="1" x14ac:dyDescent="1">
      <c r="D103" s="475"/>
      <c r="E103" s="465"/>
      <c r="F103" s="508"/>
      <c r="G103" s="386"/>
      <c r="H103" s="386"/>
      <c r="I103" s="386"/>
      <c r="J103" s="386"/>
      <c r="K103" s="386"/>
      <c r="L103" s="386"/>
      <c r="M103" s="386"/>
      <c r="N103" s="392"/>
      <c r="O103" s="392"/>
      <c r="P103" s="505"/>
      <c r="Q103" s="465"/>
      <c r="R103" s="488" t="s">
        <v>152</v>
      </c>
      <c r="S103" s="489"/>
      <c r="T103" s="1553" t="s">
        <v>152</v>
      </c>
      <c r="U103" s="1546"/>
      <c r="V103" s="491" t="s">
        <v>152</v>
      </c>
      <c r="W103" s="492"/>
      <c r="X103" s="1553" t="s">
        <v>152</v>
      </c>
      <c r="Y103" s="1545"/>
      <c r="Z103" s="489" t="s">
        <v>152</v>
      </c>
      <c r="AA103" s="1545"/>
      <c r="AB103" s="493" t="s">
        <v>152</v>
      </c>
      <c r="AC103" s="1539"/>
      <c r="AD103" s="797"/>
      <c r="AE103" s="797"/>
      <c r="AF103" s="797"/>
      <c r="AG103" s="797"/>
      <c r="AH103" s="721"/>
      <c r="AI103" s="704"/>
      <c r="AJ103" s="388"/>
      <c r="AK103" s="388"/>
      <c r="AL103" s="388"/>
      <c r="AM103" s="388"/>
      <c r="AN103" s="388"/>
      <c r="AO103" s="388"/>
      <c r="AP103" s="391"/>
      <c r="AQ103" s="861"/>
      <c r="AR103" s="722"/>
      <c r="AS103" s="723"/>
      <c r="AT103" s="723"/>
      <c r="AU103" s="469"/>
      <c r="AV103" s="386"/>
      <c r="AW103" s="386"/>
      <c r="AX103" s="386"/>
      <c r="AY103" s="386"/>
      <c r="AZ103" s="392"/>
      <c r="BA103" s="392"/>
      <c r="BB103" s="386"/>
      <c r="BC103" s="386"/>
      <c r="BD103" s="386"/>
      <c r="BE103" s="386"/>
      <c r="BF103" s="505"/>
      <c r="BG103" s="916"/>
    </row>
    <row r="104" spans="3:65" ht="100" customHeight="1" x14ac:dyDescent="1">
      <c r="D104" s="475"/>
      <c r="E104" s="465"/>
      <c r="F104" s="1544"/>
      <c r="G104" s="1545"/>
      <c r="H104" s="386"/>
      <c r="I104" s="386"/>
      <c r="J104" s="386"/>
      <c r="K104" s="386"/>
      <c r="L104" s="386"/>
      <c r="M104" s="386"/>
      <c r="N104" s="1560"/>
      <c r="O104" s="1560"/>
      <c r="P104" s="1548"/>
      <c r="Q104" s="1539"/>
      <c r="R104" s="488" t="s">
        <v>153</v>
      </c>
      <c r="S104" s="489"/>
      <c r="T104" s="1553" t="s">
        <v>154</v>
      </c>
      <c r="U104" s="1546"/>
      <c r="V104" s="491" t="s">
        <v>154</v>
      </c>
      <c r="W104" s="492"/>
      <c r="X104" s="1553" t="s">
        <v>154</v>
      </c>
      <c r="Y104" s="1545"/>
      <c r="Z104" s="489" t="s">
        <v>154</v>
      </c>
      <c r="AA104" s="1545"/>
      <c r="AB104" s="493" t="s">
        <v>154</v>
      </c>
      <c r="AC104" s="1539"/>
      <c r="AD104" s="801"/>
      <c r="AE104" s="801"/>
      <c r="AF104" s="797"/>
      <c r="AG104" s="797"/>
      <c r="AH104" s="1568"/>
      <c r="AI104" s="725"/>
      <c r="AJ104" s="1569"/>
      <c r="AK104" s="1569"/>
      <c r="AL104" s="1569"/>
      <c r="AM104" s="1569"/>
      <c r="AN104" s="1569"/>
      <c r="AO104" s="1569"/>
      <c r="AP104" s="379"/>
      <c r="AQ104" s="867"/>
      <c r="AR104" s="1563"/>
      <c r="AS104" s="1564"/>
      <c r="AT104" s="1564"/>
      <c r="AU104" s="1540"/>
      <c r="AV104" s="1545"/>
      <c r="AW104" s="1545"/>
      <c r="AX104" s="1545"/>
      <c r="AY104" s="1545"/>
      <c r="AZ104" s="1560"/>
      <c r="BA104" s="1560"/>
      <c r="BB104" s="1545"/>
      <c r="BC104" s="1545"/>
      <c r="BD104" s="1545"/>
      <c r="BE104" s="1545"/>
      <c r="BF104" s="505"/>
      <c r="BG104" s="916"/>
    </row>
    <row r="105" spans="3:65" ht="100" customHeight="1" x14ac:dyDescent="1">
      <c r="D105" s="475"/>
      <c r="E105" s="465"/>
      <c r="F105" s="1544"/>
      <c r="G105" s="1545"/>
      <c r="H105" s="579" t="s">
        <v>179</v>
      </c>
      <c r="I105" s="579"/>
      <c r="J105" s="579"/>
      <c r="K105" s="579"/>
      <c r="L105" s="579"/>
      <c r="M105" s="579"/>
      <c r="N105" s="728" t="s">
        <v>175</v>
      </c>
      <c r="O105" s="728"/>
      <c r="P105" s="1548"/>
      <c r="Q105" s="1539"/>
      <c r="R105" s="488" t="s">
        <v>121</v>
      </c>
      <c r="S105" s="489"/>
      <c r="T105" s="1553" t="s">
        <v>125</v>
      </c>
      <c r="U105" s="1546"/>
      <c r="V105" s="491" t="s">
        <v>121</v>
      </c>
      <c r="W105" s="492"/>
      <c r="X105" s="1553" t="s">
        <v>20</v>
      </c>
      <c r="Y105" s="1545"/>
      <c r="Z105" s="489" t="s">
        <v>20</v>
      </c>
      <c r="AA105" s="1545"/>
      <c r="AB105" s="493" t="s">
        <v>121</v>
      </c>
      <c r="AC105" s="1539"/>
      <c r="AD105" s="801"/>
      <c r="AE105" s="801"/>
      <c r="AF105" s="801" t="s">
        <v>138</v>
      </c>
      <c r="AG105" s="801"/>
      <c r="AH105" s="1568"/>
      <c r="AI105" s="725"/>
      <c r="AJ105" s="2073" t="s">
        <v>124</v>
      </c>
      <c r="AK105" s="2056"/>
      <c r="AL105" s="2056"/>
      <c r="AM105" s="2056"/>
      <c r="AN105" s="2056"/>
      <c r="AO105" s="1569"/>
      <c r="AP105" s="379" t="s">
        <v>178</v>
      </c>
      <c r="AQ105" s="867"/>
      <c r="AR105" s="2075" t="s">
        <v>139</v>
      </c>
      <c r="AS105" s="2076"/>
      <c r="AT105" s="2076"/>
      <c r="AU105" s="1540"/>
      <c r="AV105" s="1545"/>
      <c r="AW105" s="1545"/>
      <c r="AX105" s="1545"/>
      <c r="AY105" s="1545"/>
      <c r="AZ105" s="728" t="s">
        <v>175</v>
      </c>
      <c r="BA105" s="728"/>
      <c r="BB105" s="1549"/>
      <c r="BC105" s="1549"/>
      <c r="BD105" s="1545"/>
      <c r="BE105" s="1545"/>
      <c r="BF105" s="1548"/>
      <c r="BG105" s="916"/>
    </row>
    <row r="106" spans="3:65" ht="100" customHeight="1" x14ac:dyDescent="1">
      <c r="D106" s="475"/>
      <c r="E106" s="465"/>
      <c r="F106" s="508"/>
      <c r="G106" s="386"/>
      <c r="H106" s="786">
        <v>2700</v>
      </c>
      <c r="I106" s="786"/>
      <c r="J106" s="579"/>
      <c r="K106" s="579"/>
      <c r="L106" s="579"/>
      <c r="M106" s="579"/>
      <c r="N106" s="728" t="s">
        <v>127</v>
      </c>
      <c r="O106" s="728"/>
      <c r="P106" s="505"/>
      <c r="Q106" s="465"/>
      <c r="R106" s="488">
        <v>300</v>
      </c>
      <c r="S106" s="489"/>
      <c r="T106" s="1553">
        <v>500</v>
      </c>
      <c r="U106" s="1546"/>
      <c r="V106" s="491">
        <v>300</v>
      </c>
      <c r="W106" s="492"/>
      <c r="X106" s="1553">
        <v>450</v>
      </c>
      <c r="Y106" s="1545"/>
      <c r="Z106" s="489">
        <v>450</v>
      </c>
      <c r="AA106" s="1545"/>
      <c r="AB106" s="493">
        <v>300</v>
      </c>
      <c r="AC106" s="1539"/>
      <c r="AD106" s="797"/>
      <c r="AE106" s="797"/>
      <c r="AF106" s="917">
        <v>400</v>
      </c>
      <c r="AG106" s="918"/>
      <c r="AH106" s="721"/>
      <c r="AI106" s="704"/>
      <c r="AJ106" s="388"/>
      <c r="AK106" s="388"/>
      <c r="AL106" s="388"/>
      <c r="AM106" s="388"/>
      <c r="AN106" s="388"/>
      <c r="AO106" s="388"/>
      <c r="AP106" s="379" t="s">
        <v>127</v>
      </c>
      <c r="AQ106" s="867"/>
      <c r="AR106" s="738">
        <v>300</v>
      </c>
      <c r="AS106" s="739"/>
      <c r="AT106" s="739"/>
      <c r="AU106" s="1540"/>
      <c r="AV106" s="386"/>
      <c r="AW106" s="386"/>
      <c r="AX106" s="386"/>
      <c r="AY106" s="386"/>
      <c r="AZ106" s="728" t="s">
        <v>127</v>
      </c>
      <c r="BA106" s="728"/>
      <c r="BB106" s="386"/>
      <c r="BC106" s="386"/>
      <c r="BD106" s="386"/>
      <c r="BE106" s="386"/>
      <c r="BF106" s="505"/>
      <c r="BG106" s="916"/>
      <c r="BJ106" s="358"/>
      <c r="BK106" s="358"/>
      <c r="BL106" s="358"/>
      <c r="BM106" s="358"/>
    </row>
    <row r="107" spans="3:65" ht="100" customHeight="1" thickBot="1" x14ac:dyDescent="1.05">
      <c r="D107" s="475"/>
      <c r="E107" s="465"/>
      <c r="F107" s="508"/>
      <c r="G107" s="386"/>
      <c r="H107" s="386"/>
      <c r="I107" s="386"/>
      <c r="J107" s="386"/>
      <c r="K107" s="386"/>
      <c r="L107" s="386"/>
      <c r="M107" s="386"/>
      <c r="N107" s="392"/>
      <c r="O107" s="392"/>
      <c r="P107" s="505"/>
      <c r="Q107" s="465"/>
      <c r="R107" s="488"/>
      <c r="S107" s="489"/>
      <c r="T107" s="1553"/>
      <c r="U107" s="1546"/>
      <c r="V107" s="491"/>
      <c r="W107" s="492"/>
      <c r="X107" s="1553"/>
      <c r="Y107" s="1545"/>
      <c r="Z107" s="489"/>
      <c r="AA107" s="1545"/>
      <c r="AB107" s="493"/>
      <c r="AC107" s="1539"/>
      <c r="AD107" s="797"/>
      <c r="AE107" s="797"/>
      <c r="AF107" s="797"/>
      <c r="AG107" s="797"/>
      <c r="AH107" s="721"/>
      <c r="AI107" s="704"/>
      <c r="AJ107" s="388"/>
      <c r="AK107" s="388"/>
      <c r="AL107" s="388"/>
      <c r="AM107" s="388"/>
      <c r="AN107" s="388"/>
      <c r="AO107" s="388"/>
      <c r="AP107" s="391"/>
      <c r="AQ107" s="861"/>
      <c r="AR107" s="722"/>
      <c r="AS107" s="723"/>
      <c r="AT107" s="723"/>
      <c r="AU107" s="469"/>
      <c r="AV107" s="386"/>
      <c r="AW107" s="386"/>
      <c r="AX107" s="386"/>
      <c r="AY107" s="386"/>
      <c r="AZ107" s="392"/>
      <c r="BA107" s="392"/>
      <c r="BB107" s="386"/>
      <c r="BC107" s="386"/>
      <c r="BD107" s="386"/>
      <c r="BE107" s="386"/>
      <c r="BF107" s="505"/>
      <c r="BG107" s="916"/>
    </row>
    <row r="108" spans="3:65" ht="100" customHeight="1" thickTop="1" thickBot="1" x14ac:dyDescent="1.05">
      <c r="D108" s="475"/>
      <c r="E108" s="465"/>
      <c r="F108" s="743"/>
      <c r="G108" s="500"/>
      <c r="H108" s="500"/>
      <c r="I108" s="500"/>
      <c r="J108" s="500"/>
      <c r="K108" s="500"/>
      <c r="L108" s="500"/>
      <c r="M108" s="500"/>
      <c r="N108" s="744"/>
      <c r="O108" s="744"/>
      <c r="P108" s="509"/>
      <c r="Q108" s="467"/>
      <c r="R108" s="494"/>
      <c r="S108" s="495"/>
      <c r="T108" s="496"/>
      <c r="U108" s="497"/>
      <c r="V108" s="498"/>
      <c r="W108" s="499"/>
      <c r="X108" s="496"/>
      <c r="Y108" s="497"/>
      <c r="Z108" s="495"/>
      <c r="AA108" s="500"/>
      <c r="AB108" s="501"/>
      <c r="AC108" s="465"/>
      <c r="AD108" s="720"/>
      <c r="AE108" s="720"/>
      <c r="AF108" s="720"/>
      <c r="AG108" s="720"/>
      <c r="AH108" s="721"/>
      <c r="AI108" s="704"/>
      <c r="AJ108" s="388"/>
      <c r="AK108" s="388"/>
      <c r="AL108" s="388"/>
      <c r="AM108" s="388"/>
      <c r="AN108" s="388"/>
      <c r="AO108" s="388"/>
      <c r="AP108" s="391"/>
      <c r="AQ108" s="861"/>
      <c r="AR108" s="750"/>
      <c r="AS108" s="751"/>
      <c r="AT108" s="751"/>
      <c r="AU108" s="469"/>
      <c r="AV108" s="386"/>
      <c r="AW108" s="386"/>
      <c r="AX108" s="386"/>
      <c r="AY108" s="386"/>
      <c r="AZ108" s="392"/>
      <c r="BA108" s="392"/>
      <c r="BB108" s="386"/>
      <c r="BC108" s="386"/>
      <c r="BD108" s="386"/>
      <c r="BE108" s="386"/>
      <c r="BF108" s="505"/>
      <c r="BG108" s="919"/>
    </row>
    <row r="109" spans="3:65" ht="10" customHeight="1" thickTop="1" thickBot="1" x14ac:dyDescent="1.05">
      <c r="D109" s="475"/>
      <c r="E109" s="467"/>
      <c r="F109" s="467"/>
      <c r="G109" s="467"/>
      <c r="H109" s="467"/>
      <c r="I109" s="467"/>
      <c r="J109" s="467"/>
      <c r="K109" s="467"/>
      <c r="L109" s="467"/>
      <c r="M109" s="467"/>
      <c r="N109" s="467"/>
      <c r="O109" s="467"/>
      <c r="P109" s="467"/>
      <c r="Q109" s="467"/>
      <c r="R109" s="467"/>
      <c r="S109" s="467"/>
      <c r="T109" s="467"/>
      <c r="U109" s="467"/>
      <c r="V109" s="467"/>
      <c r="W109" s="467"/>
      <c r="X109" s="467"/>
      <c r="Y109" s="467"/>
      <c r="Z109" s="467"/>
      <c r="AA109" s="467"/>
      <c r="AB109" s="467"/>
      <c r="AC109" s="467"/>
      <c r="AD109" s="874"/>
      <c r="AE109" s="874"/>
      <c r="AF109" s="874"/>
      <c r="AG109" s="874"/>
      <c r="AH109" s="874"/>
      <c r="AI109" s="748"/>
      <c r="AJ109" s="813"/>
      <c r="AK109" s="814"/>
      <c r="AL109" s="814"/>
      <c r="AM109" s="814"/>
      <c r="AN109" s="814"/>
      <c r="AO109" s="814"/>
      <c r="AP109" s="814"/>
      <c r="AQ109" s="874"/>
      <c r="AR109" s="861"/>
      <c r="AS109" s="861"/>
      <c r="AT109" s="861"/>
      <c r="AU109" s="478"/>
      <c r="AV109" s="386"/>
      <c r="AW109" s="386"/>
      <c r="AX109" s="386"/>
      <c r="AY109" s="386"/>
      <c r="AZ109" s="392"/>
      <c r="BA109" s="392"/>
      <c r="BB109" s="386"/>
      <c r="BC109" s="386"/>
      <c r="BD109" s="386"/>
      <c r="BE109" s="386"/>
      <c r="BF109" s="386"/>
      <c r="BG109" s="916"/>
    </row>
    <row r="110" spans="3:65" ht="100" customHeight="1" thickTop="1" x14ac:dyDescent="1">
      <c r="D110" s="408"/>
      <c r="E110" s="2096" t="s">
        <v>168</v>
      </c>
      <c r="F110" s="2079"/>
      <c r="G110" s="2079"/>
      <c r="H110" s="2079"/>
      <c r="I110" s="2079"/>
      <c r="J110" s="2079"/>
      <c r="K110" s="2079"/>
      <c r="L110" s="2079"/>
      <c r="M110" s="2079"/>
      <c r="N110" s="2079"/>
      <c r="O110" s="2079"/>
      <c r="P110" s="2080"/>
      <c r="Q110" s="2098" t="s">
        <v>168</v>
      </c>
      <c r="R110" s="2079"/>
      <c r="S110" s="2079"/>
      <c r="T110" s="2079"/>
      <c r="U110" s="2079"/>
      <c r="V110" s="2079"/>
      <c r="W110" s="2079"/>
      <c r="X110" s="2079"/>
      <c r="Y110" s="2079"/>
      <c r="Z110" s="2079"/>
      <c r="AA110" s="2079"/>
      <c r="AB110" s="2080"/>
      <c r="AC110" s="2100" t="s">
        <v>171</v>
      </c>
      <c r="AD110" s="1990"/>
      <c r="AE110" s="1990"/>
      <c r="AF110" s="1990"/>
      <c r="AG110" s="1990"/>
      <c r="AH110" s="2084"/>
      <c r="AI110" s="2092" t="s">
        <v>186</v>
      </c>
      <c r="AJ110" s="2066"/>
      <c r="AK110" s="2066"/>
      <c r="AL110" s="2066"/>
      <c r="AM110" s="2066"/>
      <c r="AN110" s="2066"/>
      <c r="AO110" s="2066"/>
      <c r="AP110" s="2066"/>
      <c r="AQ110" s="2064" t="s">
        <v>170</v>
      </c>
      <c r="AR110" s="2064"/>
      <c r="AS110" s="2064"/>
      <c r="AT110" s="2064"/>
      <c r="AU110" s="776"/>
      <c r="AV110" s="2053" t="s">
        <v>133</v>
      </c>
      <c r="AW110" s="2054"/>
      <c r="AX110" s="2054"/>
      <c r="AY110" s="2054"/>
      <c r="AZ110" s="2054"/>
      <c r="BA110" s="2054"/>
      <c r="BB110" s="2054"/>
      <c r="BC110" s="2054"/>
      <c r="BD110" s="2054"/>
      <c r="BE110" s="2054"/>
      <c r="BF110" s="2055"/>
      <c r="BG110" s="916"/>
    </row>
    <row r="111" spans="3:65" ht="100" customHeight="1" thickBot="1" x14ac:dyDescent="1.05">
      <c r="D111" s="408"/>
      <c r="E111" s="2097"/>
      <c r="F111" s="2082"/>
      <c r="G111" s="2082"/>
      <c r="H111" s="2082"/>
      <c r="I111" s="2082"/>
      <c r="J111" s="2082"/>
      <c r="K111" s="2082"/>
      <c r="L111" s="2082"/>
      <c r="M111" s="2082"/>
      <c r="N111" s="2082"/>
      <c r="O111" s="2082"/>
      <c r="P111" s="2083"/>
      <c r="Q111" s="2099"/>
      <c r="R111" s="2082"/>
      <c r="S111" s="2082"/>
      <c r="T111" s="2082"/>
      <c r="U111" s="2082"/>
      <c r="V111" s="2082"/>
      <c r="W111" s="2082"/>
      <c r="X111" s="2082"/>
      <c r="Y111" s="2082"/>
      <c r="Z111" s="2082"/>
      <c r="AA111" s="2082"/>
      <c r="AB111" s="2083"/>
      <c r="AC111" s="2099"/>
      <c r="AD111" s="2082"/>
      <c r="AE111" s="2082"/>
      <c r="AF111" s="2082"/>
      <c r="AG111" s="2082"/>
      <c r="AH111" s="2083"/>
      <c r="AI111" s="2092"/>
      <c r="AJ111" s="2066"/>
      <c r="AK111" s="2066"/>
      <c r="AL111" s="2066"/>
      <c r="AM111" s="2066"/>
      <c r="AN111" s="2066"/>
      <c r="AO111" s="2066"/>
      <c r="AP111" s="2066"/>
      <c r="AQ111" s="2086"/>
      <c r="AR111" s="2086"/>
      <c r="AS111" s="2086"/>
      <c r="AT111" s="2086"/>
      <c r="AU111" s="776"/>
      <c r="AV111" s="2053"/>
      <c r="AW111" s="2054"/>
      <c r="AX111" s="2054"/>
      <c r="AY111" s="2054"/>
      <c r="AZ111" s="2054"/>
      <c r="BA111" s="2054"/>
      <c r="BB111" s="2054"/>
      <c r="BC111" s="2054"/>
      <c r="BD111" s="2054"/>
      <c r="BE111" s="2054"/>
      <c r="BF111" s="2055"/>
      <c r="BG111" s="916"/>
    </row>
    <row r="112" spans="3:65" ht="10" customHeight="1" thickTop="1" thickBot="1" x14ac:dyDescent="1.05">
      <c r="D112" s="475"/>
      <c r="E112" s="471"/>
      <c r="F112" s="775"/>
      <c r="G112" s="775"/>
      <c r="H112" s="775"/>
      <c r="I112" s="775"/>
      <c r="J112" s="775"/>
      <c r="K112" s="775"/>
      <c r="L112" s="775"/>
      <c r="M112" s="775"/>
      <c r="N112" s="775"/>
      <c r="O112" s="775"/>
      <c r="P112" s="775"/>
      <c r="Q112" s="775"/>
      <c r="R112" s="775"/>
      <c r="S112" s="775"/>
      <c r="T112" s="775"/>
      <c r="U112" s="775"/>
      <c r="V112" s="775"/>
      <c r="W112" s="775"/>
      <c r="X112" s="775"/>
      <c r="Y112" s="775"/>
      <c r="Z112" s="775"/>
      <c r="AA112" s="775"/>
      <c r="AB112" s="775"/>
      <c r="AC112" s="775"/>
      <c r="AD112" s="775"/>
      <c r="AE112" s="775"/>
      <c r="AF112" s="775"/>
      <c r="AG112" s="775"/>
      <c r="AH112" s="775"/>
      <c r="AI112" s="762"/>
      <c r="AJ112" s="920"/>
      <c r="AK112" s="920"/>
      <c r="AL112" s="920"/>
      <c r="AM112" s="920"/>
      <c r="AN112" s="920"/>
      <c r="AO112" s="921"/>
      <c r="AP112" s="766"/>
      <c r="AQ112" s="766"/>
      <c r="AR112" s="766"/>
      <c r="AS112" s="766"/>
      <c r="AT112" s="766"/>
      <c r="AU112" s="922"/>
      <c r="AV112" s="1558"/>
      <c r="AW112" s="1558"/>
      <c r="AX112" s="1558"/>
      <c r="AY112" s="1558"/>
      <c r="AZ112" s="1558"/>
      <c r="BA112" s="1558"/>
      <c r="BB112" s="1558"/>
      <c r="BC112" s="1558"/>
      <c r="BD112" s="1558"/>
      <c r="BE112" s="1558"/>
      <c r="BF112" s="1558"/>
      <c r="BG112" s="916"/>
    </row>
    <row r="113" spans="3:60" ht="100" customHeight="1" thickTop="1" thickBot="1" x14ac:dyDescent="1.05">
      <c r="D113" s="475"/>
      <c r="E113" s="465"/>
      <c r="F113" s="504"/>
      <c r="G113" s="716"/>
      <c r="H113" s="909"/>
      <c r="I113" s="908"/>
      <c r="J113" s="716"/>
      <c r="K113" s="716"/>
      <c r="L113" s="908"/>
      <c r="M113" s="923"/>
      <c r="N113" s="716"/>
      <c r="O113" s="716"/>
      <c r="P113" s="718"/>
      <c r="Q113" s="769"/>
      <c r="R113" s="906"/>
      <c r="S113" s="907"/>
      <c r="T113" s="924"/>
      <c r="U113" s="909"/>
      <c r="V113" s="910"/>
      <c r="W113" s="925"/>
      <c r="X113" s="924"/>
      <c r="Y113" s="909"/>
      <c r="Z113" s="911"/>
      <c r="AA113" s="926"/>
      <c r="AB113" s="927"/>
      <c r="AC113" s="769"/>
      <c r="AD113" s="504"/>
      <c r="AE113" s="716"/>
      <c r="AF113" s="909"/>
      <c r="AG113" s="907"/>
      <c r="AH113" s="716"/>
      <c r="AI113" s="386"/>
      <c r="AJ113" s="390"/>
      <c r="AK113" s="386"/>
      <c r="AL113" s="386"/>
      <c r="AM113" s="386"/>
      <c r="AN113" s="505"/>
      <c r="AO113" s="919"/>
      <c r="AP113" s="720"/>
      <c r="AQ113" s="720"/>
      <c r="AR113" s="720"/>
      <c r="AS113" s="720"/>
      <c r="AT113" s="720"/>
      <c r="AU113" s="702"/>
      <c r="AV113" s="386"/>
      <c r="AW113" s="386"/>
      <c r="AX113" s="386"/>
      <c r="AY113" s="386"/>
      <c r="AZ113" s="386"/>
      <c r="BA113" s="386"/>
      <c r="BB113" s="386"/>
      <c r="BC113" s="386"/>
      <c r="BD113" s="386"/>
      <c r="BE113" s="386"/>
      <c r="BF113" s="505"/>
      <c r="BG113" s="928"/>
    </row>
    <row r="114" spans="3:60" ht="100" customHeight="1" thickTop="1" x14ac:dyDescent="1">
      <c r="D114" s="475"/>
      <c r="E114" s="465"/>
      <c r="F114" s="2005" t="s">
        <v>132</v>
      </c>
      <c r="G114" s="1867"/>
      <c r="H114" s="1869"/>
      <c r="I114" s="1553"/>
      <c r="J114" s="1886" t="s">
        <v>132</v>
      </c>
      <c r="K114" s="1867"/>
      <c r="L114" s="1868"/>
      <c r="M114" s="929"/>
      <c r="N114" s="2095" t="s">
        <v>132</v>
      </c>
      <c r="O114" s="1867"/>
      <c r="P114" s="1983"/>
      <c r="Q114" s="465"/>
      <c r="R114" s="488" t="s">
        <v>152</v>
      </c>
      <c r="S114" s="489"/>
      <c r="T114" s="1545" t="s">
        <v>152</v>
      </c>
      <c r="U114" s="930"/>
      <c r="V114" s="491" t="s">
        <v>152</v>
      </c>
      <c r="W114" s="1552"/>
      <c r="X114" s="533" t="s">
        <v>152</v>
      </c>
      <c r="Y114" s="1545"/>
      <c r="Z114" s="492" t="s">
        <v>152</v>
      </c>
      <c r="AA114" s="1546"/>
      <c r="AB114" s="493" t="s">
        <v>152</v>
      </c>
      <c r="AC114" s="1539"/>
      <c r="AD114" s="2005" t="s">
        <v>132</v>
      </c>
      <c r="AE114" s="1867"/>
      <c r="AF114" s="1869"/>
      <c r="AG114" s="481"/>
      <c r="AH114" s="1886" t="s">
        <v>132</v>
      </c>
      <c r="AI114" s="1867"/>
      <c r="AJ114" s="1869"/>
      <c r="AK114" s="386"/>
      <c r="AL114" s="1867" t="s">
        <v>132</v>
      </c>
      <c r="AM114" s="1867"/>
      <c r="AN114" s="1983"/>
      <c r="AO114" s="916"/>
      <c r="AP114" s="797"/>
      <c r="AQ114" s="797"/>
      <c r="AR114" s="797"/>
      <c r="AS114" s="797"/>
      <c r="AT114" s="720"/>
      <c r="AU114" s="465"/>
      <c r="AV114" s="508"/>
      <c r="AW114" s="386"/>
      <c r="AX114" s="386"/>
      <c r="AY114" s="386"/>
      <c r="AZ114" s="386"/>
      <c r="BA114" s="386"/>
      <c r="BB114" s="386"/>
      <c r="BC114" s="386"/>
      <c r="BD114" s="386"/>
      <c r="BE114" s="386"/>
      <c r="BF114" s="505"/>
      <c r="BG114" s="916"/>
    </row>
    <row r="115" spans="3:60" ht="100" customHeight="1" x14ac:dyDescent="1">
      <c r="D115" s="475"/>
      <c r="E115" s="465"/>
      <c r="F115" s="2005" t="s">
        <v>153</v>
      </c>
      <c r="G115" s="1867"/>
      <c r="H115" s="2102"/>
      <c r="I115" s="931"/>
      <c r="J115" s="1886" t="s">
        <v>153</v>
      </c>
      <c r="K115" s="1867"/>
      <c r="L115" s="1868"/>
      <c r="M115" s="929"/>
      <c r="N115" s="2095" t="s">
        <v>153</v>
      </c>
      <c r="O115" s="1867"/>
      <c r="P115" s="1983"/>
      <c r="Q115" s="932"/>
      <c r="R115" s="488" t="s">
        <v>153</v>
      </c>
      <c r="S115" s="489"/>
      <c r="T115" s="1554" t="s">
        <v>154</v>
      </c>
      <c r="U115" s="1546"/>
      <c r="V115" s="491" t="s">
        <v>154</v>
      </c>
      <c r="W115" s="1552"/>
      <c r="X115" s="533" t="s">
        <v>154</v>
      </c>
      <c r="Y115" s="1545"/>
      <c r="Z115" s="492" t="s">
        <v>154</v>
      </c>
      <c r="AA115" s="1545"/>
      <c r="AB115" s="493" t="s">
        <v>154</v>
      </c>
      <c r="AC115" s="1539"/>
      <c r="AD115" s="2005" t="s">
        <v>153</v>
      </c>
      <c r="AE115" s="1867"/>
      <c r="AF115" s="1869"/>
      <c r="AG115" s="489"/>
      <c r="AH115" s="1886" t="s">
        <v>153</v>
      </c>
      <c r="AI115" s="1867"/>
      <c r="AJ115" s="1869"/>
      <c r="AK115" s="1552"/>
      <c r="AL115" s="1867" t="s">
        <v>153</v>
      </c>
      <c r="AM115" s="1867"/>
      <c r="AN115" s="1983"/>
      <c r="AO115" s="932"/>
      <c r="AP115" s="797"/>
      <c r="AQ115" s="797"/>
      <c r="AR115" s="801"/>
      <c r="AS115" s="801"/>
      <c r="AT115" s="720"/>
      <c r="AU115" s="465"/>
      <c r="AV115" s="508"/>
      <c r="AW115" s="386"/>
      <c r="AX115" s="1867"/>
      <c r="AY115" s="1867"/>
      <c r="AZ115" s="1867"/>
      <c r="BA115" s="1867"/>
      <c r="BB115" s="1867"/>
      <c r="BC115" s="1867"/>
      <c r="BD115" s="1867"/>
      <c r="BE115" s="1545"/>
      <c r="BF115" s="505"/>
      <c r="BG115" s="916"/>
    </row>
    <row r="116" spans="3:60" ht="100" customHeight="1" x14ac:dyDescent="1">
      <c r="D116" s="475"/>
      <c r="E116" s="465"/>
      <c r="F116" s="2005" t="s">
        <v>121</v>
      </c>
      <c r="G116" s="1867"/>
      <c r="H116" s="1869"/>
      <c r="I116" s="1553"/>
      <c r="J116" s="1886" t="s">
        <v>20</v>
      </c>
      <c r="K116" s="1867"/>
      <c r="L116" s="1868"/>
      <c r="M116" s="929"/>
      <c r="N116" s="2095" t="s">
        <v>121</v>
      </c>
      <c r="O116" s="1867"/>
      <c r="P116" s="1983"/>
      <c r="Q116" s="1539"/>
      <c r="R116" s="488" t="s">
        <v>121</v>
      </c>
      <c r="S116" s="489"/>
      <c r="T116" s="1554" t="s">
        <v>125</v>
      </c>
      <c r="U116" s="1546"/>
      <c r="V116" s="491" t="s">
        <v>121</v>
      </c>
      <c r="W116" s="1552"/>
      <c r="X116" s="533" t="s">
        <v>20</v>
      </c>
      <c r="Y116" s="1545"/>
      <c r="Z116" s="492" t="s">
        <v>20</v>
      </c>
      <c r="AA116" s="1545"/>
      <c r="AB116" s="493" t="s">
        <v>121</v>
      </c>
      <c r="AC116" s="1539"/>
      <c r="AD116" s="2005" t="s">
        <v>121</v>
      </c>
      <c r="AE116" s="1867"/>
      <c r="AF116" s="1869"/>
      <c r="AG116" s="489"/>
      <c r="AH116" s="1886" t="s">
        <v>20</v>
      </c>
      <c r="AI116" s="1867"/>
      <c r="AJ116" s="1869"/>
      <c r="AK116" s="1545"/>
      <c r="AL116" s="1867" t="s">
        <v>121</v>
      </c>
      <c r="AM116" s="1867"/>
      <c r="AN116" s="1983"/>
      <c r="AO116" s="932"/>
      <c r="AP116" s="801"/>
      <c r="AQ116" s="801"/>
      <c r="AR116" s="801" t="s">
        <v>138</v>
      </c>
      <c r="AS116" s="801"/>
      <c r="AT116" s="1567"/>
      <c r="AU116" s="1539"/>
      <c r="AV116" s="1544"/>
      <c r="AW116" s="1545"/>
      <c r="AX116" s="2101" t="s">
        <v>196</v>
      </c>
      <c r="AY116" s="2101"/>
      <c r="AZ116" s="2101"/>
      <c r="BA116" s="2101"/>
      <c r="BB116" s="2101"/>
      <c r="BC116" s="2101"/>
      <c r="BD116" s="2101"/>
      <c r="BE116" s="1571"/>
      <c r="BF116" s="1548"/>
      <c r="BG116" s="916"/>
    </row>
    <row r="117" spans="3:60" ht="100" customHeight="1" x14ac:dyDescent="1">
      <c r="D117" s="475"/>
      <c r="E117" s="465"/>
      <c r="F117" s="2005">
        <v>800</v>
      </c>
      <c r="G117" s="1867"/>
      <c r="H117" s="1869"/>
      <c r="I117" s="1553"/>
      <c r="J117" s="1923">
        <v>1100</v>
      </c>
      <c r="K117" s="1972"/>
      <c r="L117" s="1876"/>
      <c r="M117" s="929"/>
      <c r="N117" s="2095">
        <v>800</v>
      </c>
      <c r="O117" s="1867"/>
      <c r="P117" s="1983"/>
      <c r="Q117" s="1539"/>
      <c r="R117" s="488">
        <v>300</v>
      </c>
      <c r="S117" s="489"/>
      <c r="T117" s="1554">
        <v>500</v>
      </c>
      <c r="U117" s="1546"/>
      <c r="V117" s="491">
        <v>300</v>
      </c>
      <c r="W117" s="492"/>
      <c r="X117" s="1554">
        <v>450</v>
      </c>
      <c r="Y117" s="1545"/>
      <c r="Z117" s="492">
        <v>450</v>
      </c>
      <c r="AA117" s="1546"/>
      <c r="AB117" s="493">
        <v>300</v>
      </c>
      <c r="AC117" s="1539"/>
      <c r="AD117" s="2005">
        <v>300</v>
      </c>
      <c r="AE117" s="1867"/>
      <c r="AF117" s="1869"/>
      <c r="AG117" s="489"/>
      <c r="AH117" s="1923">
        <v>1100</v>
      </c>
      <c r="AI117" s="1972"/>
      <c r="AJ117" s="2022"/>
      <c r="AK117" s="1545"/>
      <c r="AL117" s="1867">
        <v>800</v>
      </c>
      <c r="AM117" s="1867"/>
      <c r="AN117" s="1983"/>
      <c r="AO117" s="932"/>
      <c r="AP117" s="801"/>
      <c r="AQ117" s="801"/>
      <c r="AR117" s="917">
        <v>400</v>
      </c>
      <c r="AS117" s="917"/>
      <c r="AT117" s="737"/>
      <c r="AU117" s="784"/>
      <c r="AV117" s="934"/>
      <c r="AW117" s="1549"/>
      <c r="AX117" s="1549">
        <v>5400</v>
      </c>
      <c r="AY117" s="1549"/>
      <c r="AZ117" s="1549"/>
      <c r="BA117" s="1549"/>
      <c r="BB117" s="1549"/>
      <c r="BC117" s="1549"/>
      <c r="BD117" s="1549"/>
      <c r="BE117" s="1549"/>
      <c r="BF117" s="1548"/>
      <c r="BG117" s="916"/>
    </row>
    <row r="118" spans="3:60" ht="100" customHeight="1" x14ac:dyDescent="1">
      <c r="D118" s="475"/>
      <c r="E118" s="465"/>
      <c r="F118" s="508"/>
      <c r="G118" s="386"/>
      <c r="H118" s="390"/>
      <c r="I118" s="482"/>
      <c r="J118" s="386"/>
      <c r="K118" s="386"/>
      <c r="L118" s="482"/>
      <c r="M118" s="935"/>
      <c r="N118" s="386"/>
      <c r="O118" s="386"/>
      <c r="P118" s="505"/>
      <c r="Q118" s="465"/>
      <c r="R118" s="488"/>
      <c r="S118" s="489"/>
      <c r="T118" s="1554"/>
      <c r="U118" s="1546"/>
      <c r="V118" s="491"/>
      <c r="W118" s="492"/>
      <c r="X118" s="1545"/>
      <c r="Y118" s="930"/>
      <c r="Z118" s="492"/>
      <c r="AA118" s="1545"/>
      <c r="AB118" s="493"/>
      <c r="AC118" s="1539"/>
      <c r="AD118" s="508"/>
      <c r="AE118" s="386"/>
      <c r="AF118" s="390"/>
      <c r="AG118" s="481"/>
      <c r="AH118" s="386"/>
      <c r="AI118" s="386"/>
      <c r="AJ118" s="390"/>
      <c r="AK118" s="386"/>
      <c r="AL118" s="386"/>
      <c r="AM118" s="386"/>
      <c r="AN118" s="505"/>
      <c r="AO118" s="916"/>
      <c r="AP118" s="797"/>
      <c r="AQ118" s="797"/>
      <c r="AR118" s="797"/>
      <c r="AS118" s="797"/>
      <c r="AT118" s="720"/>
      <c r="AU118" s="465"/>
      <c r="AV118" s="508"/>
      <c r="AW118" s="386"/>
      <c r="AX118" s="386"/>
      <c r="AY118" s="386"/>
      <c r="AZ118" s="386"/>
      <c r="BA118" s="386"/>
      <c r="BB118" s="386"/>
      <c r="BC118" s="386"/>
      <c r="BD118" s="386"/>
      <c r="BE118" s="386"/>
      <c r="BF118" s="505"/>
      <c r="BG118" s="916"/>
    </row>
    <row r="119" spans="3:60" ht="100" customHeight="1" thickBot="1" x14ac:dyDescent="1.05">
      <c r="D119" s="475"/>
      <c r="E119" s="465"/>
      <c r="F119" s="743"/>
      <c r="G119" s="500"/>
      <c r="H119" s="497"/>
      <c r="I119" s="496"/>
      <c r="J119" s="500"/>
      <c r="K119" s="500"/>
      <c r="L119" s="496"/>
      <c r="M119" s="936"/>
      <c r="N119" s="500"/>
      <c r="O119" s="500"/>
      <c r="P119" s="509"/>
      <c r="Q119" s="467"/>
      <c r="R119" s="494"/>
      <c r="S119" s="495"/>
      <c r="T119" s="937"/>
      <c r="U119" s="497"/>
      <c r="V119" s="498"/>
      <c r="W119" s="938"/>
      <c r="X119" s="939"/>
      <c r="Y119" s="497"/>
      <c r="Z119" s="499"/>
      <c r="AA119" s="940"/>
      <c r="AB119" s="509"/>
      <c r="AC119" s="467"/>
      <c r="AD119" s="743"/>
      <c r="AE119" s="500"/>
      <c r="AF119" s="497"/>
      <c r="AG119" s="495"/>
      <c r="AH119" s="500"/>
      <c r="AI119" s="500"/>
      <c r="AJ119" s="497"/>
      <c r="AK119" s="500"/>
      <c r="AL119" s="500"/>
      <c r="AM119" s="500"/>
      <c r="AN119" s="509"/>
      <c r="AO119" s="916"/>
      <c r="AP119" s="797"/>
      <c r="AQ119" s="797"/>
      <c r="AR119" s="797"/>
      <c r="AS119" s="797"/>
      <c r="AT119" s="720"/>
      <c r="AU119" s="788"/>
      <c r="AV119" s="508"/>
      <c r="AW119" s="386"/>
      <c r="AX119" s="386"/>
      <c r="AY119" s="386"/>
      <c r="AZ119" s="386"/>
      <c r="BA119" s="386"/>
      <c r="BB119" s="386"/>
      <c r="BC119" s="386"/>
      <c r="BD119" s="386"/>
      <c r="BE119" s="386"/>
      <c r="BF119" s="505"/>
      <c r="BG119" s="916"/>
      <c r="BH119" s="408"/>
    </row>
    <row r="120" spans="3:60" ht="10" customHeight="1" thickTop="1" thickBot="1" x14ac:dyDescent="1.05">
      <c r="D120" s="475"/>
      <c r="E120" s="467"/>
      <c r="F120" s="477"/>
      <c r="G120" s="476"/>
      <c r="H120" s="476"/>
      <c r="I120" s="476"/>
      <c r="J120" s="476"/>
      <c r="K120" s="476"/>
      <c r="L120" s="701"/>
      <c r="M120" s="476"/>
      <c r="N120" s="699"/>
      <c r="O120" s="476"/>
      <c r="P120" s="476"/>
      <c r="Q120" s="476"/>
      <c r="R120" s="476"/>
      <c r="S120" s="476"/>
      <c r="T120" s="476"/>
      <c r="U120" s="476"/>
      <c r="V120" s="476"/>
      <c r="W120" s="476"/>
      <c r="X120" s="477"/>
      <c r="Y120" s="476"/>
      <c r="Z120" s="476"/>
      <c r="AA120" s="476"/>
      <c r="AB120" s="477"/>
      <c r="AC120" s="476"/>
      <c r="AD120" s="477"/>
      <c r="AE120" s="476"/>
      <c r="AF120" s="476"/>
      <c r="AG120" s="476"/>
      <c r="AH120" s="478"/>
      <c r="AI120" s="476"/>
      <c r="AJ120" s="477"/>
      <c r="AK120" s="476"/>
      <c r="AL120" s="476"/>
      <c r="AM120" s="476"/>
      <c r="AN120" s="478"/>
      <c r="AO120" s="928"/>
      <c r="AP120" s="754"/>
      <c r="AQ120" s="754"/>
      <c r="AR120" s="754"/>
      <c r="AS120" s="754"/>
      <c r="AT120" s="755"/>
      <c r="AU120" s="465"/>
      <c r="AV120" s="941"/>
      <c r="AW120" s="476"/>
      <c r="AX120" s="701"/>
      <c r="AY120" s="701"/>
      <c r="AZ120" s="701"/>
      <c r="BA120" s="476"/>
      <c r="BB120" s="476"/>
      <c r="BC120" s="476"/>
      <c r="BD120" s="476"/>
      <c r="BE120" s="476"/>
      <c r="BF120" s="478"/>
      <c r="BG120" s="928"/>
      <c r="BH120" s="408"/>
    </row>
    <row r="121" spans="3:60" ht="100" customHeight="1" thickTop="1" x14ac:dyDescent="1">
      <c r="F121" s="961"/>
      <c r="G121" s="961"/>
      <c r="H121" s="942"/>
      <c r="I121" s="942"/>
      <c r="J121" s="942"/>
      <c r="K121" s="942"/>
      <c r="L121" s="942"/>
      <c r="M121" s="942"/>
      <c r="N121" s="942"/>
      <c r="O121" s="942"/>
      <c r="P121" s="942"/>
      <c r="Q121" s="942"/>
      <c r="R121" s="961"/>
      <c r="S121" s="961"/>
      <c r="T121" s="961"/>
      <c r="U121" s="961"/>
      <c r="V121" s="961"/>
      <c r="W121" s="961"/>
      <c r="X121" s="961"/>
      <c r="Y121" s="961"/>
      <c r="Z121" s="961"/>
      <c r="AA121" s="961"/>
      <c r="AB121" s="961"/>
      <c r="AC121" s="961"/>
      <c r="AD121" s="961"/>
      <c r="AE121" s="961"/>
      <c r="AF121" s="942"/>
      <c r="AG121" s="942"/>
      <c r="AH121" s="961"/>
      <c r="AI121" s="961"/>
      <c r="AJ121" s="961"/>
      <c r="AK121" s="961"/>
      <c r="AL121" s="961"/>
      <c r="AM121" s="961"/>
      <c r="AN121" s="961"/>
      <c r="AO121" s="961"/>
      <c r="AP121" s="961"/>
      <c r="AQ121" s="961"/>
      <c r="AR121" s="961"/>
      <c r="AS121" s="961"/>
      <c r="AT121" s="961"/>
      <c r="AU121" s="943"/>
      <c r="AV121" s="961"/>
      <c r="AW121" s="961"/>
      <c r="AX121" s="961"/>
      <c r="AY121" s="961"/>
      <c r="AZ121" s="961"/>
      <c r="BA121" s="961"/>
      <c r="BB121" s="961"/>
      <c r="BC121" s="961"/>
      <c r="BD121" s="961"/>
      <c r="BE121" s="961"/>
      <c r="BF121" s="942"/>
      <c r="BG121" s="408"/>
      <c r="BH121" s="408"/>
    </row>
    <row r="122" spans="3:60" s="1426" customFormat="1" ht="100" customHeight="1" x14ac:dyDescent="1.2">
      <c r="C122" s="1431"/>
      <c r="F122" s="1426" t="s">
        <v>254</v>
      </c>
      <c r="G122" s="1576"/>
      <c r="H122" s="1452"/>
      <c r="I122" s="1452"/>
      <c r="J122" s="1452"/>
      <c r="K122" s="1452"/>
      <c r="L122" s="1452"/>
      <c r="M122" s="1452"/>
      <c r="N122" s="1452"/>
      <c r="O122" s="1452"/>
      <c r="P122" s="1452"/>
      <c r="Q122" s="1452"/>
      <c r="R122" s="1576"/>
      <c r="S122" s="1576"/>
      <c r="T122" s="1576"/>
      <c r="U122" s="1576"/>
      <c r="V122" s="1576"/>
      <c r="W122" s="1576"/>
      <c r="X122" s="1576"/>
      <c r="Y122" s="1576"/>
      <c r="Z122" s="1576"/>
      <c r="AA122" s="1576"/>
      <c r="AB122" s="1576"/>
      <c r="AC122" s="1576"/>
      <c r="AD122" s="1576"/>
      <c r="AE122" s="1576"/>
      <c r="AF122" s="1452"/>
      <c r="AG122" s="1452"/>
      <c r="AH122" s="1576"/>
      <c r="AI122" s="1576"/>
      <c r="AJ122" s="1576"/>
      <c r="AK122" s="1576"/>
      <c r="AL122" s="1576"/>
      <c r="AM122" s="1576"/>
      <c r="AN122" s="1576"/>
      <c r="AO122" s="1576"/>
      <c r="AP122" s="1576"/>
      <c r="AQ122" s="1576"/>
      <c r="AR122" s="1576"/>
      <c r="AS122" s="1576"/>
      <c r="AT122" s="1576"/>
      <c r="AU122" s="1452"/>
      <c r="AV122" s="1576"/>
      <c r="AW122" s="1576"/>
      <c r="AX122" s="1576"/>
      <c r="AY122" s="1576"/>
      <c r="AZ122" s="1576"/>
      <c r="BA122" s="1576"/>
      <c r="BB122" s="1576"/>
      <c r="BC122" s="1576"/>
      <c r="BD122" s="1576"/>
      <c r="BE122" s="1576"/>
      <c r="BF122" s="1452"/>
      <c r="BG122" s="1431"/>
      <c r="BH122" s="1431"/>
    </row>
    <row r="123" spans="3:60" s="1426" customFormat="1" ht="25" customHeight="1" x14ac:dyDescent="1.2">
      <c r="C123" s="1431"/>
      <c r="H123" s="1431"/>
      <c r="I123" s="1431"/>
      <c r="J123" s="1431"/>
      <c r="K123" s="1431"/>
      <c r="L123" s="1431"/>
      <c r="M123" s="1431"/>
      <c r="N123" s="1431"/>
      <c r="O123" s="1431"/>
      <c r="P123" s="1431"/>
      <c r="Q123" s="1431"/>
      <c r="AD123" s="1436"/>
      <c r="AE123" s="1436"/>
      <c r="BG123" s="1431"/>
      <c r="BH123" s="1431"/>
    </row>
    <row r="124" spans="3:60" s="1426" customFormat="1" ht="100" customHeight="1" x14ac:dyDescent="1.2">
      <c r="C124" s="1431"/>
      <c r="F124" s="1436" t="s">
        <v>131</v>
      </c>
      <c r="G124" s="1436"/>
      <c r="J124" s="1440"/>
      <c r="K124" s="1440"/>
      <c r="M124" s="1427"/>
      <c r="P124" s="1427" t="s">
        <v>134</v>
      </c>
      <c r="R124" s="1440">
        <v>20000</v>
      </c>
      <c r="S124" s="1440"/>
      <c r="T124" s="1426" t="s">
        <v>33</v>
      </c>
    </row>
    <row r="125" spans="3:60" ht="25" customHeight="1" thickBot="1" x14ac:dyDescent="1.05">
      <c r="E125" s="372"/>
      <c r="F125" s="355"/>
      <c r="G125" s="355"/>
      <c r="AD125" s="697"/>
      <c r="AE125" s="408"/>
      <c r="AH125" s="408"/>
      <c r="AI125" s="697"/>
      <c r="AJ125" s="408"/>
      <c r="AK125" s="408"/>
      <c r="AQ125" s="697"/>
      <c r="AR125" s="697"/>
      <c r="AS125" s="697"/>
      <c r="AT125" s="697"/>
      <c r="AU125" s="372"/>
    </row>
    <row r="126" spans="3:60" ht="10" customHeight="1" thickTop="1" thickBot="1" x14ac:dyDescent="1.05">
      <c r="E126" s="471"/>
      <c r="F126" s="477"/>
      <c r="G126" s="476"/>
      <c r="H126" s="476"/>
      <c r="I126" s="476"/>
      <c r="J126" s="476"/>
      <c r="K126" s="476"/>
      <c r="L126" s="476"/>
      <c r="M126" s="476"/>
      <c r="N126" s="478"/>
      <c r="O126" s="476"/>
      <c r="P126" s="476"/>
      <c r="Q126" s="477"/>
      <c r="R126" s="476"/>
      <c r="S126" s="476"/>
      <c r="T126" s="476"/>
      <c r="U126" s="477"/>
      <c r="V126" s="476"/>
      <c r="W126" s="476"/>
      <c r="X126" s="476"/>
      <c r="Y126" s="944"/>
      <c r="Z126" s="477"/>
      <c r="AA126" s="476"/>
      <c r="AB126" s="478"/>
      <c r="AC126" s="698"/>
      <c r="AD126" s="945"/>
      <c r="AE126" s="946"/>
      <c r="AF126" s="946"/>
      <c r="AG126" s="946"/>
      <c r="AH126" s="947"/>
      <c r="AI126" s="795"/>
      <c r="AJ126" s="388"/>
      <c r="AK126" s="388"/>
      <c r="AL126" s="388"/>
      <c r="AM126" s="388"/>
      <c r="AN126" s="388"/>
      <c r="AO126" s="388"/>
      <c r="AP126" s="948"/>
      <c r="AQ126" s="861"/>
      <c r="AR126" s="945"/>
      <c r="AS126" s="945"/>
      <c r="AT126" s="945"/>
      <c r="AU126" s="465"/>
      <c r="AV126" s="949"/>
      <c r="AW126" s="949"/>
      <c r="AX126" s="949"/>
      <c r="AY126" s="949"/>
      <c r="AZ126" s="949"/>
      <c r="BA126" s="949"/>
      <c r="BB126" s="949"/>
      <c r="BC126" s="949"/>
      <c r="BD126" s="949"/>
      <c r="BE126" s="949"/>
      <c r="BF126" s="949"/>
      <c r="BG126" s="702"/>
    </row>
    <row r="127" spans="3:60" ht="100" customHeight="1" thickTop="1" x14ac:dyDescent="1">
      <c r="E127" s="465"/>
      <c r="F127" s="508"/>
      <c r="G127" s="386"/>
      <c r="H127" s="386"/>
      <c r="I127" s="386"/>
      <c r="J127" s="386"/>
      <c r="K127" s="386"/>
      <c r="L127" s="386"/>
      <c r="M127" s="386"/>
      <c r="N127" s="392"/>
      <c r="O127" s="392"/>
      <c r="P127" s="387"/>
      <c r="Q127" s="950"/>
      <c r="R127" s="716"/>
      <c r="S127" s="386"/>
      <c r="T127" s="386"/>
      <c r="U127" s="386"/>
      <c r="V127" s="386"/>
      <c r="W127" s="386"/>
      <c r="X127" s="386"/>
      <c r="Y127" s="386"/>
      <c r="Z127" s="386"/>
      <c r="AA127" s="386"/>
      <c r="AB127" s="505"/>
      <c r="AC127" s="465"/>
      <c r="AD127" s="797"/>
      <c r="AE127" s="797"/>
      <c r="AF127" s="797"/>
      <c r="AG127" s="797"/>
      <c r="AH127" s="865"/>
      <c r="AI127" s="798"/>
      <c r="AJ127" s="388"/>
      <c r="AK127" s="388"/>
      <c r="AL127" s="388"/>
      <c r="AM127" s="388"/>
      <c r="AN127" s="388"/>
      <c r="AO127" s="388"/>
      <c r="AP127" s="860"/>
      <c r="AQ127" s="798"/>
      <c r="AR127" s="838"/>
      <c r="AS127" s="838"/>
      <c r="AT127" s="723"/>
      <c r="AU127" s="465"/>
      <c r="AV127" s="504"/>
      <c r="AW127" s="716"/>
      <c r="AX127" s="716"/>
      <c r="AY127" s="716"/>
      <c r="AZ127" s="717"/>
      <c r="BA127" s="717"/>
      <c r="BB127" s="716"/>
      <c r="BC127" s="716"/>
      <c r="BD127" s="716"/>
      <c r="BE127" s="716"/>
      <c r="BF127" s="718"/>
      <c r="BG127" s="469"/>
    </row>
    <row r="128" spans="3:60" ht="100" customHeight="1" x14ac:dyDescent="1">
      <c r="E128" s="465"/>
      <c r="F128" s="508"/>
      <c r="G128" s="386"/>
      <c r="H128" s="386"/>
      <c r="I128" s="386"/>
      <c r="J128" s="386"/>
      <c r="K128" s="386"/>
      <c r="L128" s="386"/>
      <c r="M128" s="386"/>
      <c r="N128" s="392"/>
      <c r="O128" s="392"/>
      <c r="P128" s="387"/>
      <c r="Q128" s="385"/>
      <c r="R128" s="386"/>
      <c r="S128" s="386"/>
      <c r="T128" s="386"/>
      <c r="U128" s="386"/>
      <c r="V128" s="386"/>
      <c r="W128" s="386"/>
      <c r="X128" s="386"/>
      <c r="Y128" s="386"/>
      <c r="Z128" s="386"/>
      <c r="AA128" s="386"/>
      <c r="AB128" s="505"/>
      <c r="AC128" s="465"/>
      <c r="AD128" s="797"/>
      <c r="AE128" s="797"/>
      <c r="AF128" s="797"/>
      <c r="AG128" s="797"/>
      <c r="AH128" s="721"/>
      <c r="AI128" s="798"/>
      <c r="AJ128" s="388"/>
      <c r="AK128" s="388"/>
      <c r="AL128" s="388"/>
      <c r="AM128" s="388"/>
      <c r="AN128" s="388"/>
      <c r="AO128" s="388"/>
      <c r="AP128" s="860"/>
      <c r="AQ128" s="798"/>
      <c r="AR128" s="838"/>
      <c r="AS128" s="838"/>
      <c r="AT128" s="723"/>
      <c r="AU128" s="465"/>
      <c r="AV128" s="508"/>
      <c r="AW128" s="386"/>
      <c r="AX128" s="386"/>
      <c r="AY128" s="386"/>
      <c r="AZ128" s="392"/>
      <c r="BA128" s="392"/>
      <c r="BB128" s="386"/>
      <c r="BC128" s="386"/>
      <c r="BD128" s="386"/>
      <c r="BE128" s="386"/>
      <c r="BF128" s="505"/>
      <c r="BG128" s="469"/>
    </row>
    <row r="129" spans="5:59" ht="100" customHeight="1" x14ac:dyDescent="1">
      <c r="E129" s="465"/>
      <c r="F129" s="1544"/>
      <c r="G129" s="1545"/>
      <c r="H129" s="1867"/>
      <c r="I129" s="1867"/>
      <c r="J129" s="1867"/>
      <c r="K129" s="1867"/>
      <c r="L129" s="1867"/>
      <c r="M129" s="1545"/>
      <c r="N129" s="1560"/>
      <c r="O129" s="1560"/>
      <c r="P129" s="387"/>
      <c r="Q129" s="375"/>
      <c r="R129" s="2103"/>
      <c r="S129" s="1867"/>
      <c r="T129" s="1867"/>
      <c r="U129" s="1545"/>
      <c r="V129" s="1867"/>
      <c r="W129" s="1867"/>
      <c r="X129" s="1867"/>
      <c r="Y129" s="1545"/>
      <c r="Z129" s="1867"/>
      <c r="AA129" s="1867"/>
      <c r="AB129" s="1983"/>
      <c r="AC129" s="1539"/>
      <c r="AD129" s="801"/>
      <c r="AE129" s="801"/>
      <c r="AF129" s="801" t="s">
        <v>138</v>
      </c>
      <c r="AG129" s="801"/>
      <c r="AH129" s="1568"/>
      <c r="AI129" s="802"/>
      <c r="AJ129" s="1569"/>
      <c r="AK129" s="1569"/>
      <c r="AL129" s="1569"/>
      <c r="AM129" s="1569"/>
      <c r="AN129" s="1569"/>
      <c r="AO129" s="1569"/>
      <c r="AP129" s="866"/>
      <c r="AQ129" s="802"/>
      <c r="AR129" s="1573"/>
      <c r="AS129" s="1573"/>
      <c r="AT129" s="1564"/>
      <c r="AU129" s="1539"/>
      <c r="AV129" s="1544"/>
      <c r="AW129" s="1545"/>
      <c r="AX129" s="1545"/>
      <c r="AY129" s="1545"/>
      <c r="AZ129" s="1560"/>
      <c r="BA129" s="1560"/>
      <c r="BB129" s="1545"/>
      <c r="BC129" s="1545"/>
      <c r="BD129" s="1545"/>
      <c r="BE129" s="1545"/>
      <c r="BF129" s="505"/>
      <c r="BG129" s="469"/>
    </row>
    <row r="130" spans="5:59" ht="100" customHeight="1" x14ac:dyDescent="1">
      <c r="E130" s="465"/>
      <c r="F130" s="1544"/>
      <c r="G130" s="1545"/>
      <c r="H130" s="1867"/>
      <c r="I130" s="1867"/>
      <c r="J130" s="1867"/>
      <c r="K130" s="1867"/>
      <c r="L130" s="1867"/>
      <c r="M130" s="1545"/>
      <c r="N130" s="728" t="s">
        <v>175</v>
      </c>
      <c r="O130" s="728"/>
      <c r="P130" s="387"/>
      <c r="Q130" s="375"/>
      <c r="R130" s="2103"/>
      <c r="S130" s="1867"/>
      <c r="T130" s="1867"/>
      <c r="U130" s="1545"/>
      <c r="V130" s="1867"/>
      <c r="W130" s="1867"/>
      <c r="X130" s="1867"/>
      <c r="Y130" s="1545"/>
      <c r="Z130" s="1867"/>
      <c r="AA130" s="1867"/>
      <c r="AB130" s="1983"/>
      <c r="AC130" s="1539"/>
      <c r="AD130" s="801"/>
      <c r="AE130" s="801"/>
      <c r="AF130" s="918">
        <v>1350</v>
      </c>
      <c r="AG130" s="918"/>
      <c r="AH130" s="1568"/>
      <c r="AI130" s="802"/>
      <c r="AJ130" s="2073" t="s">
        <v>124</v>
      </c>
      <c r="AK130" s="2107"/>
      <c r="AL130" s="2107"/>
      <c r="AM130" s="2107"/>
      <c r="AN130" s="2107"/>
      <c r="AO130" s="1569"/>
      <c r="AP130" s="866" t="s">
        <v>177</v>
      </c>
      <c r="AQ130" s="802"/>
      <c r="AR130" s="2075" t="s">
        <v>139</v>
      </c>
      <c r="AS130" s="2108"/>
      <c r="AT130" s="2108"/>
      <c r="AU130" s="1539"/>
      <c r="AV130" s="1544"/>
      <c r="AW130" s="1545"/>
      <c r="AX130" s="1545"/>
      <c r="AY130" s="1545"/>
      <c r="AZ130" s="728" t="s">
        <v>175</v>
      </c>
      <c r="BA130" s="728"/>
      <c r="BB130" s="1549"/>
      <c r="BC130" s="1549"/>
      <c r="BD130" s="1545"/>
      <c r="BE130" s="1545"/>
      <c r="BF130" s="1548"/>
      <c r="BG130" s="469"/>
    </row>
    <row r="131" spans="5:59" ht="100" customHeight="1" x14ac:dyDescent="1">
      <c r="E131" s="465"/>
      <c r="F131" s="508"/>
      <c r="G131" s="386"/>
      <c r="H131" s="1972"/>
      <c r="I131" s="1972"/>
      <c r="J131" s="1972"/>
      <c r="K131" s="1972"/>
      <c r="L131" s="1972"/>
      <c r="M131" s="1545"/>
      <c r="N131" s="728" t="s">
        <v>127</v>
      </c>
      <c r="O131" s="728"/>
      <c r="P131" s="387"/>
      <c r="Q131" s="385"/>
      <c r="R131" s="2103"/>
      <c r="S131" s="1867"/>
      <c r="T131" s="1867"/>
      <c r="U131" s="1545"/>
      <c r="V131" s="1972"/>
      <c r="W131" s="1972"/>
      <c r="X131" s="1972"/>
      <c r="Y131" s="1545"/>
      <c r="Z131" s="1867"/>
      <c r="AA131" s="1867"/>
      <c r="AB131" s="1983"/>
      <c r="AC131" s="1539"/>
      <c r="AD131" s="797"/>
      <c r="AE131" s="797"/>
      <c r="AF131" s="801"/>
      <c r="AG131" s="801"/>
      <c r="AH131" s="721"/>
      <c r="AI131" s="798"/>
      <c r="AJ131" s="388"/>
      <c r="AK131" s="388"/>
      <c r="AL131" s="388"/>
      <c r="AM131" s="388"/>
      <c r="AN131" s="388"/>
      <c r="AO131" s="388"/>
      <c r="AP131" s="866" t="s">
        <v>127</v>
      </c>
      <c r="AQ131" s="802"/>
      <c r="AR131" s="2075">
        <v>900</v>
      </c>
      <c r="AS131" s="2108"/>
      <c r="AT131" s="2108"/>
      <c r="AU131" s="1539"/>
      <c r="AV131" s="508"/>
      <c r="AW131" s="386"/>
      <c r="AX131" s="386"/>
      <c r="AY131" s="386"/>
      <c r="AZ131" s="728" t="s">
        <v>127</v>
      </c>
      <c r="BA131" s="728"/>
      <c r="BB131" s="386"/>
      <c r="BC131" s="386"/>
      <c r="BD131" s="386"/>
      <c r="BE131" s="386"/>
      <c r="BF131" s="505"/>
      <c r="BG131" s="469"/>
    </row>
    <row r="132" spans="5:59" ht="100" customHeight="1" x14ac:dyDescent="1">
      <c r="E132" s="465"/>
      <c r="F132" s="508"/>
      <c r="G132" s="386"/>
      <c r="H132" s="386"/>
      <c r="I132" s="386"/>
      <c r="J132" s="386"/>
      <c r="K132" s="386"/>
      <c r="L132" s="386"/>
      <c r="M132" s="386"/>
      <c r="N132" s="392"/>
      <c r="O132" s="392"/>
      <c r="P132" s="387"/>
      <c r="Q132" s="385"/>
      <c r="R132" s="386"/>
      <c r="S132" s="386"/>
      <c r="T132" s="386"/>
      <c r="U132" s="386"/>
      <c r="V132" s="386"/>
      <c r="W132" s="386"/>
      <c r="X132" s="386"/>
      <c r="Y132" s="386"/>
      <c r="Z132" s="386"/>
      <c r="AA132" s="386"/>
      <c r="AB132" s="505"/>
      <c r="AC132" s="465"/>
      <c r="AD132" s="797"/>
      <c r="AE132" s="797"/>
      <c r="AF132" s="797"/>
      <c r="AG132" s="797"/>
      <c r="AH132" s="721"/>
      <c r="AI132" s="798"/>
      <c r="AJ132" s="388"/>
      <c r="AK132" s="388"/>
      <c r="AL132" s="388"/>
      <c r="AM132" s="388"/>
      <c r="AN132" s="388"/>
      <c r="AO132" s="388"/>
      <c r="AP132" s="860"/>
      <c r="AQ132" s="798"/>
      <c r="AR132" s="838"/>
      <c r="AS132" s="838"/>
      <c r="AT132" s="723"/>
      <c r="AU132" s="465"/>
      <c r="AV132" s="508"/>
      <c r="AW132" s="386"/>
      <c r="AX132" s="386"/>
      <c r="AY132" s="386"/>
      <c r="AZ132" s="392"/>
      <c r="BA132" s="392"/>
      <c r="BB132" s="386"/>
      <c r="BC132" s="386"/>
      <c r="BD132" s="386"/>
      <c r="BE132" s="386"/>
      <c r="BF132" s="505"/>
      <c r="BG132" s="469"/>
    </row>
    <row r="133" spans="5:59" ht="100" customHeight="1" thickBot="1" x14ac:dyDescent="1.05">
      <c r="E133" s="469"/>
      <c r="F133" s="386"/>
      <c r="G133" s="386"/>
      <c r="H133" s="386"/>
      <c r="I133" s="386"/>
      <c r="J133" s="386"/>
      <c r="K133" s="386"/>
      <c r="L133" s="386"/>
      <c r="M133" s="386"/>
      <c r="N133" s="392"/>
      <c r="O133" s="392"/>
      <c r="P133" s="387"/>
      <c r="Q133" s="385"/>
      <c r="R133" s="386"/>
      <c r="S133" s="386"/>
      <c r="T133" s="386"/>
      <c r="U133" s="386"/>
      <c r="V133" s="386"/>
      <c r="W133" s="386"/>
      <c r="X133" s="386"/>
      <c r="Y133" s="386"/>
      <c r="Z133" s="386"/>
      <c r="AA133" s="386"/>
      <c r="AB133" s="505"/>
      <c r="AC133" s="465"/>
      <c r="AD133" s="720"/>
      <c r="AE133" s="720"/>
      <c r="AF133" s="720"/>
      <c r="AG133" s="720"/>
      <c r="AH133" s="721"/>
      <c r="AI133" s="798"/>
      <c r="AJ133" s="388"/>
      <c r="AK133" s="388"/>
      <c r="AL133" s="388"/>
      <c r="AM133" s="388"/>
      <c r="AN133" s="388"/>
      <c r="AO133" s="388"/>
      <c r="AP133" s="860"/>
      <c r="AQ133" s="798"/>
      <c r="AR133" s="723"/>
      <c r="AS133" s="723"/>
      <c r="AT133" s="723"/>
      <c r="AU133" s="469"/>
      <c r="AV133" s="386"/>
      <c r="AW133" s="386"/>
      <c r="AX133" s="386"/>
      <c r="AY133" s="386"/>
      <c r="AZ133" s="392"/>
      <c r="BA133" s="392"/>
      <c r="BB133" s="386"/>
      <c r="BC133" s="386"/>
      <c r="BD133" s="386"/>
      <c r="BE133" s="386"/>
      <c r="BF133" s="505"/>
      <c r="BG133" s="469"/>
    </row>
    <row r="134" spans="5:59" ht="10" customHeight="1" thickTop="1" thickBot="1" x14ac:dyDescent="1.05">
      <c r="E134" s="469"/>
      <c r="F134" s="386"/>
      <c r="G134" s="386"/>
      <c r="H134" s="386"/>
      <c r="I134" s="386"/>
      <c r="J134" s="386"/>
      <c r="K134" s="386"/>
      <c r="L134" s="386"/>
      <c r="M134" s="386"/>
      <c r="N134" s="392"/>
      <c r="O134" s="392"/>
      <c r="P134" s="387"/>
      <c r="Q134" s="386"/>
      <c r="R134" s="386"/>
      <c r="S134" s="386"/>
      <c r="T134" s="386"/>
      <c r="U134" s="386"/>
      <c r="V134" s="386"/>
      <c r="W134" s="386"/>
      <c r="X134" s="386"/>
      <c r="Y134" s="386"/>
      <c r="Z134" s="386"/>
      <c r="AA134" s="386"/>
      <c r="AB134" s="505"/>
      <c r="AC134" s="465"/>
      <c r="AD134" s="861"/>
      <c r="AE134" s="861"/>
      <c r="AF134" s="861"/>
      <c r="AG134" s="861"/>
      <c r="AH134" s="861"/>
      <c r="AI134" s="861"/>
      <c r="AJ134" s="952"/>
      <c r="AK134" s="388"/>
      <c r="AL134" s="388"/>
      <c r="AM134" s="388"/>
      <c r="AN134" s="388"/>
      <c r="AO134" s="388"/>
      <c r="AP134" s="948"/>
      <c r="AQ134" s="861"/>
      <c r="AR134" s="861"/>
      <c r="AS134" s="861"/>
      <c r="AT134" s="861"/>
      <c r="AU134" s="469"/>
      <c r="AV134" s="386"/>
      <c r="AW134" s="386"/>
      <c r="AX134" s="386"/>
      <c r="AY134" s="386"/>
      <c r="AZ134" s="392"/>
      <c r="BA134" s="392"/>
      <c r="BB134" s="386"/>
      <c r="BC134" s="386"/>
      <c r="BD134" s="386"/>
      <c r="BE134" s="386"/>
      <c r="BF134" s="386"/>
      <c r="BG134" s="919"/>
    </row>
    <row r="135" spans="5:59" ht="100" customHeight="1" thickTop="1" x14ac:dyDescent="1">
      <c r="E135" s="469"/>
      <c r="F135" s="2053" t="s">
        <v>133</v>
      </c>
      <c r="G135" s="2054"/>
      <c r="H135" s="2054"/>
      <c r="I135" s="2054"/>
      <c r="J135" s="2054"/>
      <c r="K135" s="2054"/>
      <c r="L135" s="2054"/>
      <c r="M135" s="2054"/>
      <c r="N135" s="2054"/>
      <c r="O135" s="2054"/>
      <c r="P135" s="2054"/>
      <c r="Q135" s="2054"/>
      <c r="R135" s="2054"/>
      <c r="S135" s="2054"/>
      <c r="T135" s="2054"/>
      <c r="U135" s="2054"/>
      <c r="V135" s="2054"/>
      <c r="W135" s="2054"/>
      <c r="X135" s="2054"/>
      <c r="Y135" s="2054"/>
      <c r="Z135" s="2054"/>
      <c r="AA135" s="2054"/>
      <c r="AB135" s="2055"/>
      <c r="AC135" s="775"/>
      <c r="AD135" s="2064" t="s">
        <v>168</v>
      </c>
      <c r="AE135" s="2064"/>
      <c r="AF135" s="2064"/>
      <c r="AG135" s="2064"/>
      <c r="AH135" s="2064"/>
      <c r="AI135" s="2065"/>
      <c r="AJ135" s="2104" t="s">
        <v>186</v>
      </c>
      <c r="AK135" s="2085"/>
      <c r="AL135" s="2085"/>
      <c r="AM135" s="2085"/>
      <c r="AN135" s="2085"/>
      <c r="AO135" s="2085"/>
      <c r="AP135" s="2085"/>
      <c r="AQ135" s="2064" t="s">
        <v>171</v>
      </c>
      <c r="AR135" s="2064"/>
      <c r="AS135" s="2064"/>
      <c r="AT135" s="2064"/>
      <c r="AU135" s="758"/>
      <c r="AV135" s="2053" t="s">
        <v>133</v>
      </c>
      <c r="AW135" s="2054"/>
      <c r="AX135" s="2054"/>
      <c r="AY135" s="2054"/>
      <c r="AZ135" s="2054"/>
      <c r="BA135" s="2054"/>
      <c r="BB135" s="2054"/>
      <c r="BC135" s="2054"/>
      <c r="BD135" s="2054"/>
      <c r="BE135" s="2054"/>
      <c r="BF135" s="2055"/>
      <c r="BG135" s="916"/>
    </row>
    <row r="136" spans="5:59" ht="100" customHeight="1" x14ac:dyDescent="1">
      <c r="E136" s="469"/>
      <c r="F136" s="2053"/>
      <c r="G136" s="2054"/>
      <c r="H136" s="2054"/>
      <c r="I136" s="2054"/>
      <c r="J136" s="2054"/>
      <c r="K136" s="2054"/>
      <c r="L136" s="2054"/>
      <c r="M136" s="2054"/>
      <c r="N136" s="2054"/>
      <c r="O136" s="2054"/>
      <c r="P136" s="2054"/>
      <c r="Q136" s="2054"/>
      <c r="R136" s="2054"/>
      <c r="S136" s="2054"/>
      <c r="T136" s="2054"/>
      <c r="U136" s="2054"/>
      <c r="V136" s="2054"/>
      <c r="W136" s="2054"/>
      <c r="X136" s="2054"/>
      <c r="Y136" s="2054"/>
      <c r="Z136" s="2054"/>
      <c r="AA136" s="2054"/>
      <c r="AB136" s="2055"/>
      <c r="AC136" s="775"/>
      <c r="AD136" s="1990"/>
      <c r="AE136" s="1990"/>
      <c r="AF136" s="1990"/>
      <c r="AG136" s="1990"/>
      <c r="AH136" s="1990"/>
      <c r="AI136" s="2084"/>
      <c r="AJ136" s="2092"/>
      <c r="AK136" s="2066"/>
      <c r="AL136" s="2066"/>
      <c r="AM136" s="2066"/>
      <c r="AN136" s="2066"/>
      <c r="AO136" s="2066"/>
      <c r="AP136" s="2066"/>
      <c r="AQ136" s="1990"/>
      <c r="AR136" s="1990"/>
      <c r="AS136" s="1990"/>
      <c r="AT136" s="1990"/>
      <c r="AU136" s="758"/>
      <c r="AV136" s="2053"/>
      <c r="AW136" s="2054"/>
      <c r="AX136" s="2054"/>
      <c r="AY136" s="2054"/>
      <c r="AZ136" s="2054"/>
      <c r="BA136" s="2054"/>
      <c r="BB136" s="2054"/>
      <c r="BC136" s="2054"/>
      <c r="BD136" s="2054"/>
      <c r="BE136" s="2054"/>
      <c r="BF136" s="2055"/>
      <c r="BG136" s="916"/>
    </row>
    <row r="137" spans="5:59" ht="10" customHeight="1" thickBot="1" x14ac:dyDescent="1.05">
      <c r="E137" s="469"/>
      <c r="F137" s="1558"/>
      <c r="G137" s="1558"/>
      <c r="H137" s="1558"/>
      <c r="I137" s="1558"/>
      <c r="J137" s="1558"/>
      <c r="K137" s="1558"/>
      <c r="L137" s="1558"/>
      <c r="M137" s="1558"/>
      <c r="N137" s="1558"/>
      <c r="O137" s="1558"/>
      <c r="P137" s="1558"/>
      <c r="Q137" s="1558"/>
      <c r="R137" s="1558"/>
      <c r="S137" s="1558"/>
      <c r="T137" s="1558"/>
      <c r="U137" s="1558"/>
      <c r="V137" s="1558"/>
      <c r="W137" s="1558"/>
      <c r="X137" s="1558"/>
      <c r="Y137" s="1558"/>
      <c r="Z137" s="1558"/>
      <c r="AA137" s="1558"/>
      <c r="AB137" s="1559"/>
      <c r="AC137" s="775"/>
      <c r="AD137" s="775"/>
      <c r="AE137" s="775"/>
      <c r="AF137" s="775"/>
      <c r="AG137" s="775"/>
      <c r="AH137" s="775"/>
      <c r="AI137" s="775"/>
      <c r="AJ137" s="775"/>
      <c r="AK137" s="775"/>
      <c r="AL137" s="775"/>
      <c r="AM137" s="775"/>
      <c r="AN137" s="775"/>
      <c r="AO137" s="775"/>
      <c r="AP137" s="954"/>
      <c r="AQ137" s="954"/>
      <c r="AR137" s="954"/>
      <c r="AS137" s="954"/>
      <c r="AT137" s="954"/>
      <c r="AU137" s="758"/>
      <c r="AV137" s="1558"/>
      <c r="AW137" s="1558"/>
      <c r="AX137" s="1558"/>
      <c r="AY137" s="1558"/>
      <c r="AZ137" s="1558"/>
      <c r="BA137" s="1558"/>
      <c r="BB137" s="1558"/>
      <c r="BC137" s="1558"/>
      <c r="BD137" s="1558"/>
      <c r="BE137" s="1558"/>
      <c r="BF137" s="1558"/>
      <c r="BG137" s="916"/>
    </row>
    <row r="138" spans="5:59" ht="100" customHeight="1" thickTop="1" thickBot="1" x14ac:dyDescent="1.05">
      <c r="E138" s="469"/>
      <c r="F138" s="386"/>
      <c r="G138" s="386"/>
      <c r="H138" s="386"/>
      <c r="I138" s="386"/>
      <c r="J138" s="386"/>
      <c r="K138" s="386"/>
      <c r="L138" s="386"/>
      <c r="M138" s="386"/>
      <c r="N138" s="386"/>
      <c r="O138" s="386"/>
      <c r="P138" s="386"/>
      <c r="Q138" s="385"/>
      <c r="R138" s="386"/>
      <c r="S138" s="386"/>
      <c r="T138" s="386"/>
      <c r="U138" s="386"/>
      <c r="V138" s="386"/>
      <c r="W138" s="386"/>
      <c r="X138" s="386"/>
      <c r="Y138" s="386"/>
      <c r="Z138" s="386"/>
      <c r="AA138" s="386"/>
      <c r="AB138" s="505"/>
      <c r="AC138" s="465"/>
      <c r="AD138" s="504"/>
      <c r="AE138" s="716"/>
      <c r="AF138" s="909"/>
      <c r="AG138" s="716"/>
      <c r="AH138" s="955"/>
      <c r="AI138" s="716"/>
      <c r="AJ138" s="924"/>
      <c r="AK138" s="956"/>
      <c r="AL138" s="716"/>
      <c r="AM138" s="716"/>
      <c r="AN138" s="718"/>
      <c r="AO138" s="465"/>
      <c r="AP138" s="710"/>
      <c r="AQ138" s="710"/>
      <c r="AR138" s="710"/>
      <c r="AS138" s="710"/>
      <c r="AT138" s="710"/>
      <c r="AU138" s="469"/>
      <c r="AV138" s="386"/>
      <c r="AW138" s="386"/>
      <c r="AX138" s="386"/>
      <c r="AY138" s="386"/>
      <c r="AZ138" s="386"/>
      <c r="BA138" s="386"/>
      <c r="BB138" s="386"/>
      <c r="BC138" s="386"/>
      <c r="BD138" s="386"/>
      <c r="BE138" s="386"/>
      <c r="BF138" s="386"/>
      <c r="BG138" s="928"/>
    </row>
    <row r="139" spans="5:59" ht="100" customHeight="1" thickTop="1" x14ac:dyDescent="1">
      <c r="E139" s="465"/>
      <c r="F139" s="508"/>
      <c r="G139" s="386"/>
      <c r="H139" s="386"/>
      <c r="I139" s="386"/>
      <c r="J139" s="386"/>
      <c r="K139" s="386"/>
      <c r="L139" s="386"/>
      <c r="M139" s="386"/>
      <c r="N139" s="386"/>
      <c r="O139" s="386"/>
      <c r="P139" s="386"/>
      <c r="Q139" s="385"/>
      <c r="R139" s="386"/>
      <c r="S139" s="386"/>
      <c r="T139" s="386"/>
      <c r="U139" s="386"/>
      <c r="V139" s="386"/>
      <c r="W139" s="386"/>
      <c r="X139" s="386"/>
      <c r="Y139" s="386"/>
      <c r="Z139" s="386"/>
      <c r="AA139" s="386"/>
      <c r="AB139" s="505"/>
      <c r="AC139" s="465"/>
      <c r="AD139" s="2005" t="s">
        <v>132</v>
      </c>
      <c r="AE139" s="1867"/>
      <c r="AF139" s="1869"/>
      <c r="AG139" s="386"/>
      <c r="AH139" s="2105" t="s">
        <v>132</v>
      </c>
      <c r="AI139" s="1959"/>
      <c r="AJ139" s="2106"/>
      <c r="AK139" s="957"/>
      <c r="AL139" s="2095" t="s">
        <v>132</v>
      </c>
      <c r="AM139" s="1867"/>
      <c r="AN139" s="1983"/>
      <c r="AO139" s="465"/>
      <c r="AP139" s="797"/>
      <c r="AQ139" s="797"/>
      <c r="AR139" s="797"/>
      <c r="AS139" s="797"/>
      <c r="AT139" s="720"/>
      <c r="AU139" s="465"/>
      <c r="AV139" s="508"/>
      <c r="AW139" s="386"/>
      <c r="AX139" s="386"/>
      <c r="AY139" s="386"/>
      <c r="AZ139" s="386"/>
      <c r="BA139" s="386"/>
      <c r="BB139" s="386"/>
      <c r="BC139" s="386"/>
      <c r="BD139" s="386"/>
      <c r="BE139" s="386"/>
      <c r="BF139" s="505"/>
      <c r="BG139" s="469"/>
    </row>
    <row r="140" spans="5:59" ht="100" customHeight="1" x14ac:dyDescent="1">
      <c r="E140" s="465"/>
      <c r="F140" s="778"/>
      <c r="G140" s="579"/>
      <c r="H140" s="579"/>
      <c r="I140" s="579"/>
      <c r="J140" s="579"/>
      <c r="K140" s="579"/>
      <c r="L140" s="579"/>
      <c r="M140" s="579"/>
      <c r="N140" s="579"/>
      <c r="O140" s="579"/>
      <c r="P140" s="579"/>
      <c r="Q140" s="375"/>
      <c r="R140" s="579"/>
      <c r="S140" s="579"/>
      <c r="T140" s="579"/>
      <c r="U140" s="1545"/>
      <c r="V140" s="579"/>
      <c r="W140" s="579"/>
      <c r="X140" s="579"/>
      <c r="Y140" s="1545"/>
      <c r="Z140" s="1867"/>
      <c r="AA140" s="1867"/>
      <c r="AB140" s="1983"/>
      <c r="AC140" s="1539"/>
      <c r="AD140" s="2005" t="s">
        <v>153</v>
      </c>
      <c r="AE140" s="1867"/>
      <c r="AF140" s="1869"/>
      <c r="AG140" s="1545"/>
      <c r="AH140" s="1866" t="s">
        <v>153</v>
      </c>
      <c r="AI140" s="1867"/>
      <c r="AJ140" s="1874"/>
      <c r="AK140" s="958"/>
      <c r="AL140" s="2095" t="s">
        <v>153</v>
      </c>
      <c r="AM140" s="1867"/>
      <c r="AN140" s="1983"/>
      <c r="AO140" s="1539"/>
      <c r="AP140" s="797"/>
      <c r="AQ140" s="797"/>
      <c r="AR140" s="801" t="s">
        <v>138</v>
      </c>
      <c r="AS140" s="801"/>
      <c r="AT140" s="720"/>
      <c r="AU140" s="465"/>
      <c r="AV140" s="508"/>
      <c r="AW140" s="386"/>
      <c r="AX140" s="579"/>
      <c r="AY140" s="579"/>
      <c r="AZ140" s="579"/>
      <c r="BA140" s="579"/>
      <c r="BB140" s="579"/>
      <c r="BC140" s="579"/>
      <c r="BD140" s="579"/>
      <c r="BE140" s="579"/>
      <c r="BF140" s="505"/>
      <c r="BG140" s="469"/>
    </row>
    <row r="141" spans="5:59" ht="100" customHeight="1" x14ac:dyDescent="1">
      <c r="E141" s="465"/>
      <c r="F141" s="778"/>
      <c r="G141" s="579"/>
      <c r="H141" s="727" t="s">
        <v>197</v>
      </c>
      <c r="I141" s="727"/>
      <c r="J141" s="579"/>
      <c r="K141" s="579"/>
      <c r="L141" s="786"/>
      <c r="M141" s="786"/>
      <c r="N141" s="786"/>
      <c r="O141" s="786"/>
      <c r="P141" s="786"/>
      <c r="Q141" s="375"/>
      <c r="R141" s="2103"/>
      <c r="S141" s="1867"/>
      <c r="T141" s="1867"/>
      <c r="U141" s="1545"/>
      <c r="V141" s="1867"/>
      <c r="W141" s="1867"/>
      <c r="X141" s="1867"/>
      <c r="Y141" s="1545"/>
      <c r="Z141" s="1867"/>
      <c r="AA141" s="1867"/>
      <c r="AB141" s="1983"/>
      <c r="AC141" s="1539"/>
      <c r="AD141" s="2005" t="s">
        <v>121</v>
      </c>
      <c r="AE141" s="1867"/>
      <c r="AF141" s="1869"/>
      <c r="AG141" s="1545"/>
      <c r="AH141" s="2109" t="s">
        <v>20</v>
      </c>
      <c r="AI141" s="1922"/>
      <c r="AJ141" s="2110"/>
      <c r="AK141" s="958"/>
      <c r="AL141" s="2095" t="s">
        <v>121</v>
      </c>
      <c r="AM141" s="1867"/>
      <c r="AN141" s="1983"/>
      <c r="AO141" s="1539"/>
      <c r="AP141" s="801"/>
      <c r="AQ141" s="801"/>
      <c r="AR141" s="918">
        <v>1350</v>
      </c>
      <c r="AS141" s="918"/>
      <c r="AT141" s="1567"/>
      <c r="AU141" s="1539"/>
      <c r="AV141" s="1544"/>
      <c r="AW141" s="1545"/>
      <c r="AX141" s="727" t="s">
        <v>196</v>
      </c>
      <c r="AY141" s="727"/>
      <c r="AZ141" s="786"/>
      <c r="BA141" s="786"/>
      <c r="BB141" s="786"/>
      <c r="BC141" s="786"/>
      <c r="BD141" s="786"/>
      <c r="BE141" s="786"/>
      <c r="BF141" s="1548"/>
      <c r="BG141" s="469"/>
    </row>
    <row r="142" spans="5:59" ht="100" customHeight="1" x14ac:dyDescent="1">
      <c r="E142" s="465"/>
      <c r="F142" s="778"/>
      <c r="G142" s="579"/>
      <c r="H142" s="1549">
        <f>2700+2700+2700+2700</f>
        <v>10800</v>
      </c>
      <c r="I142" s="1549"/>
      <c r="J142" s="1972"/>
      <c r="K142" s="1972"/>
      <c r="L142" s="1972"/>
      <c r="M142" s="1545"/>
      <c r="N142" s="1867"/>
      <c r="O142" s="1867"/>
      <c r="P142" s="1867"/>
      <c r="Q142" s="375"/>
      <c r="R142" s="2103"/>
      <c r="S142" s="1867"/>
      <c r="T142" s="1867"/>
      <c r="U142" s="1545"/>
      <c r="V142" s="1972"/>
      <c r="W142" s="1972"/>
      <c r="X142" s="1972"/>
      <c r="Y142" s="1545"/>
      <c r="Z142" s="1867"/>
      <c r="AA142" s="1867"/>
      <c r="AB142" s="1983"/>
      <c r="AC142" s="1539"/>
      <c r="AD142" s="2005">
        <v>300</v>
      </c>
      <c r="AE142" s="1867"/>
      <c r="AF142" s="1869"/>
      <c r="AG142" s="1545"/>
      <c r="AH142" s="2118">
        <v>1100</v>
      </c>
      <c r="AI142" s="2119"/>
      <c r="AJ142" s="2120"/>
      <c r="AK142" s="958"/>
      <c r="AL142" s="2095">
        <v>800</v>
      </c>
      <c r="AM142" s="1867"/>
      <c r="AN142" s="1983"/>
      <c r="AO142" s="1539"/>
      <c r="AP142" s="801"/>
      <c r="AQ142" s="801"/>
      <c r="AR142" s="918"/>
      <c r="AS142" s="918"/>
      <c r="AT142" s="737"/>
      <c r="AU142" s="784"/>
      <c r="AV142" s="934"/>
      <c r="AW142" s="1549"/>
      <c r="AX142" s="1549">
        <f>2700+2700</f>
        <v>5400</v>
      </c>
      <c r="AY142" s="1549"/>
      <c r="AZ142" s="786"/>
      <c r="BA142" s="786"/>
      <c r="BB142" s="786"/>
      <c r="BC142" s="786"/>
      <c r="BD142" s="786"/>
      <c r="BE142" s="786"/>
      <c r="BF142" s="1548"/>
      <c r="BG142" s="469"/>
    </row>
    <row r="143" spans="5:59" ht="100" customHeight="1" thickBot="1" x14ac:dyDescent="1.05">
      <c r="E143" s="465"/>
      <c r="F143" s="508"/>
      <c r="G143" s="386"/>
      <c r="H143" s="386"/>
      <c r="I143" s="386"/>
      <c r="J143" s="386"/>
      <c r="K143" s="386"/>
      <c r="L143" s="386"/>
      <c r="M143" s="386"/>
      <c r="N143" s="386"/>
      <c r="O143" s="386"/>
      <c r="P143" s="386"/>
      <c r="Q143" s="385"/>
      <c r="R143" s="386"/>
      <c r="S143" s="386"/>
      <c r="T143" s="386"/>
      <c r="U143" s="386"/>
      <c r="V143" s="386"/>
      <c r="W143" s="386"/>
      <c r="X143" s="386"/>
      <c r="Y143" s="386"/>
      <c r="Z143" s="386"/>
      <c r="AA143" s="386"/>
      <c r="AB143" s="505"/>
      <c r="AC143" s="465"/>
      <c r="AD143" s="508"/>
      <c r="AE143" s="386"/>
      <c r="AF143" s="390"/>
      <c r="AG143" s="539"/>
      <c r="AH143" s="386"/>
      <c r="AI143" s="386"/>
      <c r="AJ143" s="541"/>
      <c r="AK143" s="957"/>
      <c r="AL143" s="386"/>
      <c r="AM143" s="386"/>
      <c r="AN143" s="505"/>
      <c r="AO143" s="465"/>
      <c r="AP143" s="797"/>
      <c r="AQ143" s="797"/>
      <c r="AR143" s="797"/>
      <c r="AS143" s="797"/>
      <c r="AT143" s="720"/>
      <c r="AU143" s="465"/>
      <c r="AV143" s="508"/>
      <c r="AW143" s="386"/>
      <c r="AX143" s="386"/>
      <c r="AY143" s="386"/>
      <c r="AZ143" s="386"/>
      <c r="BA143" s="386"/>
      <c r="BB143" s="386"/>
      <c r="BC143" s="386"/>
      <c r="BD143" s="386"/>
      <c r="BE143" s="386"/>
      <c r="BF143" s="505"/>
      <c r="BG143" s="788"/>
    </row>
    <row r="144" spans="5:59" ht="100" customHeight="1" thickTop="1" thickBot="1" x14ac:dyDescent="1.05">
      <c r="E144" s="465"/>
      <c r="F144" s="743"/>
      <c r="G144" s="500"/>
      <c r="H144" s="500"/>
      <c r="I144" s="500"/>
      <c r="J144" s="500"/>
      <c r="K144" s="500"/>
      <c r="L144" s="500"/>
      <c r="M144" s="500"/>
      <c r="N144" s="500"/>
      <c r="O144" s="500"/>
      <c r="P144" s="500"/>
      <c r="Q144" s="959"/>
      <c r="R144" s="500"/>
      <c r="S144" s="500"/>
      <c r="T144" s="500"/>
      <c r="U144" s="500"/>
      <c r="V144" s="500"/>
      <c r="W144" s="500"/>
      <c r="X144" s="500"/>
      <c r="Y144" s="500"/>
      <c r="Z144" s="500"/>
      <c r="AA144" s="500"/>
      <c r="AB144" s="509"/>
      <c r="AC144" s="467"/>
      <c r="AD144" s="743"/>
      <c r="AE144" s="500"/>
      <c r="AF144" s="497"/>
      <c r="AG144" s="500"/>
      <c r="AH144" s="960"/>
      <c r="AI144" s="500"/>
      <c r="AJ144" s="937"/>
      <c r="AK144" s="940"/>
      <c r="AL144" s="500"/>
      <c r="AM144" s="500"/>
      <c r="AN144" s="509"/>
      <c r="AO144" s="465"/>
      <c r="AP144" s="797"/>
      <c r="AQ144" s="797"/>
      <c r="AR144" s="797"/>
      <c r="AS144" s="797"/>
      <c r="AT144" s="720"/>
      <c r="AU144" s="465"/>
      <c r="AV144" s="508"/>
      <c r="AW144" s="386"/>
      <c r="AX144" s="386"/>
      <c r="AY144" s="386"/>
      <c r="AZ144" s="386"/>
      <c r="BA144" s="386"/>
      <c r="BB144" s="386"/>
      <c r="BC144" s="386"/>
      <c r="BD144" s="386"/>
      <c r="BE144" s="386"/>
      <c r="BF144" s="505"/>
      <c r="BG144" s="919"/>
    </row>
    <row r="145" spans="3:60" ht="10" customHeight="1" thickTop="1" thickBot="1" x14ac:dyDescent="1.05">
      <c r="E145" s="471"/>
      <c r="F145" s="477"/>
      <c r="G145" s="476"/>
      <c r="H145" s="476"/>
      <c r="I145" s="476"/>
      <c r="J145" s="476"/>
      <c r="K145" s="476"/>
      <c r="L145" s="476"/>
      <c r="M145" s="476"/>
      <c r="N145" s="944"/>
      <c r="O145" s="476"/>
      <c r="P145" s="476"/>
      <c r="Q145" s="476"/>
      <c r="R145" s="476"/>
      <c r="S145" s="476"/>
      <c r="T145" s="476"/>
      <c r="U145" s="476"/>
      <c r="V145" s="476"/>
      <c r="W145" s="476"/>
      <c r="X145" s="476"/>
      <c r="Y145" s="477"/>
      <c r="Z145" s="476"/>
      <c r="AA145" s="476"/>
      <c r="AB145" s="476"/>
      <c r="AC145" s="476"/>
      <c r="AD145" s="477"/>
      <c r="AE145" s="476"/>
      <c r="AF145" s="476"/>
      <c r="AG145" s="476"/>
      <c r="AH145" s="476"/>
      <c r="AI145" s="944"/>
      <c r="AJ145" s="476"/>
      <c r="AK145" s="476"/>
      <c r="AL145" s="476"/>
      <c r="AM145" s="476"/>
      <c r="AN145" s="478"/>
      <c r="AO145" s="742"/>
      <c r="AP145" s="753"/>
      <c r="AQ145" s="754"/>
      <c r="AR145" s="754"/>
      <c r="AS145" s="754"/>
      <c r="AT145" s="755"/>
      <c r="AU145" s="476"/>
      <c r="AV145" s="476"/>
      <c r="AW145" s="476"/>
      <c r="AX145" s="701"/>
      <c r="AY145" s="701"/>
      <c r="AZ145" s="701"/>
      <c r="BA145" s="476"/>
      <c r="BB145" s="476"/>
      <c r="BC145" s="476"/>
      <c r="BD145" s="476"/>
      <c r="BE145" s="476"/>
      <c r="BF145" s="478"/>
      <c r="BG145" s="928"/>
    </row>
    <row r="146" spans="3:60" ht="25" customHeight="1" thickTop="1" x14ac:dyDescent="1"/>
    <row r="147" spans="3:60" ht="54" customHeight="1" x14ac:dyDescent="1"/>
    <row r="148" spans="3:60" ht="344" customHeight="1" x14ac:dyDescent="1"/>
    <row r="149" spans="3:60" s="1454" customFormat="1" ht="190" customHeight="1" x14ac:dyDescent="1.2">
      <c r="C149" s="1453"/>
      <c r="F149" s="1434" t="s">
        <v>148</v>
      </c>
      <c r="G149" s="1434"/>
      <c r="H149" s="1455"/>
      <c r="I149" s="1455"/>
      <c r="J149" s="1455"/>
      <c r="K149" s="1455"/>
      <c r="L149" s="1455"/>
      <c r="M149" s="1455"/>
      <c r="N149" s="1455"/>
      <c r="O149" s="1455"/>
      <c r="P149" s="1455"/>
      <c r="Q149" s="1455"/>
      <c r="R149" s="1455"/>
      <c r="S149" s="1455"/>
      <c r="T149" s="1455"/>
      <c r="U149" s="1455"/>
      <c r="V149" s="1455"/>
      <c r="W149" s="1455"/>
      <c r="X149" s="1455"/>
      <c r="Y149" s="1455"/>
      <c r="Z149" s="1455"/>
      <c r="AA149" s="1455"/>
      <c r="AB149" s="1455"/>
      <c r="AC149" s="1455"/>
      <c r="AD149" s="1455"/>
      <c r="AE149" s="1455"/>
      <c r="AF149" s="1455"/>
      <c r="AG149" s="1455"/>
      <c r="AH149" s="1455"/>
      <c r="AI149" s="1455"/>
      <c r="AJ149" s="1455"/>
      <c r="AK149" s="1455"/>
      <c r="AL149" s="1455"/>
      <c r="AM149" s="1455"/>
      <c r="AN149" s="1455"/>
      <c r="AO149" s="1455"/>
      <c r="AP149" s="1455"/>
      <c r="AQ149" s="1455"/>
      <c r="AR149" s="1455"/>
      <c r="AS149" s="1455"/>
      <c r="AT149" s="1455"/>
      <c r="AU149" s="1455"/>
      <c r="AV149" s="1455"/>
      <c r="AW149" s="1455"/>
      <c r="AX149" s="1455"/>
      <c r="AY149" s="1455"/>
      <c r="AZ149" s="1455"/>
      <c r="BA149" s="1455"/>
      <c r="BB149" s="1455"/>
      <c r="BC149" s="1455"/>
      <c r="BD149" s="1455"/>
      <c r="BE149" s="1455"/>
      <c r="BF149" s="1435"/>
      <c r="BG149" s="1435"/>
      <c r="BH149" s="1435"/>
    </row>
    <row r="150" spans="3:60" s="1426" customFormat="1" ht="25" customHeight="1" x14ac:dyDescent="1.2">
      <c r="C150" s="1431"/>
      <c r="F150" s="1436"/>
      <c r="G150" s="1436"/>
    </row>
    <row r="151" spans="3:60" s="1426" customFormat="1" ht="100" customHeight="1" x14ac:dyDescent="1.2">
      <c r="C151" s="1431"/>
      <c r="F151" s="1436" t="s">
        <v>140</v>
      </c>
      <c r="G151" s="1436"/>
      <c r="N151" s="2121"/>
      <c r="O151" s="2121"/>
      <c r="P151" s="2121"/>
      <c r="Q151" s="1576"/>
      <c r="R151" s="1456"/>
      <c r="S151" s="1456"/>
      <c r="T151" s="1456"/>
      <c r="U151" s="1456"/>
      <c r="V151" s="1456"/>
      <c r="W151" s="1456"/>
      <c r="X151" s="1456"/>
      <c r="Y151" s="1456"/>
      <c r="Z151" s="1454"/>
      <c r="AA151" s="1454"/>
      <c r="AB151" s="1454"/>
      <c r="AC151" s="1454"/>
    </row>
    <row r="152" spans="3:60" s="1426" customFormat="1" ht="100" customHeight="1" x14ac:dyDescent="1.2">
      <c r="C152" s="1431"/>
      <c r="F152" s="1426" t="s">
        <v>141</v>
      </c>
      <c r="J152" s="1440"/>
      <c r="K152" s="1440"/>
      <c r="P152" s="1427" t="s">
        <v>134</v>
      </c>
      <c r="Q152" s="1440">
        <v>20000</v>
      </c>
      <c r="R152" s="1440">
        <v>20000</v>
      </c>
      <c r="S152" s="1426" t="s">
        <v>33</v>
      </c>
      <c r="T152" s="1456"/>
      <c r="U152" s="1456"/>
      <c r="V152" s="1456"/>
      <c r="W152" s="1456"/>
      <c r="X152" s="1456"/>
      <c r="Y152" s="1456"/>
    </row>
    <row r="153" spans="3:60" ht="25" customHeight="1" thickBot="1" x14ac:dyDescent="1.05">
      <c r="E153" s="562"/>
      <c r="F153" s="562"/>
      <c r="G153" s="562"/>
      <c r="H153" s="562"/>
      <c r="I153" s="562"/>
      <c r="J153" s="562"/>
      <c r="K153" s="562"/>
      <c r="L153" s="562"/>
      <c r="M153" s="562"/>
      <c r="N153" s="562"/>
      <c r="O153" s="562"/>
      <c r="P153" s="562"/>
      <c r="Q153" s="562"/>
      <c r="R153" s="562"/>
      <c r="S153" s="562"/>
      <c r="T153" s="562"/>
      <c r="U153" s="408"/>
      <c r="AJ153" s="793"/>
      <c r="AK153" s="793"/>
      <c r="AL153" s="793"/>
      <c r="AM153" s="793"/>
      <c r="AN153" s="793"/>
      <c r="AO153" s="793"/>
      <c r="AP153" s="793"/>
      <c r="AQ153" s="562"/>
    </row>
    <row r="154" spans="3:60" ht="10" customHeight="1" thickTop="1" thickBot="1" x14ac:dyDescent="1.05">
      <c r="D154" s="794"/>
      <c r="E154" s="514"/>
      <c r="F154" s="575"/>
      <c r="G154" s="513"/>
      <c r="H154" s="513"/>
      <c r="I154" s="513"/>
      <c r="J154" s="513"/>
      <c r="K154" s="513"/>
      <c r="L154" s="561"/>
      <c r="M154" s="561"/>
      <c r="N154" s="561"/>
      <c r="O154" s="561"/>
      <c r="P154" s="561"/>
      <c r="Q154" s="561"/>
      <c r="R154" s="575"/>
      <c r="S154" s="561"/>
      <c r="T154" s="576"/>
      <c r="U154" s="962"/>
      <c r="V154" s="963"/>
      <c r="W154" s="963"/>
      <c r="X154" s="963"/>
      <c r="Y154" s="963"/>
      <c r="Z154" s="963"/>
      <c r="AA154" s="963"/>
      <c r="AB154" s="963"/>
      <c r="AC154" s="963"/>
      <c r="AD154" s="963"/>
      <c r="AE154" s="964"/>
      <c r="AF154" s="963"/>
      <c r="AG154" s="964"/>
      <c r="AH154" s="965"/>
      <c r="AI154" s="966"/>
      <c r="AJ154" s="388"/>
      <c r="AK154" s="388"/>
      <c r="AL154" s="388"/>
      <c r="AM154" s="388"/>
      <c r="AN154" s="388"/>
      <c r="AO154" s="388"/>
      <c r="AP154" s="796"/>
      <c r="AQ154" s="514"/>
      <c r="AR154" s="575"/>
      <c r="AS154" s="561"/>
      <c r="AT154" s="561"/>
      <c r="AU154" s="561"/>
      <c r="AV154" s="561"/>
      <c r="AW154" s="561"/>
      <c r="AX154" s="561"/>
      <c r="AY154" s="561"/>
      <c r="AZ154" s="561"/>
      <c r="BA154" s="561"/>
      <c r="BB154" s="561"/>
      <c r="BC154" s="561"/>
      <c r="BD154" s="561"/>
      <c r="BE154" s="561"/>
      <c r="BF154" s="576"/>
      <c r="BG154" s="512"/>
    </row>
    <row r="155" spans="3:60" ht="100" customHeight="1" thickTop="1" x14ac:dyDescent="1">
      <c r="D155" s="794"/>
      <c r="E155" s="514"/>
      <c r="F155" s="538"/>
      <c r="G155" s="525"/>
      <c r="H155" s="526"/>
      <c r="I155" s="967"/>
      <c r="J155" s="528"/>
      <c r="K155" s="968"/>
      <c r="L155" s="386"/>
      <c r="M155" s="386"/>
      <c r="N155" s="392"/>
      <c r="O155" s="392"/>
      <c r="P155" s="386"/>
      <c r="Q155" s="969"/>
      <c r="R155" s="390"/>
      <c r="S155" s="525"/>
      <c r="T155" s="546"/>
      <c r="U155" s="970"/>
      <c r="V155" s="971"/>
      <c r="W155" s="863"/>
      <c r="X155" s="972"/>
      <c r="Y155" s="971"/>
      <c r="Z155" s="973"/>
      <c r="AA155" s="974"/>
      <c r="AB155" s="975"/>
      <c r="AC155" s="971"/>
      <c r="AD155" s="976"/>
      <c r="AE155" s="977"/>
      <c r="AF155" s="973"/>
      <c r="AG155" s="976"/>
      <c r="AH155" s="978"/>
      <c r="AI155" s="704"/>
      <c r="AJ155" s="388"/>
      <c r="AK155" s="388"/>
      <c r="AL155" s="388"/>
      <c r="AM155" s="388"/>
      <c r="AN155" s="392"/>
      <c r="AO155" s="799"/>
      <c r="AP155" s="796"/>
      <c r="AQ155" s="547"/>
      <c r="AR155" s="568"/>
      <c r="AS155" s="386"/>
      <c r="AT155" s="386"/>
      <c r="AU155" s="386"/>
      <c r="AV155" s="386"/>
      <c r="AW155" s="386"/>
      <c r="AX155" s="386"/>
      <c r="AY155" s="386"/>
      <c r="AZ155" s="392"/>
      <c r="BA155" s="392"/>
      <c r="BB155" s="386"/>
      <c r="BC155" s="386"/>
      <c r="BD155" s="386"/>
      <c r="BE155" s="386"/>
      <c r="BF155" s="546"/>
      <c r="BG155" s="514"/>
    </row>
    <row r="156" spans="3:60" ht="100" customHeight="1" x14ac:dyDescent="1">
      <c r="D156" s="794"/>
      <c r="E156" s="514"/>
      <c r="F156" s="532" t="s">
        <v>152</v>
      </c>
      <c r="G156" s="492"/>
      <c r="H156" s="1554" t="s">
        <v>152</v>
      </c>
      <c r="I156" s="1546"/>
      <c r="J156" s="491" t="s">
        <v>152</v>
      </c>
      <c r="K156" s="492"/>
      <c r="L156" s="1545" t="s">
        <v>152</v>
      </c>
      <c r="M156" s="1545"/>
      <c r="N156" s="392"/>
      <c r="O156" s="392"/>
      <c r="P156" s="1553" t="s">
        <v>152</v>
      </c>
      <c r="Q156" s="1546"/>
      <c r="R156" s="491" t="s">
        <v>152</v>
      </c>
      <c r="S156" s="492"/>
      <c r="T156" s="1577" t="s">
        <v>152</v>
      </c>
      <c r="U156" s="979"/>
      <c r="V156" s="980" t="s">
        <v>152</v>
      </c>
      <c r="W156" s="1567"/>
      <c r="X156" s="981" t="s">
        <v>152</v>
      </c>
      <c r="Y156" s="980"/>
      <c r="Z156" s="982" t="s">
        <v>152</v>
      </c>
      <c r="AA156" s="983"/>
      <c r="AB156" s="981" t="s">
        <v>152</v>
      </c>
      <c r="AC156" s="980"/>
      <c r="AD156" s="984" t="s">
        <v>152</v>
      </c>
      <c r="AE156" s="980"/>
      <c r="AF156" s="982" t="s">
        <v>152</v>
      </c>
      <c r="AG156" s="985"/>
      <c r="AH156" s="1568" t="s">
        <v>152</v>
      </c>
      <c r="AI156" s="725"/>
      <c r="AJ156" s="388"/>
      <c r="AK156" s="388"/>
      <c r="AL156" s="388"/>
      <c r="AM156" s="388"/>
      <c r="AN156" s="392"/>
      <c r="AO156" s="799"/>
      <c r="AP156" s="796"/>
      <c r="AQ156" s="547"/>
      <c r="AR156" s="568"/>
      <c r="AS156" s="386"/>
      <c r="AT156" s="386"/>
      <c r="AU156" s="386"/>
      <c r="AV156" s="386"/>
      <c r="AW156" s="386"/>
      <c r="AX156" s="386"/>
      <c r="AY156" s="386"/>
      <c r="AZ156" s="392"/>
      <c r="BA156" s="392"/>
      <c r="BB156" s="386"/>
      <c r="BC156" s="386"/>
      <c r="BD156" s="386"/>
      <c r="BE156" s="386"/>
      <c r="BF156" s="546"/>
      <c r="BG156" s="514"/>
    </row>
    <row r="157" spans="3:60" ht="100" customHeight="1" x14ac:dyDescent="1">
      <c r="D157" s="794"/>
      <c r="E157" s="514"/>
      <c r="F157" s="532" t="s">
        <v>153</v>
      </c>
      <c r="G157" s="492"/>
      <c r="H157" s="1554" t="s">
        <v>154</v>
      </c>
      <c r="I157" s="1546"/>
      <c r="J157" s="491" t="s">
        <v>154</v>
      </c>
      <c r="K157" s="492"/>
      <c r="L157" s="1545" t="s">
        <v>154</v>
      </c>
      <c r="M157" s="1545"/>
      <c r="N157" s="1560"/>
      <c r="O157" s="1560"/>
      <c r="P157" s="1553" t="s">
        <v>154</v>
      </c>
      <c r="Q157" s="1546"/>
      <c r="R157" s="491" t="s">
        <v>154</v>
      </c>
      <c r="S157" s="492"/>
      <c r="T157" s="1577" t="s">
        <v>154</v>
      </c>
      <c r="U157" s="979"/>
      <c r="V157" s="980" t="s">
        <v>153</v>
      </c>
      <c r="W157" s="1567"/>
      <c r="X157" s="981" t="s">
        <v>154</v>
      </c>
      <c r="Y157" s="980"/>
      <c r="Z157" s="982" t="s">
        <v>154</v>
      </c>
      <c r="AA157" s="983"/>
      <c r="AB157" s="981" t="s">
        <v>154</v>
      </c>
      <c r="AC157" s="980"/>
      <c r="AD157" s="984" t="s">
        <v>154</v>
      </c>
      <c r="AE157" s="980"/>
      <c r="AF157" s="982" t="s">
        <v>154</v>
      </c>
      <c r="AG157" s="985"/>
      <c r="AH157" s="1568" t="s">
        <v>154</v>
      </c>
      <c r="AI157" s="725"/>
      <c r="AJ157" s="1569"/>
      <c r="AK157" s="1569"/>
      <c r="AL157" s="1569"/>
      <c r="AM157" s="1569"/>
      <c r="AN157" s="1560"/>
      <c r="AO157" s="803"/>
      <c r="AP157" s="804"/>
      <c r="AQ157" s="805"/>
      <c r="AR157" s="1551"/>
      <c r="AS157" s="1545"/>
      <c r="AT157" s="1545"/>
      <c r="AU157" s="1545"/>
      <c r="AV157" s="1545"/>
      <c r="AW157" s="1545"/>
      <c r="AX157" s="1545"/>
      <c r="AY157" s="1545"/>
      <c r="AZ157" s="1560"/>
      <c r="BA157" s="1560"/>
      <c r="BB157" s="1545"/>
      <c r="BC157" s="1545"/>
      <c r="BD157" s="1545"/>
      <c r="BE157" s="1545"/>
      <c r="BF157" s="546"/>
      <c r="BG157" s="514"/>
    </row>
    <row r="158" spans="3:60" ht="100" customHeight="1" x14ac:dyDescent="1">
      <c r="D158" s="794"/>
      <c r="E158" s="514"/>
      <c r="F158" s="532" t="s">
        <v>121</v>
      </c>
      <c r="G158" s="492"/>
      <c r="H158" s="1554" t="s">
        <v>125</v>
      </c>
      <c r="I158" s="1546"/>
      <c r="J158" s="491" t="s">
        <v>121</v>
      </c>
      <c r="K158" s="492"/>
      <c r="L158" s="1545" t="s">
        <v>20</v>
      </c>
      <c r="M158" s="1545"/>
      <c r="N158" s="728" t="s">
        <v>175</v>
      </c>
      <c r="O158" s="728"/>
      <c r="P158" s="1545" t="s">
        <v>20</v>
      </c>
      <c r="Q158" s="645"/>
      <c r="R158" s="491" t="s">
        <v>121</v>
      </c>
      <c r="S158" s="492"/>
      <c r="T158" s="1577" t="s">
        <v>121</v>
      </c>
      <c r="U158" s="979"/>
      <c r="V158" s="980" t="s">
        <v>121</v>
      </c>
      <c r="W158" s="985"/>
      <c r="X158" s="986" t="s">
        <v>125</v>
      </c>
      <c r="Y158" s="980"/>
      <c r="Z158" s="982" t="s">
        <v>121</v>
      </c>
      <c r="AA158" s="985"/>
      <c r="AB158" s="986" t="s">
        <v>20</v>
      </c>
      <c r="AC158" s="980"/>
      <c r="AD158" s="984" t="s">
        <v>20</v>
      </c>
      <c r="AE158" s="980"/>
      <c r="AF158" s="982" t="s">
        <v>121</v>
      </c>
      <c r="AG158" s="985"/>
      <c r="AH158" s="1568" t="s">
        <v>121</v>
      </c>
      <c r="AI158" s="725"/>
      <c r="AJ158" s="2073" t="s">
        <v>124</v>
      </c>
      <c r="AK158" s="2056"/>
      <c r="AL158" s="2056"/>
      <c r="AM158" s="2056"/>
      <c r="AN158" s="2056"/>
      <c r="AO158" s="803"/>
      <c r="AP158" s="804" t="s">
        <v>178</v>
      </c>
      <c r="AQ158" s="805"/>
      <c r="AR158" s="1551"/>
      <c r="AS158" s="1545"/>
      <c r="AT158" s="1545"/>
      <c r="AU158" s="1545"/>
      <c r="AV158" s="1545"/>
      <c r="AW158" s="1545"/>
      <c r="AX158" s="1545"/>
      <c r="AY158" s="1545"/>
      <c r="AZ158" s="728" t="s">
        <v>175</v>
      </c>
      <c r="BA158" s="728"/>
      <c r="BB158" s="1549"/>
      <c r="BC158" s="1549"/>
      <c r="BD158" s="1545"/>
      <c r="BE158" s="1545"/>
      <c r="BF158" s="1577"/>
      <c r="BG158" s="514"/>
    </row>
    <row r="159" spans="3:60" ht="100" customHeight="1" x14ac:dyDescent="1">
      <c r="D159" s="794"/>
      <c r="E159" s="514"/>
      <c r="F159" s="532">
        <v>300</v>
      </c>
      <c r="G159" s="492"/>
      <c r="H159" s="1554">
        <v>500</v>
      </c>
      <c r="I159" s="1546"/>
      <c r="J159" s="491">
        <v>300</v>
      </c>
      <c r="K159" s="492"/>
      <c r="L159" s="1545">
        <v>450</v>
      </c>
      <c r="M159" s="1545"/>
      <c r="N159" s="728" t="s">
        <v>127</v>
      </c>
      <c r="O159" s="728"/>
      <c r="P159" s="1545">
        <v>450</v>
      </c>
      <c r="Q159" s="645"/>
      <c r="R159" s="491">
        <v>300</v>
      </c>
      <c r="S159" s="492"/>
      <c r="T159" s="1577">
        <v>300</v>
      </c>
      <c r="U159" s="979"/>
      <c r="V159" s="980">
        <v>300</v>
      </c>
      <c r="W159" s="985"/>
      <c r="X159" s="986">
        <v>500</v>
      </c>
      <c r="Y159" s="980"/>
      <c r="Z159" s="982">
        <v>300</v>
      </c>
      <c r="AA159" s="985"/>
      <c r="AB159" s="986">
        <v>450</v>
      </c>
      <c r="AC159" s="980"/>
      <c r="AD159" s="984">
        <v>450</v>
      </c>
      <c r="AE159" s="980"/>
      <c r="AF159" s="982">
        <v>300</v>
      </c>
      <c r="AG159" s="985"/>
      <c r="AH159" s="1568">
        <v>300</v>
      </c>
      <c r="AI159" s="725"/>
      <c r="AJ159" s="388"/>
      <c r="AK159" s="388"/>
      <c r="AL159" s="388"/>
      <c r="AM159" s="388"/>
      <c r="AN159" s="388"/>
      <c r="AO159" s="388"/>
      <c r="AP159" s="987" t="s">
        <v>127</v>
      </c>
      <c r="AQ159" s="805"/>
      <c r="AR159" s="568"/>
      <c r="AS159" s="386"/>
      <c r="AT159" s="386"/>
      <c r="AU159" s="386"/>
      <c r="AV159" s="386"/>
      <c r="AW159" s="386"/>
      <c r="AX159" s="386"/>
      <c r="AY159" s="386"/>
      <c r="AZ159" s="728" t="s">
        <v>127</v>
      </c>
      <c r="BA159" s="728"/>
      <c r="BB159" s="386"/>
      <c r="BC159" s="386"/>
      <c r="BD159" s="386"/>
      <c r="BE159" s="386"/>
      <c r="BF159" s="546"/>
      <c r="BG159" s="514"/>
    </row>
    <row r="160" spans="3:60" ht="100" customHeight="1" thickBot="1" x14ac:dyDescent="1.05">
      <c r="D160" s="794"/>
      <c r="E160" s="514"/>
      <c r="F160" s="538"/>
      <c r="G160" s="539"/>
      <c r="H160" s="541"/>
      <c r="I160" s="390"/>
      <c r="J160" s="483"/>
      <c r="K160" s="386"/>
      <c r="L160" s="386"/>
      <c r="M160" s="386"/>
      <c r="N160" s="392"/>
      <c r="O160" s="392"/>
      <c r="P160" s="386"/>
      <c r="Q160" s="486"/>
      <c r="R160" s="483"/>
      <c r="S160" s="539"/>
      <c r="T160" s="546"/>
      <c r="U160" s="970"/>
      <c r="V160" s="988"/>
      <c r="W160" s="989"/>
      <c r="X160" s="990"/>
      <c r="Y160" s="988"/>
      <c r="Z160" s="991"/>
      <c r="AA160" s="992"/>
      <c r="AB160" s="993"/>
      <c r="AC160" s="988"/>
      <c r="AD160" s="994"/>
      <c r="AE160" s="988"/>
      <c r="AF160" s="991"/>
      <c r="AG160" s="989"/>
      <c r="AH160" s="721"/>
      <c r="AI160" s="704"/>
      <c r="AJ160" s="388"/>
      <c r="AK160" s="388"/>
      <c r="AL160" s="388"/>
      <c r="AM160" s="388"/>
      <c r="AN160" s="388"/>
      <c r="AO160" s="388"/>
      <c r="AP160" s="995"/>
      <c r="AQ160" s="547"/>
      <c r="AR160" s="568"/>
      <c r="AS160" s="386"/>
      <c r="AT160" s="386"/>
      <c r="AU160" s="386"/>
      <c r="AV160" s="386"/>
      <c r="AW160" s="386"/>
      <c r="AX160" s="386"/>
      <c r="AY160" s="386"/>
      <c r="AZ160" s="392"/>
      <c r="BA160" s="392"/>
      <c r="BB160" s="386"/>
      <c r="BC160" s="386"/>
      <c r="BD160" s="386"/>
      <c r="BE160" s="386"/>
      <c r="BF160" s="546"/>
      <c r="BG160" s="514"/>
    </row>
    <row r="161" spans="3:59" ht="100" customHeight="1" thickTop="1" thickBot="1" x14ac:dyDescent="1.05">
      <c r="D161" s="794"/>
      <c r="E161" s="514"/>
      <c r="F161" s="996"/>
      <c r="G161" s="570"/>
      <c r="H161" s="570"/>
      <c r="I161" s="570"/>
      <c r="J161" s="997"/>
      <c r="K161" s="570"/>
      <c r="L161" s="570"/>
      <c r="M161" s="570"/>
      <c r="N161" s="811"/>
      <c r="O161" s="811"/>
      <c r="P161" s="998"/>
      <c r="Q161" s="556"/>
      <c r="R161" s="997"/>
      <c r="S161" s="999"/>
      <c r="T161" s="626"/>
      <c r="U161" s="970"/>
      <c r="V161" s="1000"/>
      <c r="W161" s="1001"/>
      <c r="X161" s="1002"/>
      <c r="Y161" s="1000"/>
      <c r="Z161" s="1003"/>
      <c r="AA161" s="1001"/>
      <c r="AB161" s="1002"/>
      <c r="AC161" s="1000"/>
      <c r="AD161" s="1004"/>
      <c r="AE161" s="1000"/>
      <c r="AF161" s="1003"/>
      <c r="AG161" s="1001"/>
      <c r="AH161" s="747"/>
      <c r="AI161" s="704"/>
      <c r="AJ161" s="388"/>
      <c r="AK161" s="388"/>
      <c r="AL161" s="388"/>
      <c r="AM161" s="388"/>
      <c r="AN161" s="388"/>
      <c r="AO161" s="388"/>
      <c r="AP161" s="995"/>
      <c r="AQ161" s="577"/>
      <c r="AR161" s="386"/>
      <c r="AS161" s="386"/>
      <c r="AT161" s="386"/>
      <c r="AU161" s="386"/>
      <c r="AV161" s="386"/>
      <c r="AW161" s="386"/>
      <c r="AX161" s="386"/>
      <c r="AY161" s="386"/>
      <c r="AZ161" s="392"/>
      <c r="BA161" s="392"/>
      <c r="BB161" s="386"/>
      <c r="BC161" s="386"/>
      <c r="BD161" s="386"/>
      <c r="BE161" s="386"/>
      <c r="BF161" s="546"/>
      <c r="BG161" s="514"/>
    </row>
    <row r="162" spans="3:59" ht="10" customHeight="1" thickTop="1" thickBot="1" x14ac:dyDescent="1.05">
      <c r="D162" s="408"/>
      <c r="E162" s="518"/>
      <c r="F162" s="519"/>
      <c r="G162" s="519"/>
      <c r="H162" s="519"/>
      <c r="I162" s="519"/>
      <c r="J162" s="519"/>
      <c r="K162" s="519"/>
      <c r="L162" s="519"/>
      <c r="M162" s="519"/>
      <c r="N162" s="519"/>
      <c r="O162" s="519"/>
      <c r="P162" s="519"/>
      <c r="Q162" s="519"/>
      <c r="R162" s="519"/>
      <c r="S162" s="519"/>
      <c r="T162" s="519"/>
      <c r="U162" s="1005"/>
      <c r="V162" s="861"/>
      <c r="W162" s="861"/>
      <c r="X162" s="861"/>
      <c r="Y162" s="861"/>
      <c r="Z162" s="861"/>
      <c r="AA162" s="861"/>
      <c r="AB162" s="861"/>
      <c r="AC162" s="861"/>
      <c r="AD162" s="861"/>
      <c r="AE162" s="861"/>
      <c r="AF162" s="861"/>
      <c r="AG162" s="861"/>
      <c r="AH162" s="861"/>
      <c r="AI162" s="748"/>
      <c r="AJ162" s="813"/>
      <c r="AK162" s="814"/>
      <c r="AL162" s="814"/>
      <c r="AM162" s="814"/>
      <c r="AN162" s="814"/>
      <c r="AO162" s="814"/>
      <c r="AP162" s="815"/>
      <c r="AQ162" s="578"/>
      <c r="AR162" s="386"/>
      <c r="AS162" s="386"/>
      <c r="AT162" s="386"/>
      <c r="AU162" s="386"/>
      <c r="AV162" s="386"/>
      <c r="AW162" s="386"/>
      <c r="AX162" s="386"/>
      <c r="AY162" s="386"/>
      <c r="AZ162" s="392"/>
      <c r="BA162" s="392"/>
      <c r="BB162" s="386"/>
      <c r="BC162" s="386"/>
      <c r="BD162" s="386"/>
      <c r="BE162" s="386"/>
      <c r="BF162" s="546"/>
      <c r="BG162" s="514"/>
    </row>
    <row r="163" spans="3:59" ht="100" customHeight="1" thickTop="1" thickBot="1" x14ac:dyDescent="1.05">
      <c r="D163" s="408"/>
      <c r="E163" s="2122" t="s">
        <v>168</v>
      </c>
      <c r="F163" s="2058"/>
      <c r="G163" s="2058"/>
      <c r="H163" s="2058"/>
      <c r="I163" s="2058"/>
      <c r="J163" s="2058"/>
      <c r="K163" s="2058"/>
      <c r="L163" s="2058"/>
      <c r="M163" s="2058"/>
      <c r="N163" s="2058"/>
      <c r="O163" s="2058"/>
      <c r="P163" s="2058"/>
      <c r="Q163" s="2058"/>
      <c r="R163" s="2058"/>
      <c r="S163" s="2058"/>
      <c r="T163" s="2059"/>
      <c r="U163" s="817"/>
      <c r="V163" s="2063" t="s">
        <v>171</v>
      </c>
      <c r="W163" s="2064"/>
      <c r="X163" s="2064"/>
      <c r="Y163" s="2064"/>
      <c r="Z163" s="2064"/>
      <c r="AA163" s="2064"/>
      <c r="AB163" s="2064"/>
      <c r="AC163" s="2064"/>
      <c r="AD163" s="2064"/>
      <c r="AE163" s="2064"/>
      <c r="AF163" s="2064"/>
      <c r="AG163" s="2064"/>
      <c r="AH163" s="2065"/>
      <c r="AI163" s="2092" t="s">
        <v>186</v>
      </c>
      <c r="AJ163" s="2066"/>
      <c r="AK163" s="2066"/>
      <c r="AL163" s="2066"/>
      <c r="AM163" s="2066"/>
      <c r="AN163" s="2066"/>
      <c r="AO163" s="2066"/>
      <c r="AP163" s="2067"/>
      <c r="AQ163" s="1006"/>
      <c r="AR163" s="2068" t="s">
        <v>133</v>
      </c>
      <c r="AS163" s="2054"/>
      <c r="AT163" s="2054"/>
      <c r="AU163" s="2054"/>
      <c r="AV163" s="2054"/>
      <c r="AW163" s="2054"/>
      <c r="AX163" s="2054"/>
      <c r="AY163" s="2054"/>
      <c r="AZ163" s="2054"/>
      <c r="BA163" s="2054"/>
      <c r="BB163" s="2054"/>
      <c r="BC163" s="2054"/>
      <c r="BD163" s="2054"/>
      <c r="BE163" s="2054"/>
      <c r="BF163" s="2069"/>
      <c r="BG163" s="547"/>
    </row>
    <row r="164" spans="3:59" ht="100" customHeight="1" thickTop="1" thickBot="1" x14ac:dyDescent="1.05">
      <c r="D164" s="408"/>
      <c r="E164" s="2123"/>
      <c r="F164" s="2061"/>
      <c r="G164" s="2061"/>
      <c r="H164" s="2061"/>
      <c r="I164" s="2061"/>
      <c r="J164" s="2061"/>
      <c r="K164" s="2061"/>
      <c r="L164" s="2061"/>
      <c r="M164" s="2061"/>
      <c r="N164" s="2061"/>
      <c r="O164" s="2061"/>
      <c r="P164" s="2061"/>
      <c r="Q164" s="2061"/>
      <c r="R164" s="2061"/>
      <c r="S164" s="2061"/>
      <c r="T164" s="2062"/>
      <c r="U164" s="1007"/>
      <c r="V164" s="2124"/>
      <c r="W164" s="2086"/>
      <c r="X164" s="2086"/>
      <c r="Y164" s="2086"/>
      <c r="Z164" s="2086"/>
      <c r="AA164" s="2086"/>
      <c r="AB164" s="2086"/>
      <c r="AC164" s="2086"/>
      <c r="AD164" s="2086"/>
      <c r="AE164" s="2086"/>
      <c r="AF164" s="2086"/>
      <c r="AG164" s="2086"/>
      <c r="AH164" s="2091"/>
      <c r="AI164" s="2092"/>
      <c r="AJ164" s="2066"/>
      <c r="AK164" s="2066"/>
      <c r="AL164" s="2066"/>
      <c r="AM164" s="2066"/>
      <c r="AN164" s="2066"/>
      <c r="AO164" s="2066"/>
      <c r="AP164" s="2067"/>
      <c r="AQ164" s="1008"/>
      <c r="AR164" s="2068"/>
      <c r="AS164" s="2054"/>
      <c r="AT164" s="2054"/>
      <c r="AU164" s="2054"/>
      <c r="AV164" s="2054"/>
      <c r="AW164" s="2054"/>
      <c r="AX164" s="2054"/>
      <c r="AY164" s="2054"/>
      <c r="AZ164" s="2054"/>
      <c r="BA164" s="2054"/>
      <c r="BB164" s="2054"/>
      <c r="BC164" s="2054"/>
      <c r="BD164" s="2054"/>
      <c r="BE164" s="2054"/>
      <c r="BF164" s="2069"/>
      <c r="BG164" s="1009"/>
    </row>
    <row r="165" spans="3:59" ht="10" customHeight="1" thickTop="1" thickBot="1" x14ac:dyDescent="1.05">
      <c r="D165" s="794"/>
      <c r="E165" s="547"/>
      <c r="F165" s="834"/>
      <c r="G165" s="834"/>
      <c r="H165" s="834"/>
      <c r="I165" s="834"/>
      <c r="J165" s="834"/>
      <c r="K165" s="834"/>
      <c r="L165" s="834"/>
      <c r="M165" s="834"/>
      <c r="N165" s="834"/>
      <c r="O165" s="834"/>
      <c r="P165" s="834"/>
      <c r="Q165" s="834"/>
      <c r="R165" s="834"/>
      <c r="S165" s="834"/>
      <c r="T165" s="834"/>
      <c r="U165" s="1010"/>
      <c r="V165" s="954"/>
      <c r="W165" s="954"/>
      <c r="X165" s="954"/>
      <c r="Y165" s="954"/>
      <c r="Z165" s="954"/>
      <c r="AA165" s="954"/>
      <c r="AB165" s="954"/>
      <c r="AC165" s="954"/>
      <c r="AD165" s="954"/>
      <c r="AE165" s="1011"/>
      <c r="AF165" s="954"/>
      <c r="AG165" s="954"/>
      <c r="AH165" s="954"/>
      <c r="AI165" s="1012"/>
      <c r="AJ165" s="1583"/>
      <c r="AK165" s="1583"/>
      <c r="AL165" s="1583"/>
      <c r="AM165" s="1583"/>
      <c r="AN165" s="1583"/>
      <c r="AO165" s="1583"/>
      <c r="AP165" s="1013"/>
      <c r="AQ165" s="1008"/>
      <c r="AR165" s="1558"/>
      <c r="AS165" s="1558"/>
      <c r="AT165" s="1558"/>
      <c r="AU165" s="1558"/>
      <c r="AV165" s="1558"/>
      <c r="AW165" s="1558"/>
      <c r="AX165" s="1558"/>
      <c r="AY165" s="1558"/>
      <c r="AZ165" s="1558"/>
      <c r="BA165" s="1558"/>
      <c r="BB165" s="1558"/>
      <c r="BC165" s="1558"/>
      <c r="BD165" s="1558"/>
      <c r="BE165" s="1558"/>
      <c r="BF165" s="1558"/>
      <c r="BG165" s="512"/>
    </row>
    <row r="166" spans="3:59" ht="100" customHeight="1" thickTop="1" x14ac:dyDescent="1">
      <c r="D166" s="794"/>
      <c r="E166" s="514"/>
      <c r="F166" s="524"/>
      <c r="G166" s="525"/>
      <c r="H166" s="526"/>
      <c r="I166" s="527"/>
      <c r="J166" s="528"/>
      <c r="K166" s="525"/>
      <c r="L166" s="529"/>
      <c r="M166" s="527"/>
      <c r="N166" s="525"/>
      <c r="O166" s="527"/>
      <c r="P166" s="528"/>
      <c r="Q166" s="530"/>
      <c r="R166" s="527"/>
      <c r="S166" s="525"/>
      <c r="T166" s="531"/>
      <c r="U166" s="1014"/>
      <c r="V166" s="971"/>
      <c r="W166" s="863"/>
      <c r="X166" s="972"/>
      <c r="Y166" s="971"/>
      <c r="Z166" s="973"/>
      <c r="AA166" s="974"/>
      <c r="AB166" s="975"/>
      <c r="AC166" s="971"/>
      <c r="AD166" s="976"/>
      <c r="AE166" s="977"/>
      <c r="AF166" s="973"/>
      <c r="AG166" s="976"/>
      <c r="AH166" s="978"/>
      <c r="AI166" s="704"/>
      <c r="AJ166" s="1015"/>
      <c r="AK166" s="1015"/>
      <c r="AL166" s="1015"/>
      <c r="AM166" s="1015"/>
      <c r="AN166" s="1015"/>
      <c r="AO166" s="1015"/>
      <c r="AP166" s="1016"/>
      <c r="AQ166" s="578"/>
      <c r="AR166" s="386"/>
      <c r="AS166" s="386"/>
      <c r="AT166" s="386"/>
      <c r="AU166" s="386"/>
      <c r="AV166" s="386"/>
      <c r="AW166" s="386"/>
      <c r="AX166" s="386"/>
      <c r="AY166" s="386"/>
      <c r="AZ166" s="386"/>
      <c r="BA166" s="386"/>
      <c r="BB166" s="386"/>
      <c r="BC166" s="386"/>
      <c r="BD166" s="386"/>
      <c r="BE166" s="386"/>
      <c r="BF166" s="386"/>
      <c r="BG166" s="1009"/>
    </row>
    <row r="167" spans="3:59" ht="100" customHeight="1" x14ac:dyDescent="1">
      <c r="D167" s="794"/>
      <c r="E167" s="514"/>
      <c r="F167" s="532" t="s">
        <v>152</v>
      </c>
      <c r="G167" s="492"/>
      <c r="H167" s="533" t="s">
        <v>152</v>
      </c>
      <c r="I167" s="1546"/>
      <c r="J167" s="491" t="s">
        <v>152</v>
      </c>
      <c r="K167" s="492"/>
      <c r="L167" s="1554" t="s">
        <v>152</v>
      </c>
      <c r="M167" s="1546"/>
      <c r="N167" s="492" t="s">
        <v>152</v>
      </c>
      <c r="O167" s="1546"/>
      <c r="P167" s="491" t="s">
        <v>152</v>
      </c>
      <c r="Q167" s="489"/>
      <c r="R167" s="1546" t="s">
        <v>152</v>
      </c>
      <c r="S167" s="492"/>
      <c r="T167" s="1577" t="s">
        <v>152</v>
      </c>
      <c r="U167" s="1017"/>
      <c r="V167" s="980" t="s">
        <v>152</v>
      </c>
      <c r="W167" s="1567"/>
      <c r="X167" s="981" t="s">
        <v>152</v>
      </c>
      <c r="Y167" s="980"/>
      <c r="Z167" s="982" t="s">
        <v>152</v>
      </c>
      <c r="AA167" s="983"/>
      <c r="AB167" s="981" t="s">
        <v>152</v>
      </c>
      <c r="AC167" s="980"/>
      <c r="AD167" s="983" t="s">
        <v>152</v>
      </c>
      <c r="AE167" s="1018"/>
      <c r="AF167" s="982" t="s">
        <v>152</v>
      </c>
      <c r="AG167" s="985"/>
      <c r="AH167" s="1568" t="s">
        <v>152</v>
      </c>
      <c r="AI167" s="704"/>
      <c r="AJ167" s="1019"/>
      <c r="AK167" s="1019"/>
      <c r="AL167" s="1015"/>
      <c r="AM167" s="1015"/>
      <c r="AN167" s="1015"/>
      <c r="AO167" s="1015"/>
      <c r="AP167" s="1016"/>
      <c r="AQ167" s="547"/>
      <c r="AR167" s="568"/>
      <c r="AS167" s="386"/>
      <c r="AT167" s="579"/>
      <c r="AU167" s="386"/>
      <c r="AV167" s="386"/>
      <c r="AW167" s="386"/>
      <c r="AX167" s="386"/>
      <c r="AY167" s="386"/>
      <c r="AZ167" s="598"/>
      <c r="BA167" s="598"/>
      <c r="BB167" s="598"/>
      <c r="BC167" s="598"/>
      <c r="BD167" s="386"/>
      <c r="BE167" s="386"/>
      <c r="BF167" s="546"/>
      <c r="BG167" s="514"/>
    </row>
    <row r="168" spans="3:59" ht="100" customHeight="1" x14ac:dyDescent="1">
      <c r="D168" s="794"/>
      <c r="E168" s="514"/>
      <c r="F168" s="532" t="s">
        <v>153</v>
      </c>
      <c r="G168" s="492"/>
      <c r="H168" s="533" t="s">
        <v>154</v>
      </c>
      <c r="I168" s="1546"/>
      <c r="J168" s="491" t="s">
        <v>154</v>
      </c>
      <c r="K168" s="492"/>
      <c r="L168" s="1554" t="s">
        <v>154</v>
      </c>
      <c r="M168" s="1546"/>
      <c r="N168" s="492" t="s">
        <v>154</v>
      </c>
      <c r="O168" s="1546"/>
      <c r="P168" s="491" t="s">
        <v>154</v>
      </c>
      <c r="Q168" s="489"/>
      <c r="R168" s="1546" t="s">
        <v>154</v>
      </c>
      <c r="S168" s="492"/>
      <c r="T168" s="1577" t="s">
        <v>154</v>
      </c>
      <c r="U168" s="1017"/>
      <c r="V168" s="980" t="s">
        <v>153</v>
      </c>
      <c r="W168" s="1567"/>
      <c r="X168" s="981" t="s">
        <v>154</v>
      </c>
      <c r="Y168" s="980"/>
      <c r="Z168" s="982" t="s">
        <v>154</v>
      </c>
      <c r="AA168" s="983"/>
      <c r="AB168" s="981" t="s">
        <v>154</v>
      </c>
      <c r="AC168" s="980"/>
      <c r="AD168" s="984" t="s">
        <v>154</v>
      </c>
      <c r="AE168" s="980"/>
      <c r="AF168" s="982" t="s">
        <v>154</v>
      </c>
      <c r="AG168" s="985"/>
      <c r="AH168" s="1568" t="s">
        <v>154</v>
      </c>
      <c r="AI168" s="725"/>
      <c r="AJ168" s="1019"/>
      <c r="AK168" s="1019"/>
      <c r="AL168" s="1015"/>
      <c r="AM168" s="1015"/>
      <c r="AN168" s="1015"/>
      <c r="AO168" s="1015"/>
      <c r="AP168" s="1016"/>
      <c r="AQ168" s="547"/>
      <c r="AR168" s="1551"/>
      <c r="AS168" s="1545"/>
      <c r="AT168" s="1020" t="s">
        <v>27</v>
      </c>
      <c r="AU168" s="1545"/>
      <c r="AV168" s="579"/>
      <c r="AW168" s="579"/>
      <c r="AX168" s="579"/>
      <c r="AY168" s="579"/>
      <c r="AZ168" s="579"/>
      <c r="BA168" s="579"/>
      <c r="BB168" s="579"/>
      <c r="BC168" s="579"/>
      <c r="BD168" s="386"/>
      <c r="BE168" s="386"/>
      <c r="BF168" s="546"/>
      <c r="BG168" s="514"/>
    </row>
    <row r="169" spans="3:59" ht="100" customHeight="1" x14ac:dyDescent="1">
      <c r="D169" s="794"/>
      <c r="E169" s="514"/>
      <c r="F169" s="532" t="s">
        <v>121</v>
      </c>
      <c r="G169" s="492"/>
      <c r="H169" s="533" t="s">
        <v>125</v>
      </c>
      <c r="I169" s="1546"/>
      <c r="J169" s="491" t="s">
        <v>121</v>
      </c>
      <c r="K169" s="492"/>
      <c r="L169" s="1554" t="s">
        <v>20</v>
      </c>
      <c r="M169" s="1546"/>
      <c r="N169" s="492" t="s">
        <v>20</v>
      </c>
      <c r="O169" s="1546"/>
      <c r="P169" s="491" t="s">
        <v>121</v>
      </c>
      <c r="Q169" s="489"/>
      <c r="R169" s="1546" t="s">
        <v>121</v>
      </c>
      <c r="S169" s="492"/>
      <c r="T169" s="1577" t="s">
        <v>121</v>
      </c>
      <c r="U169" s="1017"/>
      <c r="V169" s="980" t="s">
        <v>121</v>
      </c>
      <c r="W169" s="985"/>
      <c r="X169" s="986" t="s">
        <v>125</v>
      </c>
      <c r="Y169" s="980"/>
      <c r="Z169" s="982" t="s">
        <v>121</v>
      </c>
      <c r="AA169" s="985"/>
      <c r="AB169" s="986" t="s">
        <v>20</v>
      </c>
      <c r="AC169" s="980"/>
      <c r="AD169" s="984" t="s">
        <v>20</v>
      </c>
      <c r="AE169" s="980"/>
      <c r="AF169" s="982" t="s">
        <v>121</v>
      </c>
      <c r="AG169" s="985"/>
      <c r="AH169" s="1568" t="s">
        <v>121</v>
      </c>
      <c r="AI169" s="725"/>
      <c r="AJ169" s="1019"/>
      <c r="AK169" s="1019"/>
      <c r="AL169" s="2111" t="s">
        <v>149</v>
      </c>
      <c r="AM169" s="2111"/>
      <c r="AN169" s="2111"/>
      <c r="AO169" s="1574"/>
      <c r="AP169" s="1022"/>
      <c r="AQ169" s="840"/>
      <c r="AR169" s="1551"/>
      <c r="AS169" s="1545"/>
      <c r="AT169" s="727" t="s">
        <v>196</v>
      </c>
      <c r="AU169" s="1545"/>
      <c r="AV169" s="598"/>
      <c r="AW169" s="598"/>
      <c r="AX169" s="598"/>
      <c r="AY169" s="598"/>
      <c r="AZ169" s="598"/>
      <c r="BA169" s="598"/>
      <c r="BB169" s="598"/>
      <c r="BC169" s="598"/>
      <c r="BD169" s="1542"/>
      <c r="BE169" s="1542"/>
      <c r="BF169" s="833"/>
      <c r="BG169" s="514"/>
    </row>
    <row r="170" spans="3:59" ht="100" customHeight="1" x14ac:dyDescent="1">
      <c r="D170" s="794"/>
      <c r="E170" s="514"/>
      <c r="F170" s="532">
        <v>300</v>
      </c>
      <c r="G170" s="492"/>
      <c r="H170" s="533">
        <v>500</v>
      </c>
      <c r="I170" s="1546"/>
      <c r="J170" s="491">
        <v>300</v>
      </c>
      <c r="K170" s="492"/>
      <c r="L170" s="1554">
        <v>450</v>
      </c>
      <c r="M170" s="1546"/>
      <c r="N170" s="492">
        <v>450</v>
      </c>
      <c r="O170" s="1546"/>
      <c r="P170" s="491">
        <v>300</v>
      </c>
      <c r="Q170" s="489"/>
      <c r="R170" s="1546">
        <v>300</v>
      </c>
      <c r="S170" s="492"/>
      <c r="T170" s="1577">
        <v>300</v>
      </c>
      <c r="U170" s="1017"/>
      <c r="V170" s="980">
        <v>300</v>
      </c>
      <c r="W170" s="985"/>
      <c r="X170" s="986">
        <v>500</v>
      </c>
      <c r="Y170" s="980"/>
      <c r="Z170" s="982">
        <v>300</v>
      </c>
      <c r="AA170" s="985"/>
      <c r="AB170" s="986">
        <v>450</v>
      </c>
      <c r="AC170" s="980"/>
      <c r="AD170" s="984">
        <v>450</v>
      </c>
      <c r="AE170" s="980"/>
      <c r="AF170" s="982">
        <v>300</v>
      </c>
      <c r="AG170" s="985"/>
      <c r="AH170" s="1568">
        <v>300</v>
      </c>
      <c r="AI170" s="704"/>
      <c r="AJ170" s="1019"/>
      <c r="AK170" s="1019"/>
      <c r="AL170" s="1023"/>
      <c r="AM170" s="1023"/>
      <c r="AN170" s="1023"/>
      <c r="AO170" s="1023"/>
      <c r="AP170" s="1016"/>
      <c r="AQ170" s="547"/>
      <c r="AR170" s="568"/>
      <c r="AS170" s="386"/>
      <c r="AT170" s="1024">
        <f>3500+3500</f>
        <v>7000</v>
      </c>
      <c r="AU170" s="1025"/>
      <c r="AV170" s="1025"/>
      <c r="AW170" s="1025"/>
      <c r="AX170" s="1025"/>
      <c r="AY170" s="1025"/>
      <c r="AZ170" s="1025"/>
      <c r="BA170" s="780"/>
      <c r="BB170" s="1542"/>
      <c r="BC170" s="1542"/>
      <c r="BD170" s="780"/>
      <c r="BE170" s="780"/>
      <c r="BF170" s="841"/>
      <c r="BG170" s="514"/>
    </row>
    <row r="171" spans="3:59" ht="100" customHeight="1" thickBot="1" x14ac:dyDescent="1.05">
      <c r="D171" s="794"/>
      <c r="E171" s="514"/>
      <c r="F171" s="538"/>
      <c r="G171" s="539"/>
      <c r="H171" s="540"/>
      <c r="I171" s="390"/>
      <c r="J171" s="483"/>
      <c r="K171" s="539"/>
      <c r="L171" s="541"/>
      <c r="M171" s="390"/>
      <c r="N171" s="542"/>
      <c r="O171" s="543"/>
      <c r="P171" s="544"/>
      <c r="Q171" s="545"/>
      <c r="R171" s="390"/>
      <c r="S171" s="386"/>
      <c r="T171" s="546"/>
      <c r="U171" s="1014"/>
      <c r="V171" s="988"/>
      <c r="W171" s="989"/>
      <c r="X171" s="990"/>
      <c r="Y171" s="988"/>
      <c r="Z171" s="991"/>
      <c r="AA171" s="992"/>
      <c r="AB171" s="993"/>
      <c r="AC171" s="988"/>
      <c r="AD171" s="994"/>
      <c r="AE171" s="988"/>
      <c r="AF171" s="991"/>
      <c r="AG171" s="989"/>
      <c r="AH171" s="721"/>
      <c r="AI171" s="704"/>
      <c r="AJ171" s="1015"/>
      <c r="AK171" s="1015"/>
      <c r="AL171" s="1015"/>
      <c r="AM171" s="1015"/>
      <c r="AN171" s="1015"/>
      <c r="AO171" s="1015"/>
      <c r="AP171" s="1016"/>
      <c r="AQ171" s="547"/>
      <c r="AR171" s="568"/>
      <c r="AS171" s="386"/>
      <c r="AT171" s="386"/>
      <c r="AU171" s="386"/>
      <c r="AV171" s="386"/>
      <c r="AW171" s="386"/>
      <c r="AX171" s="386"/>
      <c r="AY171" s="386"/>
      <c r="AZ171" s="598"/>
      <c r="BA171" s="598"/>
      <c r="BB171" s="598"/>
      <c r="BC171" s="598"/>
      <c r="BD171" s="386"/>
      <c r="BE171" s="386"/>
      <c r="BF171" s="546"/>
      <c r="BG171" s="514"/>
    </row>
    <row r="172" spans="3:59" ht="100" customHeight="1" thickTop="1" thickBot="1" x14ac:dyDescent="1.05">
      <c r="D172" s="794"/>
      <c r="E172" s="514"/>
      <c r="F172" s="548"/>
      <c r="G172" s="549"/>
      <c r="H172" s="550"/>
      <c r="I172" s="551"/>
      <c r="J172" s="552"/>
      <c r="K172" s="553"/>
      <c r="L172" s="554"/>
      <c r="M172" s="553"/>
      <c r="N172" s="555"/>
      <c r="O172" s="386"/>
      <c r="P172" s="483"/>
      <c r="Q172" s="481"/>
      <c r="R172" s="390"/>
      <c r="S172" s="386"/>
      <c r="T172" s="558"/>
      <c r="U172" s="1014"/>
      <c r="V172" s="1000"/>
      <c r="W172" s="1001"/>
      <c r="X172" s="1002"/>
      <c r="Y172" s="1000"/>
      <c r="Z172" s="1003"/>
      <c r="AA172" s="1001"/>
      <c r="AB172" s="1002"/>
      <c r="AC172" s="1000"/>
      <c r="AD172" s="1004"/>
      <c r="AE172" s="1000"/>
      <c r="AF172" s="1003"/>
      <c r="AG172" s="1001"/>
      <c r="AH172" s="747"/>
      <c r="AI172" s="748"/>
      <c r="AJ172" s="1026"/>
      <c r="AK172" s="1026"/>
      <c r="AL172" s="1026"/>
      <c r="AM172" s="1027"/>
      <c r="AN172" s="1015"/>
      <c r="AO172" s="1015"/>
      <c r="AP172" s="1028"/>
      <c r="AQ172" s="577"/>
      <c r="AR172" s="553"/>
      <c r="AS172" s="553"/>
      <c r="AT172" s="553"/>
      <c r="AU172" s="553"/>
      <c r="AV172" s="553"/>
      <c r="AW172" s="553"/>
      <c r="AX172" s="553"/>
      <c r="AY172" s="553"/>
      <c r="AZ172" s="553"/>
      <c r="BA172" s="553"/>
      <c r="BB172" s="553"/>
      <c r="BC172" s="553"/>
      <c r="BD172" s="553"/>
      <c r="BE172" s="553"/>
      <c r="BF172" s="558"/>
      <c r="BG172" s="514"/>
    </row>
    <row r="173" spans="3:59" ht="10" customHeight="1" thickTop="1" thickBot="1" x14ac:dyDescent="1.05">
      <c r="D173" s="794"/>
      <c r="E173" s="514"/>
      <c r="F173" s="518"/>
      <c r="G173" s="519"/>
      <c r="H173" s="519"/>
      <c r="I173" s="519"/>
      <c r="J173" s="519"/>
      <c r="K173" s="519"/>
      <c r="L173" s="519"/>
      <c r="M173" s="519"/>
      <c r="N173" s="519"/>
      <c r="O173" s="576"/>
      <c r="P173" s="575"/>
      <c r="Q173" s="561"/>
      <c r="R173" s="576"/>
      <c r="S173" s="574"/>
      <c r="T173" s="520"/>
      <c r="U173" s="1029"/>
      <c r="V173" s="754"/>
      <c r="W173" s="754"/>
      <c r="X173" s="754"/>
      <c r="Y173" s="754"/>
      <c r="Z173" s="754"/>
      <c r="AA173" s="754"/>
      <c r="AB173" s="754"/>
      <c r="AC173" s="754"/>
      <c r="AD173" s="754"/>
      <c r="AE173" s="754"/>
      <c r="AF173" s="754"/>
      <c r="AG173" s="754"/>
      <c r="AH173" s="754"/>
      <c r="AI173" s="857"/>
      <c r="AJ173" s="1031"/>
      <c r="AK173" s="1032"/>
      <c r="AL173" s="1033"/>
      <c r="AM173" s="1032"/>
      <c r="AN173" s="1034"/>
      <c r="AO173" s="1034"/>
      <c r="AP173" s="1034"/>
      <c r="AQ173" s="623"/>
      <c r="AR173" s="1035"/>
      <c r="AS173" s="519"/>
      <c r="AT173" s="519"/>
      <c r="AU173" s="519"/>
      <c r="AV173" s="519"/>
      <c r="AW173" s="519"/>
      <c r="AX173" s="519"/>
      <c r="AY173" s="519"/>
      <c r="AZ173" s="519"/>
      <c r="BA173" s="519"/>
      <c r="BB173" s="519"/>
      <c r="BC173" s="519"/>
      <c r="BD173" s="519"/>
      <c r="BE173" s="519"/>
      <c r="BF173" s="520"/>
      <c r="BG173" s="512"/>
    </row>
    <row r="174" spans="3:59" s="358" customFormat="1" ht="43" customHeight="1" thickTop="1" x14ac:dyDescent="1">
      <c r="C174" s="356"/>
      <c r="D174" s="356"/>
      <c r="F174" s="356"/>
      <c r="G174" s="356"/>
      <c r="H174" s="356"/>
      <c r="I174" s="356"/>
      <c r="J174" s="356"/>
      <c r="K174" s="356"/>
      <c r="L174" s="356"/>
      <c r="M174" s="356"/>
      <c r="N174" s="356"/>
      <c r="O174" s="356"/>
      <c r="P174" s="356"/>
      <c r="Q174" s="356"/>
      <c r="R174" s="356"/>
      <c r="S174" s="356"/>
      <c r="T174" s="356"/>
      <c r="U174" s="356"/>
      <c r="V174" s="356"/>
      <c r="W174" s="356"/>
      <c r="X174" s="356"/>
      <c r="Y174" s="356"/>
      <c r="Z174" s="356"/>
      <c r="AA174" s="356"/>
      <c r="AB174" s="356"/>
      <c r="AC174" s="356"/>
      <c r="AD174" s="356"/>
      <c r="AE174" s="356"/>
      <c r="AF174" s="356"/>
      <c r="AG174" s="356"/>
      <c r="AH174" s="356"/>
      <c r="AI174" s="1404"/>
      <c r="AJ174" s="356"/>
      <c r="AK174" s="356"/>
      <c r="AL174" s="356"/>
      <c r="AM174" s="356"/>
      <c r="AN174" s="356"/>
      <c r="AO174" s="356"/>
      <c r="AP174" s="356"/>
      <c r="AQ174" s="356"/>
      <c r="AR174" s="356"/>
      <c r="AS174" s="356"/>
      <c r="AT174" s="356"/>
      <c r="AU174" s="356"/>
      <c r="AV174" s="356"/>
      <c r="AW174" s="356"/>
      <c r="AX174" s="356"/>
      <c r="AY174" s="356"/>
      <c r="AZ174" s="356"/>
      <c r="BA174" s="356"/>
      <c r="BB174" s="356"/>
      <c r="BC174" s="356"/>
      <c r="BD174" s="356"/>
      <c r="BE174" s="356"/>
      <c r="BF174" s="356"/>
      <c r="BG174" s="571"/>
    </row>
    <row r="175" spans="3:59" s="358" customFormat="1" ht="43" customHeight="1" x14ac:dyDescent="1">
      <c r="C175" s="356"/>
      <c r="D175" s="356"/>
      <c r="F175" s="356"/>
      <c r="G175" s="356"/>
      <c r="H175" s="356"/>
      <c r="I175" s="356"/>
      <c r="J175" s="356"/>
      <c r="K175" s="356"/>
      <c r="L175" s="356"/>
      <c r="M175" s="356"/>
      <c r="N175" s="356"/>
      <c r="O175" s="356"/>
      <c r="P175" s="356"/>
      <c r="Q175" s="356"/>
      <c r="R175" s="356"/>
      <c r="S175" s="356"/>
      <c r="T175" s="356"/>
      <c r="U175" s="356"/>
      <c r="V175" s="356"/>
      <c r="W175" s="356"/>
      <c r="X175" s="356"/>
      <c r="Y175" s="356"/>
      <c r="Z175" s="356"/>
      <c r="AA175" s="356"/>
      <c r="AB175" s="356"/>
      <c r="AC175" s="356"/>
      <c r="AD175" s="356"/>
      <c r="AE175" s="356"/>
      <c r="AF175" s="356"/>
      <c r="AG175" s="356"/>
      <c r="AH175" s="356"/>
      <c r="AI175" s="356"/>
      <c r="AJ175" s="356"/>
      <c r="AK175" s="356"/>
      <c r="AL175" s="356"/>
      <c r="AM175" s="356"/>
      <c r="AN175" s="356"/>
      <c r="AO175" s="356"/>
      <c r="AP175" s="356"/>
      <c r="AQ175" s="356"/>
      <c r="AR175" s="356"/>
      <c r="AS175" s="356"/>
      <c r="AT175" s="356"/>
      <c r="AU175" s="356"/>
      <c r="AV175" s="356"/>
      <c r="AW175" s="356"/>
      <c r="AX175" s="356"/>
      <c r="AY175" s="356"/>
      <c r="AZ175" s="356"/>
      <c r="BA175" s="356"/>
      <c r="BB175" s="356"/>
      <c r="BC175" s="356"/>
      <c r="BD175" s="356"/>
      <c r="BE175" s="356"/>
      <c r="BF175" s="356"/>
      <c r="BG175" s="356"/>
    </row>
    <row r="176" spans="3:59" s="1429" customFormat="1" ht="100" customHeight="1" x14ac:dyDescent="1.2">
      <c r="C176" s="1432"/>
      <c r="D176" s="1432"/>
      <c r="E176" s="1426" t="s">
        <v>195</v>
      </c>
      <c r="F176" s="1426" t="s">
        <v>254</v>
      </c>
      <c r="G176" s="1432"/>
      <c r="H176" s="1432"/>
      <c r="I176" s="1432"/>
      <c r="J176" s="1432"/>
      <c r="K176" s="1432"/>
      <c r="L176" s="1432"/>
      <c r="M176" s="1432"/>
      <c r="N176" s="1432"/>
      <c r="O176" s="1432"/>
      <c r="P176" s="1432"/>
      <c r="Q176" s="1432"/>
      <c r="R176" s="1432"/>
      <c r="S176" s="1432"/>
      <c r="T176" s="1432"/>
      <c r="U176" s="1432"/>
      <c r="V176" s="1432"/>
      <c r="W176" s="1432"/>
      <c r="X176" s="1432"/>
      <c r="Y176" s="1432"/>
      <c r="Z176" s="1432"/>
      <c r="AA176" s="1432"/>
      <c r="AB176" s="1432"/>
      <c r="AC176" s="1432"/>
      <c r="AD176" s="1432"/>
      <c r="AE176" s="1432"/>
      <c r="AF176" s="1432"/>
      <c r="AG176" s="1432"/>
      <c r="AH176" s="1432"/>
      <c r="AI176" s="1432"/>
      <c r="AJ176" s="1432"/>
      <c r="AK176" s="1432"/>
      <c r="AL176" s="1432"/>
      <c r="AM176" s="1432"/>
      <c r="AN176" s="1432"/>
      <c r="AO176" s="1432"/>
      <c r="AP176" s="1432"/>
      <c r="AQ176" s="1432"/>
      <c r="AR176" s="1432"/>
      <c r="AS176" s="1432"/>
      <c r="AT176" s="1432"/>
      <c r="AU176" s="1432"/>
      <c r="AV176" s="1432"/>
      <c r="AW176" s="1432"/>
      <c r="AX176" s="1432"/>
      <c r="AY176" s="1432"/>
      <c r="AZ176" s="1432"/>
      <c r="BA176" s="1432"/>
      <c r="BB176" s="1432"/>
      <c r="BC176" s="1432"/>
      <c r="BD176" s="1432"/>
      <c r="BE176" s="1432"/>
      <c r="BF176" s="1432"/>
      <c r="BG176" s="1432"/>
    </row>
    <row r="177" spans="5:60" ht="50" customHeight="1" thickBot="1" x14ac:dyDescent="1.05">
      <c r="AJ177" s="408"/>
      <c r="AK177" s="408"/>
      <c r="AL177" s="408"/>
      <c r="AM177" s="408"/>
      <c r="AN177" s="408"/>
      <c r="AO177" s="408"/>
      <c r="AP177" s="408"/>
    </row>
    <row r="178" spans="5:60" ht="10" customHeight="1" thickTop="1" thickBot="1" x14ac:dyDescent="1.05">
      <c r="E178" s="577"/>
      <c r="F178" s="512"/>
      <c r="G178" s="513"/>
      <c r="H178" s="513"/>
      <c r="I178" s="513"/>
      <c r="J178" s="513"/>
      <c r="K178" s="513"/>
      <c r="L178" s="513"/>
      <c r="M178" s="513"/>
      <c r="N178" s="513"/>
      <c r="O178" s="513"/>
      <c r="P178" s="513"/>
      <c r="Q178" s="513"/>
      <c r="R178" s="513"/>
      <c r="S178" s="513"/>
      <c r="T178" s="513"/>
      <c r="U178" s="513"/>
      <c r="V178" s="513"/>
      <c r="W178" s="513"/>
      <c r="X178" s="513"/>
      <c r="Y178" s="513"/>
      <c r="Z178" s="513"/>
      <c r="AA178" s="513"/>
      <c r="AB178" s="513"/>
      <c r="AC178" s="513"/>
      <c r="AD178" s="513"/>
      <c r="AE178" s="513"/>
      <c r="AF178" s="513"/>
      <c r="AG178" s="513"/>
      <c r="AH178" s="511"/>
      <c r="AI178" s="512"/>
      <c r="AJ178" s="1420"/>
      <c r="AK178" s="814"/>
      <c r="AL178" s="814"/>
      <c r="AM178" s="814"/>
      <c r="AN178" s="814"/>
      <c r="AO178" s="814"/>
      <c r="AP178" s="1421"/>
      <c r="AQ178" s="511"/>
      <c r="AR178" s="575"/>
      <c r="AS178" s="561"/>
      <c r="AT178" s="561"/>
      <c r="AU178" s="561"/>
      <c r="AV178" s="561"/>
      <c r="AW178" s="561"/>
      <c r="AX178" s="561"/>
      <c r="AY178" s="561"/>
      <c r="AZ178" s="561"/>
      <c r="BA178" s="561"/>
      <c r="BB178" s="561"/>
      <c r="BC178" s="561"/>
      <c r="BD178" s="561"/>
      <c r="BE178" s="561"/>
      <c r="BF178" s="576"/>
      <c r="BG178" s="513"/>
    </row>
    <row r="179" spans="5:60" ht="100" customHeight="1" thickTop="1" x14ac:dyDescent="1">
      <c r="E179" s="578"/>
      <c r="F179" s="568"/>
      <c r="G179" s="386"/>
      <c r="H179" s="386"/>
      <c r="I179" s="386"/>
      <c r="J179" s="386"/>
      <c r="K179" s="386"/>
      <c r="L179" s="386"/>
      <c r="M179" s="386"/>
      <c r="N179" s="392"/>
      <c r="O179" s="392"/>
      <c r="P179" s="386"/>
      <c r="Q179" s="386"/>
      <c r="R179" s="386"/>
      <c r="S179" s="386"/>
      <c r="T179" s="386"/>
      <c r="U179" s="386"/>
      <c r="V179" s="720"/>
      <c r="W179" s="720"/>
      <c r="X179" s="720"/>
      <c r="Y179" s="720"/>
      <c r="Z179" s="720"/>
      <c r="AA179" s="720"/>
      <c r="AB179" s="720"/>
      <c r="AC179" s="720"/>
      <c r="AD179" s="720"/>
      <c r="AE179" s="720"/>
      <c r="AF179" s="720"/>
      <c r="AG179" s="720"/>
      <c r="AH179" s="1036"/>
      <c r="AI179" s="578"/>
      <c r="AJ179" s="388"/>
      <c r="AK179" s="388"/>
      <c r="AL179" s="392"/>
      <c r="AM179" s="392"/>
      <c r="AN179" s="392"/>
      <c r="AO179" s="799"/>
      <c r="AP179" s="392"/>
      <c r="AQ179" s="578"/>
      <c r="AR179" s="1037"/>
      <c r="AS179" s="564"/>
      <c r="AT179" s="968"/>
      <c r="AU179" s="1038"/>
      <c r="AV179" s="528"/>
      <c r="AW179" s="564"/>
      <c r="AX179" s="564"/>
      <c r="AY179" s="564"/>
      <c r="AZ179" s="800"/>
      <c r="BA179" s="800"/>
      <c r="BB179" s="527"/>
      <c r="BC179" s="530"/>
      <c r="BD179" s="527"/>
      <c r="BE179" s="564"/>
      <c r="BF179" s="531"/>
      <c r="BG179" s="514"/>
    </row>
    <row r="180" spans="5:60" ht="100" customHeight="1" x14ac:dyDescent="1">
      <c r="E180" s="578"/>
      <c r="F180" s="568"/>
      <c r="G180" s="386"/>
      <c r="H180" s="386"/>
      <c r="I180" s="386"/>
      <c r="J180" s="386"/>
      <c r="K180" s="386"/>
      <c r="L180" s="386"/>
      <c r="M180" s="386"/>
      <c r="N180" s="392"/>
      <c r="O180" s="392"/>
      <c r="P180" s="386"/>
      <c r="Q180" s="386"/>
      <c r="R180" s="386"/>
      <c r="S180" s="386"/>
      <c r="T180" s="386"/>
      <c r="U180" s="386"/>
      <c r="V180" s="720"/>
      <c r="W180" s="720"/>
      <c r="X180" s="720"/>
      <c r="Y180" s="720"/>
      <c r="Z180" s="720"/>
      <c r="AA180" s="720"/>
      <c r="AB180" s="720"/>
      <c r="AC180" s="720"/>
      <c r="AD180" s="720"/>
      <c r="AE180" s="720"/>
      <c r="AF180" s="720"/>
      <c r="AG180" s="720"/>
      <c r="AH180" s="1036"/>
      <c r="AI180" s="578"/>
      <c r="AJ180" s="388"/>
      <c r="AK180" s="388"/>
      <c r="AL180" s="392"/>
      <c r="AM180" s="392"/>
      <c r="AN180" s="392"/>
      <c r="AO180" s="799"/>
      <c r="AP180" s="392"/>
      <c r="AQ180" s="578"/>
      <c r="AR180" s="1039" t="s">
        <v>152</v>
      </c>
      <c r="AS180" s="1545"/>
      <c r="AT180" s="1552" t="s">
        <v>152</v>
      </c>
      <c r="AU180" s="645"/>
      <c r="AV180" s="491" t="s">
        <v>152</v>
      </c>
      <c r="AW180" s="489"/>
      <c r="AX180" s="1545" t="s">
        <v>152</v>
      </c>
      <c r="AY180" s="1545"/>
      <c r="AZ180" s="392"/>
      <c r="BA180" s="392"/>
      <c r="BB180" s="1546" t="s">
        <v>152</v>
      </c>
      <c r="BC180" s="489"/>
      <c r="BD180" s="1546" t="s">
        <v>152</v>
      </c>
      <c r="BE180" s="489"/>
      <c r="BF180" s="1577" t="s">
        <v>152</v>
      </c>
      <c r="BG180" s="514"/>
    </row>
    <row r="181" spans="5:60" ht="100" customHeight="1" x14ac:dyDescent="1">
      <c r="E181" s="578"/>
      <c r="F181" s="1551"/>
      <c r="G181" s="1545"/>
      <c r="H181" s="1545"/>
      <c r="I181" s="1545"/>
      <c r="J181" s="1545"/>
      <c r="K181" s="1545"/>
      <c r="L181" s="1545"/>
      <c r="M181" s="1545"/>
      <c r="N181" s="1560"/>
      <c r="O181" s="1560"/>
      <c r="P181" s="1545"/>
      <c r="Q181" s="1545"/>
      <c r="R181" s="1545"/>
      <c r="S181" s="1545"/>
      <c r="T181" s="1545"/>
      <c r="U181" s="1545"/>
      <c r="V181" s="1567"/>
      <c r="W181" s="1567"/>
      <c r="X181" s="1567"/>
      <c r="Y181" s="1567"/>
      <c r="Z181" s="1567"/>
      <c r="AA181" s="1567"/>
      <c r="AB181" s="1567"/>
      <c r="AC181" s="1567"/>
      <c r="AD181" s="1567"/>
      <c r="AE181" s="1567"/>
      <c r="AF181" s="1567"/>
      <c r="AG181" s="1567"/>
      <c r="AH181" s="1040"/>
      <c r="AI181" s="1041"/>
      <c r="AJ181" s="1569"/>
      <c r="AK181" s="1569"/>
      <c r="AL181" s="1560"/>
      <c r="AM181" s="1560"/>
      <c r="AN181" s="1560"/>
      <c r="AO181" s="803"/>
      <c r="AP181" s="1560"/>
      <c r="AQ181" s="1041"/>
      <c r="AR181" s="1039" t="s">
        <v>153</v>
      </c>
      <c r="AS181" s="1545"/>
      <c r="AT181" s="489" t="s">
        <v>154</v>
      </c>
      <c r="AU181" s="1546"/>
      <c r="AV181" s="491" t="s">
        <v>154</v>
      </c>
      <c r="AW181" s="489"/>
      <c r="AX181" s="1545" t="s">
        <v>154</v>
      </c>
      <c r="AY181" s="1545"/>
      <c r="AZ181" s="1560"/>
      <c r="BA181" s="1560"/>
      <c r="BB181" s="1546" t="s">
        <v>154</v>
      </c>
      <c r="BC181" s="489"/>
      <c r="BD181" s="1546" t="s">
        <v>154</v>
      </c>
      <c r="BE181" s="489"/>
      <c r="BF181" s="1577" t="s">
        <v>154</v>
      </c>
      <c r="BG181" s="514"/>
    </row>
    <row r="182" spans="5:60" ht="100" customHeight="1" x14ac:dyDescent="1">
      <c r="E182" s="578"/>
      <c r="F182" s="1551"/>
      <c r="G182" s="1545"/>
      <c r="H182" s="1545"/>
      <c r="I182" s="1545"/>
      <c r="J182" s="1549"/>
      <c r="K182" s="1549"/>
      <c r="L182" s="1545"/>
      <c r="M182" s="1545"/>
      <c r="N182" s="728" t="s">
        <v>175</v>
      </c>
      <c r="O182" s="728"/>
      <c r="P182" s="1545"/>
      <c r="Q182" s="1545"/>
      <c r="R182" s="1545"/>
      <c r="S182" s="1545"/>
      <c r="T182" s="1545"/>
      <c r="U182" s="1545"/>
      <c r="V182" s="1567"/>
      <c r="W182" s="1567"/>
      <c r="X182" s="2071"/>
      <c r="Y182" s="2071"/>
      <c r="Z182" s="2071"/>
      <c r="AA182" s="2071"/>
      <c r="AB182" s="2071"/>
      <c r="AC182" s="2071"/>
      <c r="AD182" s="2071"/>
      <c r="AE182" s="2071"/>
      <c r="AF182" s="2071"/>
      <c r="AG182" s="1567"/>
      <c r="AH182" s="1040"/>
      <c r="AI182" s="1041"/>
      <c r="AJ182" s="2112" t="s">
        <v>124</v>
      </c>
      <c r="AK182" s="2056"/>
      <c r="AL182" s="2056"/>
      <c r="AM182" s="2056"/>
      <c r="AN182" s="2056"/>
      <c r="AO182" s="803"/>
      <c r="AP182" s="1560" t="s">
        <v>178</v>
      </c>
      <c r="AQ182" s="1041"/>
      <c r="AR182" s="1039" t="s">
        <v>121</v>
      </c>
      <c r="AS182" s="1545"/>
      <c r="AT182" s="489" t="s">
        <v>125</v>
      </c>
      <c r="AU182" s="1546"/>
      <c r="AV182" s="491" t="s">
        <v>121</v>
      </c>
      <c r="AW182" s="489"/>
      <c r="AX182" s="1545" t="s">
        <v>20</v>
      </c>
      <c r="AY182" s="1545"/>
      <c r="AZ182" s="728" t="s">
        <v>175</v>
      </c>
      <c r="BA182" s="728"/>
      <c r="BB182" s="1546" t="s">
        <v>20</v>
      </c>
      <c r="BC182" s="489"/>
      <c r="BD182" s="1546" t="s">
        <v>121</v>
      </c>
      <c r="BE182" s="489"/>
      <c r="BF182" s="1577" t="s">
        <v>121</v>
      </c>
      <c r="BG182" s="514"/>
    </row>
    <row r="183" spans="5:60" ht="100" customHeight="1" x14ac:dyDescent="1">
      <c r="E183" s="578"/>
      <c r="F183" s="568"/>
      <c r="G183" s="386"/>
      <c r="H183" s="386"/>
      <c r="I183" s="386"/>
      <c r="J183" s="386"/>
      <c r="K183" s="386"/>
      <c r="L183" s="386"/>
      <c r="M183" s="386"/>
      <c r="N183" s="728" t="s">
        <v>127</v>
      </c>
      <c r="O183" s="728"/>
      <c r="P183" s="386"/>
      <c r="Q183" s="386"/>
      <c r="R183" s="386"/>
      <c r="S183" s="386"/>
      <c r="T183" s="386"/>
      <c r="U183" s="386"/>
      <c r="V183" s="720"/>
      <c r="W183" s="720"/>
      <c r="X183" s="2113"/>
      <c r="Y183" s="2113"/>
      <c r="Z183" s="2113"/>
      <c r="AA183" s="2113"/>
      <c r="AB183" s="2113"/>
      <c r="AC183" s="2113"/>
      <c r="AD183" s="2113"/>
      <c r="AE183" s="2113"/>
      <c r="AF183" s="2113"/>
      <c r="AG183" s="1575"/>
      <c r="AH183" s="1036"/>
      <c r="AI183" s="578"/>
      <c r="AJ183" s="388"/>
      <c r="AK183" s="388"/>
      <c r="AL183" s="392"/>
      <c r="AM183" s="392"/>
      <c r="AN183" s="392"/>
      <c r="AO183" s="799"/>
      <c r="AP183" s="1560" t="s">
        <v>127</v>
      </c>
      <c r="AQ183" s="1041"/>
      <c r="AR183" s="1039">
        <v>300</v>
      </c>
      <c r="AS183" s="1545"/>
      <c r="AT183" s="489">
        <v>500</v>
      </c>
      <c r="AU183" s="1546"/>
      <c r="AV183" s="491">
        <v>300</v>
      </c>
      <c r="AW183" s="489"/>
      <c r="AX183" s="1545">
        <v>450</v>
      </c>
      <c r="AY183" s="1545"/>
      <c r="AZ183" s="728" t="s">
        <v>127</v>
      </c>
      <c r="BA183" s="728"/>
      <c r="BB183" s="1546">
        <v>450</v>
      </c>
      <c r="BC183" s="489"/>
      <c r="BD183" s="1546">
        <v>300</v>
      </c>
      <c r="BE183" s="489"/>
      <c r="BF183" s="1577">
        <v>300</v>
      </c>
      <c r="BG183" s="514"/>
    </row>
    <row r="184" spans="5:60" ht="100" customHeight="1" thickBot="1" x14ac:dyDescent="1.05">
      <c r="E184" s="578"/>
      <c r="F184" s="568"/>
      <c r="G184" s="386"/>
      <c r="H184" s="386"/>
      <c r="I184" s="386"/>
      <c r="J184" s="386"/>
      <c r="K184" s="386"/>
      <c r="L184" s="386"/>
      <c r="M184" s="386"/>
      <c r="N184" s="392"/>
      <c r="O184" s="392"/>
      <c r="P184" s="386"/>
      <c r="Q184" s="386"/>
      <c r="R184" s="386"/>
      <c r="S184" s="386"/>
      <c r="T184" s="386"/>
      <c r="U184" s="386"/>
      <c r="V184" s="720"/>
      <c r="W184" s="720"/>
      <c r="X184" s="720"/>
      <c r="Y184" s="720"/>
      <c r="Z184" s="720"/>
      <c r="AA184" s="720"/>
      <c r="AB184" s="720"/>
      <c r="AC184" s="720"/>
      <c r="AD184" s="720"/>
      <c r="AE184" s="720"/>
      <c r="AF184" s="720"/>
      <c r="AG184" s="720"/>
      <c r="AH184" s="1036"/>
      <c r="AI184" s="578"/>
      <c r="AJ184" s="388"/>
      <c r="AK184" s="388"/>
      <c r="AL184" s="388"/>
      <c r="AM184" s="388"/>
      <c r="AN184" s="388"/>
      <c r="AO184" s="388"/>
      <c r="AP184" s="391"/>
      <c r="AQ184" s="578"/>
      <c r="AR184" s="1043"/>
      <c r="AS184" s="386"/>
      <c r="AT184" s="481"/>
      <c r="AU184" s="390"/>
      <c r="AV184" s="483"/>
      <c r="AW184" s="386"/>
      <c r="AX184" s="386"/>
      <c r="AY184" s="386"/>
      <c r="AZ184" s="392"/>
      <c r="BA184" s="392"/>
      <c r="BB184" s="390"/>
      <c r="BC184" s="481"/>
      <c r="BD184" s="390"/>
      <c r="BE184" s="386"/>
      <c r="BF184" s="546"/>
      <c r="BG184" s="514"/>
    </row>
    <row r="185" spans="5:60" ht="100" customHeight="1" thickTop="1" thickBot="1" x14ac:dyDescent="1.05">
      <c r="E185" s="578"/>
      <c r="F185" s="568"/>
      <c r="G185" s="386"/>
      <c r="H185" s="386"/>
      <c r="I185" s="386"/>
      <c r="J185" s="386"/>
      <c r="K185" s="386"/>
      <c r="L185" s="386"/>
      <c r="M185" s="386"/>
      <c r="N185" s="392"/>
      <c r="O185" s="392"/>
      <c r="P185" s="386"/>
      <c r="Q185" s="386"/>
      <c r="R185" s="386"/>
      <c r="S185" s="386"/>
      <c r="T185" s="386"/>
      <c r="U185" s="386"/>
      <c r="V185" s="720"/>
      <c r="W185" s="720"/>
      <c r="X185" s="720"/>
      <c r="Y185" s="720"/>
      <c r="Z185" s="720"/>
      <c r="AA185" s="720"/>
      <c r="AB185" s="720"/>
      <c r="AC185" s="720"/>
      <c r="AD185" s="720"/>
      <c r="AE185" s="720"/>
      <c r="AF185" s="720"/>
      <c r="AG185" s="720"/>
      <c r="AH185" s="720"/>
      <c r="AI185" s="574"/>
      <c r="AJ185" s="388"/>
      <c r="AK185" s="388"/>
      <c r="AL185" s="388"/>
      <c r="AM185" s="388"/>
      <c r="AN185" s="388"/>
      <c r="AO185" s="388"/>
      <c r="AP185" s="391"/>
      <c r="AQ185" s="623"/>
      <c r="AR185" s="1044"/>
      <c r="AS185" s="570"/>
      <c r="AT185" s="1045"/>
      <c r="AU185" s="556"/>
      <c r="AV185" s="997"/>
      <c r="AW185" s="570"/>
      <c r="AX185" s="570"/>
      <c r="AY185" s="570"/>
      <c r="AZ185" s="811"/>
      <c r="BA185" s="811"/>
      <c r="BB185" s="556"/>
      <c r="BC185" s="1045"/>
      <c r="BD185" s="556"/>
      <c r="BE185" s="570"/>
      <c r="BF185" s="626"/>
      <c r="BG185" s="514"/>
    </row>
    <row r="186" spans="5:60" ht="10" customHeight="1" thickTop="1" thickBot="1" x14ac:dyDescent="1.05">
      <c r="E186" s="578"/>
      <c r="F186" s="386"/>
      <c r="G186" s="386"/>
      <c r="H186" s="386"/>
      <c r="I186" s="386"/>
      <c r="J186" s="386"/>
      <c r="K186" s="386"/>
      <c r="L186" s="386"/>
      <c r="M186" s="386"/>
      <c r="N186" s="392"/>
      <c r="O186" s="392"/>
      <c r="P186" s="386"/>
      <c r="Q186" s="386"/>
      <c r="R186" s="386"/>
      <c r="S186" s="386"/>
      <c r="T186" s="386"/>
      <c r="U186" s="386"/>
      <c r="V186" s="720"/>
      <c r="W186" s="720"/>
      <c r="X186" s="720"/>
      <c r="Y186" s="720"/>
      <c r="Z186" s="720"/>
      <c r="AA186" s="720"/>
      <c r="AB186" s="720"/>
      <c r="AC186" s="720"/>
      <c r="AD186" s="720"/>
      <c r="AE186" s="720"/>
      <c r="AF186" s="720"/>
      <c r="AG186" s="720"/>
      <c r="AH186" s="720"/>
      <c r="AI186" s="577"/>
      <c r="AJ186" s="1046"/>
      <c r="AK186" s="1046"/>
      <c r="AL186" s="1046"/>
      <c r="AM186" s="1046"/>
      <c r="AN186" s="1046"/>
      <c r="AO186" s="1046"/>
      <c r="AP186" s="1046"/>
      <c r="AQ186" s="575"/>
      <c r="AR186" s="519"/>
      <c r="AS186" s="519"/>
      <c r="AT186" s="519"/>
      <c r="AU186" s="519"/>
      <c r="AV186" s="519"/>
      <c r="AW186" s="519"/>
      <c r="AX186" s="519"/>
      <c r="AY186" s="519"/>
      <c r="AZ186" s="519"/>
      <c r="BA186" s="519"/>
      <c r="BB186" s="519"/>
      <c r="BC186" s="519"/>
      <c r="BD186" s="519"/>
      <c r="BE186" s="519"/>
      <c r="BF186" s="520"/>
      <c r="BG186" s="514"/>
    </row>
    <row r="187" spans="5:60" ht="100" customHeight="1" thickTop="1" x14ac:dyDescent="1">
      <c r="E187" s="578"/>
      <c r="F187" s="2068" t="s">
        <v>133</v>
      </c>
      <c r="G187" s="2054"/>
      <c r="H187" s="2054"/>
      <c r="I187" s="2054"/>
      <c r="J187" s="2054"/>
      <c r="K187" s="2054"/>
      <c r="L187" s="2054"/>
      <c r="M187" s="2054"/>
      <c r="N187" s="2054"/>
      <c r="O187" s="2054"/>
      <c r="P187" s="2054"/>
      <c r="Q187" s="2054"/>
      <c r="R187" s="2054"/>
      <c r="S187" s="2054"/>
      <c r="T187" s="2054"/>
      <c r="U187" s="2054"/>
      <c r="V187" s="2054"/>
      <c r="W187" s="2054"/>
      <c r="X187" s="2054"/>
      <c r="Y187" s="2054"/>
      <c r="Z187" s="2054"/>
      <c r="AA187" s="2054"/>
      <c r="AB187" s="2054"/>
      <c r="AC187" s="2054"/>
      <c r="AD187" s="2054"/>
      <c r="AE187" s="2054"/>
      <c r="AF187" s="2054"/>
      <c r="AG187" s="2054"/>
      <c r="AH187" s="2069"/>
      <c r="AI187" s="578"/>
      <c r="AJ187" s="2114" t="s">
        <v>186</v>
      </c>
      <c r="AK187" s="2085"/>
      <c r="AL187" s="2085"/>
      <c r="AM187" s="2085"/>
      <c r="AN187" s="2085"/>
      <c r="AO187" s="2085"/>
      <c r="AP187" s="2085"/>
      <c r="AQ187" s="2058" t="s">
        <v>78</v>
      </c>
      <c r="AR187" s="2058"/>
      <c r="AS187" s="2058"/>
      <c r="AT187" s="2058"/>
      <c r="AU187" s="2058"/>
      <c r="AV187" s="2058"/>
      <c r="AW187" s="2058"/>
      <c r="AX187" s="2058"/>
      <c r="AY187" s="2058"/>
      <c r="AZ187" s="2058"/>
      <c r="BA187" s="2058"/>
      <c r="BB187" s="2058"/>
      <c r="BC187" s="2058"/>
      <c r="BD187" s="2058"/>
      <c r="BE187" s="2058"/>
      <c r="BF187" s="2058"/>
      <c r="BG187" s="2116"/>
      <c r="BH187" s="1047"/>
    </row>
    <row r="188" spans="5:60" ht="100" customHeight="1" thickBot="1" x14ac:dyDescent="1.05">
      <c r="E188" s="578"/>
      <c r="F188" s="2068"/>
      <c r="G188" s="2054"/>
      <c r="H188" s="2054"/>
      <c r="I188" s="2054"/>
      <c r="J188" s="2054"/>
      <c r="K188" s="2054"/>
      <c r="L188" s="2054"/>
      <c r="M188" s="2054"/>
      <c r="N188" s="2054"/>
      <c r="O188" s="2054"/>
      <c r="P188" s="2054"/>
      <c r="Q188" s="2054"/>
      <c r="R188" s="2054"/>
      <c r="S188" s="2054"/>
      <c r="T188" s="2054"/>
      <c r="U188" s="2054"/>
      <c r="V188" s="2054"/>
      <c r="W188" s="2054"/>
      <c r="X188" s="2054"/>
      <c r="Y188" s="2054"/>
      <c r="Z188" s="2054"/>
      <c r="AA188" s="2054"/>
      <c r="AB188" s="2054"/>
      <c r="AC188" s="2054"/>
      <c r="AD188" s="2054"/>
      <c r="AE188" s="2054"/>
      <c r="AF188" s="2054"/>
      <c r="AG188" s="2054"/>
      <c r="AH188" s="2069"/>
      <c r="AI188" s="1048"/>
      <c r="AJ188" s="2115"/>
      <c r="AK188" s="2066"/>
      <c r="AL188" s="2066"/>
      <c r="AM188" s="2066"/>
      <c r="AN188" s="2066"/>
      <c r="AO188" s="2066"/>
      <c r="AP188" s="2066"/>
      <c r="AQ188" s="2061"/>
      <c r="AR188" s="2061"/>
      <c r="AS188" s="2061"/>
      <c r="AT188" s="2061"/>
      <c r="AU188" s="2061"/>
      <c r="AV188" s="2061"/>
      <c r="AW188" s="2061"/>
      <c r="AX188" s="2061"/>
      <c r="AY188" s="2061"/>
      <c r="AZ188" s="2061"/>
      <c r="BA188" s="2061"/>
      <c r="BB188" s="2061"/>
      <c r="BC188" s="2061"/>
      <c r="BD188" s="2061"/>
      <c r="BE188" s="2061"/>
      <c r="BF188" s="2061"/>
      <c r="BG188" s="2117"/>
      <c r="BH188" s="1047"/>
    </row>
    <row r="189" spans="5:60" ht="10" customHeight="1" thickTop="1" thickBot="1" x14ac:dyDescent="1.05">
      <c r="E189" s="578"/>
      <c r="F189" s="1558"/>
      <c r="G189" s="1558"/>
      <c r="H189" s="1558"/>
      <c r="I189" s="1558"/>
      <c r="J189" s="1558"/>
      <c r="K189" s="1558"/>
      <c r="L189" s="1558"/>
      <c r="M189" s="1558"/>
      <c r="N189" s="1558"/>
      <c r="O189" s="1558"/>
      <c r="P189" s="1558"/>
      <c r="Q189" s="1558"/>
      <c r="R189" s="1558"/>
      <c r="S189" s="1558"/>
      <c r="T189" s="1558"/>
      <c r="U189" s="1558"/>
      <c r="V189" s="1558"/>
      <c r="W189" s="1558"/>
      <c r="X189" s="1558"/>
      <c r="Y189" s="1558"/>
      <c r="Z189" s="1558"/>
      <c r="AA189" s="1558"/>
      <c r="AB189" s="1558"/>
      <c r="AC189" s="1558"/>
      <c r="AD189" s="1558"/>
      <c r="AE189" s="1558"/>
      <c r="AF189" s="1558"/>
      <c r="AG189" s="1558"/>
      <c r="AH189" s="1558"/>
      <c r="AI189" s="606"/>
      <c r="AJ189" s="1049"/>
      <c r="AK189" s="1049"/>
      <c r="AL189" s="1049"/>
      <c r="AM189" s="1049"/>
      <c r="AN189" s="1049"/>
      <c r="AO189" s="1049"/>
      <c r="AP189" s="1049"/>
      <c r="AQ189" s="823"/>
      <c r="AR189" s="834"/>
      <c r="AS189" s="834"/>
      <c r="AT189" s="834"/>
      <c r="AU189" s="834"/>
      <c r="AV189" s="834"/>
      <c r="AW189" s="834"/>
      <c r="AX189" s="834"/>
      <c r="AY189" s="834"/>
      <c r="AZ189" s="834"/>
      <c r="BA189" s="834"/>
      <c r="BB189" s="834"/>
      <c r="BC189" s="834"/>
      <c r="BD189" s="834"/>
      <c r="BE189" s="834"/>
      <c r="BF189" s="834"/>
      <c r="BG189" s="547"/>
    </row>
    <row r="190" spans="5:60" ht="100" customHeight="1" thickTop="1" thickBot="1" x14ac:dyDescent="1.05">
      <c r="E190" s="578"/>
      <c r="F190" s="386"/>
      <c r="G190" s="386"/>
      <c r="H190" s="386"/>
      <c r="I190" s="386"/>
      <c r="J190" s="386"/>
      <c r="K190" s="386"/>
      <c r="L190" s="386"/>
      <c r="M190" s="386"/>
      <c r="N190" s="386"/>
      <c r="O190" s="386"/>
      <c r="P190" s="386"/>
      <c r="Q190" s="386"/>
      <c r="R190" s="386"/>
      <c r="S190" s="386"/>
      <c r="T190" s="386"/>
      <c r="U190" s="386"/>
      <c r="V190" s="720"/>
      <c r="W190" s="720"/>
      <c r="X190" s="720"/>
      <c r="Y190" s="720"/>
      <c r="Z190" s="720"/>
      <c r="AA190" s="720"/>
      <c r="AB190" s="720"/>
      <c r="AC190" s="720"/>
      <c r="AD190" s="720"/>
      <c r="AE190" s="720"/>
      <c r="AF190" s="720"/>
      <c r="AG190" s="720"/>
      <c r="AH190" s="720"/>
      <c r="AI190" s="574"/>
      <c r="AJ190" s="1015"/>
      <c r="AK190" s="1015"/>
      <c r="AL190" s="1015"/>
      <c r="AM190" s="1015"/>
      <c r="AN190" s="1015"/>
      <c r="AO190" s="1015"/>
      <c r="AP190" s="1028"/>
      <c r="AQ190" s="577"/>
      <c r="AR190" s="538"/>
      <c r="AS190" s="481"/>
      <c r="AT190" s="541"/>
      <c r="AU190" s="390"/>
      <c r="AV190" s="483"/>
      <c r="AW190" s="481"/>
      <c r="AX190" s="390"/>
      <c r="AY190" s="481"/>
      <c r="AZ190" s="541"/>
      <c r="BA190" s="390"/>
      <c r="BB190" s="483"/>
      <c r="BC190" s="481"/>
      <c r="BD190" s="390"/>
      <c r="BE190" s="481"/>
      <c r="BF190" s="546"/>
      <c r="BG190" s="514"/>
    </row>
    <row r="191" spans="5:60" ht="100" customHeight="1" thickTop="1" x14ac:dyDescent="1">
      <c r="E191" s="578"/>
      <c r="F191" s="568"/>
      <c r="G191" s="386"/>
      <c r="H191" s="1050" t="s">
        <v>27</v>
      </c>
      <c r="I191" s="1050"/>
      <c r="J191" s="386"/>
      <c r="K191" s="386"/>
      <c r="L191" s="386"/>
      <c r="M191" s="386"/>
      <c r="N191" s="598"/>
      <c r="O191" s="598"/>
      <c r="P191" s="598"/>
      <c r="Q191" s="598"/>
      <c r="R191" s="598"/>
      <c r="S191" s="598"/>
      <c r="T191" s="386"/>
      <c r="U191" s="386"/>
      <c r="V191" s="720"/>
      <c r="W191" s="720"/>
      <c r="X191" s="720"/>
      <c r="Y191" s="720"/>
      <c r="Z191" s="720"/>
      <c r="AA191" s="720"/>
      <c r="AB191" s="720"/>
      <c r="AC191" s="720"/>
      <c r="AD191" s="720"/>
      <c r="AE191" s="720"/>
      <c r="AF191" s="1051"/>
      <c r="AG191" s="1051"/>
      <c r="AH191" s="1052"/>
      <c r="AI191" s="1048"/>
      <c r="AJ191" s="1015"/>
      <c r="AK191" s="1015"/>
      <c r="AL191" s="1015"/>
      <c r="AM191" s="1015"/>
      <c r="AN191" s="1015"/>
      <c r="AO191" s="1015"/>
      <c r="AP191" s="1028"/>
      <c r="AQ191" s="578"/>
      <c r="AR191" s="532" t="s">
        <v>152</v>
      </c>
      <c r="AS191" s="489"/>
      <c r="AT191" s="1554" t="s">
        <v>152</v>
      </c>
      <c r="AU191" s="1546"/>
      <c r="AV191" s="491" t="s">
        <v>152</v>
      </c>
      <c r="AW191" s="489"/>
      <c r="AX191" s="1546" t="s">
        <v>152</v>
      </c>
      <c r="AY191" s="489"/>
      <c r="AZ191" s="1545" t="s">
        <v>152</v>
      </c>
      <c r="BA191" s="930"/>
      <c r="BB191" s="491" t="s">
        <v>152</v>
      </c>
      <c r="BC191" s="489"/>
      <c r="BD191" s="1546" t="s">
        <v>152</v>
      </c>
      <c r="BE191" s="489"/>
      <c r="BF191" s="1577" t="s">
        <v>152</v>
      </c>
      <c r="BG191" s="514"/>
    </row>
    <row r="192" spans="5:60" ht="100" customHeight="1" thickBot="1" x14ac:dyDescent="1.05">
      <c r="E192" s="623"/>
      <c r="F192" s="1551"/>
      <c r="G192" s="1545"/>
      <c r="H192" s="727" t="s">
        <v>196</v>
      </c>
      <c r="I192" s="727"/>
      <c r="J192" s="386"/>
      <c r="K192" s="386"/>
      <c r="L192" s="386"/>
      <c r="M192" s="386"/>
      <c r="N192" s="598"/>
      <c r="O192" s="598"/>
      <c r="P192" s="598"/>
      <c r="Q192" s="598"/>
      <c r="R192" s="598"/>
      <c r="S192" s="598"/>
      <c r="T192" s="579"/>
      <c r="U192" s="579"/>
      <c r="V192" s="870"/>
      <c r="W192" s="870"/>
      <c r="X192" s="1567"/>
      <c r="Y192" s="1567"/>
      <c r="Z192" s="1567"/>
      <c r="AA192" s="1567"/>
      <c r="AB192" s="720"/>
      <c r="AC192" s="720"/>
      <c r="AD192" s="720"/>
      <c r="AE192" s="720"/>
      <c r="AF192" s="1051"/>
      <c r="AG192" s="1051"/>
      <c r="AH192" s="1052"/>
      <c r="AI192" s="1048"/>
      <c r="AJ192" s="1015"/>
      <c r="AK192" s="1015"/>
      <c r="AL192" s="1015"/>
      <c r="AM192" s="1015"/>
      <c r="AN192" s="1015"/>
      <c r="AO192" s="1015"/>
      <c r="AP192" s="1028"/>
      <c r="AQ192" s="578"/>
      <c r="AR192" s="532" t="s">
        <v>153</v>
      </c>
      <c r="AS192" s="489"/>
      <c r="AT192" s="1554" t="s">
        <v>154</v>
      </c>
      <c r="AU192" s="1546"/>
      <c r="AV192" s="491" t="s">
        <v>154</v>
      </c>
      <c r="AW192" s="489"/>
      <c r="AX192" s="1546" t="s">
        <v>154</v>
      </c>
      <c r="AY192" s="489"/>
      <c r="AZ192" s="1545" t="s">
        <v>154</v>
      </c>
      <c r="BA192" s="930"/>
      <c r="BB192" s="491" t="s">
        <v>154</v>
      </c>
      <c r="BC192" s="489"/>
      <c r="BD192" s="1546" t="s">
        <v>154</v>
      </c>
      <c r="BE192" s="489"/>
      <c r="BF192" s="1577" t="s">
        <v>154</v>
      </c>
      <c r="BG192" s="514"/>
    </row>
    <row r="193" spans="2:60" ht="100" customHeight="1" thickTop="1" x14ac:dyDescent="1">
      <c r="D193" s="794"/>
      <c r="E193" s="547"/>
      <c r="F193" s="1551"/>
      <c r="G193" s="1545"/>
      <c r="H193" s="727" t="s">
        <v>198</v>
      </c>
      <c r="I193" s="727"/>
      <c r="J193" s="1549"/>
      <c r="K193" s="1549"/>
      <c r="L193" s="1542"/>
      <c r="M193" s="1542"/>
      <c r="N193" s="1542"/>
      <c r="O193" s="1542"/>
      <c r="P193" s="1542"/>
      <c r="Q193" s="1542"/>
      <c r="R193" s="1542"/>
      <c r="S193" s="1542"/>
      <c r="T193" s="1542"/>
      <c r="U193" s="1542"/>
      <c r="V193" s="1053"/>
      <c r="W193" s="1053"/>
      <c r="X193" s="1567"/>
      <c r="Y193" s="1567"/>
      <c r="Z193" s="1567"/>
      <c r="AA193" s="1567"/>
      <c r="AB193" s="737"/>
      <c r="AC193" s="737"/>
      <c r="AD193" s="1053"/>
      <c r="AE193" s="1053"/>
      <c r="AF193" s="1053"/>
      <c r="AG193" s="1053"/>
      <c r="AH193" s="1054"/>
      <c r="AI193" s="1008"/>
      <c r="AJ193" s="1574"/>
      <c r="AK193" s="1574"/>
      <c r="AL193" s="2111" t="s">
        <v>149</v>
      </c>
      <c r="AM193" s="2111"/>
      <c r="AN193" s="2111"/>
      <c r="AO193" s="1574"/>
      <c r="AP193" s="1049"/>
      <c r="AQ193" s="1048"/>
      <c r="AR193" s="532" t="s">
        <v>121</v>
      </c>
      <c r="AS193" s="489"/>
      <c r="AT193" s="1554" t="s">
        <v>125</v>
      </c>
      <c r="AU193" s="1546"/>
      <c r="AV193" s="491" t="s">
        <v>121</v>
      </c>
      <c r="AW193" s="489"/>
      <c r="AX193" s="1546" t="s">
        <v>20</v>
      </c>
      <c r="AY193" s="489"/>
      <c r="AZ193" s="1554" t="s">
        <v>20</v>
      </c>
      <c r="BA193" s="1546"/>
      <c r="BB193" s="491" t="s">
        <v>121</v>
      </c>
      <c r="BC193" s="489"/>
      <c r="BD193" s="1546" t="s">
        <v>121</v>
      </c>
      <c r="BE193" s="489"/>
      <c r="BF193" s="1577" t="s">
        <v>121</v>
      </c>
      <c r="BG193" s="514"/>
    </row>
    <row r="194" spans="2:60" ht="100" customHeight="1" x14ac:dyDescent="1">
      <c r="D194" s="794"/>
      <c r="E194" s="547"/>
      <c r="F194" s="568"/>
      <c r="G194" s="386"/>
      <c r="H194" s="1055">
        <f>3500+3500+2100+2100</f>
        <v>11200</v>
      </c>
      <c r="I194" s="1055"/>
      <c r="J194" s="780"/>
      <c r="K194" s="780"/>
      <c r="L194" s="780"/>
      <c r="M194" s="780"/>
      <c r="N194" s="780"/>
      <c r="O194" s="780"/>
      <c r="P194" s="1542"/>
      <c r="Q194" s="1542"/>
      <c r="R194" s="1542"/>
      <c r="S194" s="1542"/>
      <c r="T194" s="780"/>
      <c r="U194" s="780"/>
      <c r="V194" s="1056"/>
      <c r="W194" s="1056"/>
      <c r="X194" s="720"/>
      <c r="Y194" s="720"/>
      <c r="Z194" s="720"/>
      <c r="AA194" s="720"/>
      <c r="AB194" s="1056"/>
      <c r="AC194" s="1056"/>
      <c r="AD194" s="1056"/>
      <c r="AE194" s="1056"/>
      <c r="AF194" s="1056"/>
      <c r="AG194" s="1056"/>
      <c r="AH194" s="1054"/>
      <c r="AI194" s="1008"/>
      <c r="AJ194" s="1023"/>
      <c r="AK194" s="1023"/>
      <c r="AL194" s="1023"/>
      <c r="AM194" s="1023"/>
      <c r="AN194" s="1023"/>
      <c r="AO194" s="1023"/>
      <c r="AP194" s="1028"/>
      <c r="AQ194" s="578"/>
      <c r="AR194" s="532">
        <v>300</v>
      </c>
      <c r="AS194" s="489"/>
      <c r="AT194" s="1554">
        <v>500</v>
      </c>
      <c r="AU194" s="1546"/>
      <c r="AV194" s="491">
        <v>300</v>
      </c>
      <c r="AW194" s="489"/>
      <c r="AX194" s="1546">
        <v>450</v>
      </c>
      <c r="AY194" s="489"/>
      <c r="AZ194" s="1572">
        <v>450</v>
      </c>
      <c r="BA194" s="1546"/>
      <c r="BB194" s="491">
        <v>300</v>
      </c>
      <c r="BC194" s="489"/>
      <c r="BD194" s="1546">
        <v>300</v>
      </c>
      <c r="BE194" s="489"/>
      <c r="BF194" s="1577">
        <v>300</v>
      </c>
      <c r="BG194" s="514"/>
    </row>
    <row r="195" spans="2:60" ht="100" customHeight="1" x14ac:dyDescent="1">
      <c r="D195" s="794"/>
      <c r="E195" s="547"/>
      <c r="F195" s="568"/>
      <c r="G195" s="386"/>
      <c r="H195" s="386"/>
      <c r="I195" s="386"/>
      <c r="J195" s="386"/>
      <c r="K195" s="386"/>
      <c r="L195" s="386"/>
      <c r="M195" s="386"/>
      <c r="N195" s="598"/>
      <c r="O195" s="598"/>
      <c r="P195" s="598"/>
      <c r="Q195" s="598"/>
      <c r="R195" s="1542"/>
      <c r="S195" s="1542"/>
      <c r="T195" s="386"/>
      <c r="U195" s="386"/>
      <c r="V195" s="720"/>
      <c r="W195" s="720"/>
      <c r="X195" s="720"/>
      <c r="Y195" s="720"/>
      <c r="Z195" s="720"/>
      <c r="AA195" s="720"/>
      <c r="AB195" s="720"/>
      <c r="AC195" s="720"/>
      <c r="AD195" s="720"/>
      <c r="AE195" s="720"/>
      <c r="AF195" s="1051"/>
      <c r="AG195" s="1051"/>
      <c r="AH195" s="1052"/>
      <c r="AI195" s="1048"/>
      <c r="AJ195" s="1015"/>
      <c r="AK195" s="1015"/>
      <c r="AL195" s="1015"/>
      <c r="AM195" s="1015"/>
      <c r="AN195" s="1015"/>
      <c r="AO195" s="1015"/>
      <c r="AP195" s="1028"/>
      <c r="AQ195" s="578"/>
      <c r="AR195" s="538"/>
      <c r="AS195" s="481"/>
      <c r="AT195" s="541"/>
      <c r="AU195" s="390"/>
      <c r="AV195" s="483"/>
      <c r="AW195" s="481"/>
      <c r="AX195" s="390"/>
      <c r="AY195" s="481"/>
      <c r="AZ195" s="1058"/>
      <c r="BA195" s="543"/>
      <c r="BB195" s="544"/>
      <c r="BC195" s="545"/>
      <c r="BD195" s="390"/>
      <c r="BE195" s="481"/>
      <c r="BF195" s="546"/>
      <c r="BG195" s="514"/>
    </row>
    <row r="196" spans="2:60" ht="100" customHeight="1" thickBot="1" x14ac:dyDescent="1.05">
      <c r="D196" s="794"/>
      <c r="E196" s="547"/>
      <c r="F196" s="569"/>
      <c r="G196" s="570"/>
      <c r="H196" s="570"/>
      <c r="I196" s="570"/>
      <c r="J196" s="570"/>
      <c r="K196" s="570"/>
      <c r="L196" s="570"/>
      <c r="M196" s="570"/>
      <c r="N196" s="570"/>
      <c r="O196" s="570"/>
      <c r="P196" s="570"/>
      <c r="Q196" s="570"/>
      <c r="R196" s="570"/>
      <c r="S196" s="570"/>
      <c r="T196" s="570"/>
      <c r="U196" s="570"/>
      <c r="V196" s="1059"/>
      <c r="W196" s="1059"/>
      <c r="X196" s="1059"/>
      <c r="Y196" s="1059"/>
      <c r="Z196" s="1059"/>
      <c r="AA196" s="1059"/>
      <c r="AB196" s="1059"/>
      <c r="AC196" s="1059"/>
      <c r="AD196" s="1059"/>
      <c r="AE196" s="1059"/>
      <c r="AF196" s="1059"/>
      <c r="AG196" s="1059"/>
      <c r="AH196" s="1060"/>
      <c r="AI196" s="623"/>
      <c r="AJ196" s="1026"/>
      <c r="AK196" s="1026"/>
      <c r="AL196" s="1026"/>
      <c r="AM196" s="1027"/>
      <c r="AN196" s="1028"/>
      <c r="AO196" s="1015"/>
      <c r="AP196" s="1028"/>
      <c r="AQ196" s="578"/>
      <c r="AR196" s="538"/>
      <c r="AS196" s="1045"/>
      <c r="AT196" s="1061"/>
      <c r="AU196" s="390"/>
      <c r="AV196" s="483"/>
      <c r="AW196" s="386"/>
      <c r="AX196" s="957"/>
      <c r="AY196" s="386"/>
      <c r="AZ196" s="386"/>
      <c r="BA196" s="386"/>
      <c r="BB196" s="483"/>
      <c r="BC196" s="1045"/>
      <c r="BD196" s="390"/>
      <c r="BE196" s="386"/>
      <c r="BF196" s="546"/>
      <c r="BG196" s="514"/>
    </row>
    <row r="197" spans="2:60" ht="10" customHeight="1" thickTop="1" thickBot="1" x14ac:dyDescent="1.05">
      <c r="D197" s="408"/>
      <c r="E197" s="574"/>
      <c r="F197" s="575"/>
      <c r="G197" s="519"/>
      <c r="H197" s="519"/>
      <c r="I197" s="519"/>
      <c r="J197" s="519"/>
      <c r="K197" s="519"/>
      <c r="L197" s="519"/>
      <c r="M197" s="519"/>
      <c r="N197" s="519"/>
      <c r="O197" s="519"/>
      <c r="P197" s="519"/>
      <c r="Q197" s="519"/>
      <c r="R197" s="519"/>
      <c r="S197" s="519"/>
      <c r="T197" s="519"/>
      <c r="U197" s="519"/>
      <c r="V197" s="519"/>
      <c r="W197" s="519"/>
      <c r="X197" s="519"/>
      <c r="Y197" s="519"/>
      <c r="Z197" s="519"/>
      <c r="AA197" s="519"/>
      <c r="AB197" s="519"/>
      <c r="AC197" s="519"/>
      <c r="AD197" s="519"/>
      <c r="AE197" s="519"/>
      <c r="AF197" s="519"/>
      <c r="AG197" s="519"/>
      <c r="AH197" s="519"/>
      <c r="AI197" s="576"/>
      <c r="AJ197" s="1062"/>
      <c r="AK197" s="1032"/>
      <c r="AL197" s="1063"/>
      <c r="AM197" s="1064"/>
      <c r="AN197" s="1065"/>
      <c r="AO197" s="1066"/>
      <c r="AP197" s="1066"/>
      <c r="AQ197" s="574"/>
      <c r="AR197" s="575"/>
      <c r="AS197" s="561"/>
      <c r="AT197" s="561"/>
      <c r="AU197" s="561"/>
      <c r="AV197" s="561"/>
      <c r="AW197" s="561"/>
      <c r="AX197" s="561"/>
      <c r="AY197" s="561"/>
      <c r="AZ197" s="561"/>
      <c r="BA197" s="561"/>
      <c r="BB197" s="561"/>
      <c r="BC197" s="561"/>
      <c r="BD197" s="575"/>
      <c r="BE197" s="561"/>
      <c r="BF197" s="576"/>
      <c r="BG197" s="514"/>
    </row>
    <row r="198" spans="2:60" ht="270" customHeight="1" thickTop="1" x14ac:dyDescent="1">
      <c r="BF198" s="408"/>
      <c r="BG198" s="521"/>
    </row>
    <row r="199" spans="2:60" s="1454" customFormat="1" ht="190" customHeight="1" x14ac:dyDescent="1.2">
      <c r="C199" s="1453"/>
      <c r="E199" s="1434" t="s">
        <v>173</v>
      </c>
      <c r="F199" s="1455"/>
      <c r="G199" s="1455"/>
      <c r="H199" s="1455"/>
      <c r="I199" s="1455"/>
      <c r="J199" s="1455"/>
      <c r="K199" s="1455"/>
      <c r="L199" s="1455"/>
      <c r="M199" s="1455"/>
      <c r="N199" s="1455"/>
      <c r="O199" s="1455"/>
      <c r="P199" s="1455"/>
      <c r="Q199" s="1455"/>
      <c r="R199" s="1455"/>
      <c r="S199" s="1455"/>
      <c r="T199" s="1455"/>
      <c r="U199" s="1455"/>
      <c r="V199" s="1455"/>
      <c r="W199" s="1455"/>
      <c r="X199" s="1455"/>
      <c r="Y199" s="1455"/>
      <c r="Z199" s="1455"/>
      <c r="AA199" s="1455"/>
      <c r="AB199" s="1455"/>
      <c r="AC199" s="1455"/>
      <c r="AD199" s="1455"/>
      <c r="AE199" s="1455"/>
      <c r="AF199" s="1455"/>
      <c r="AG199" s="1455"/>
      <c r="AH199" s="1455"/>
      <c r="AI199" s="1455"/>
      <c r="AJ199" s="1455"/>
      <c r="AK199" s="1455"/>
      <c r="AL199" s="1455"/>
      <c r="AM199" s="1455"/>
      <c r="AN199" s="1455"/>
      <c r="AO199" s="1455"/>
      <c r="AP199" s="1455"/>
      <c r="AQ199" s="1455"/>
      <c r="AR199" s="1455"/>
      <c r="AS199" s="1455"/>
      <c r="AT199" s="1455"/>
      <c r="AU199" s="1455"/>
      <c r="AV199" s="1455"/>
      <c r="AW199" s="1455"/>
      <c r="AX199" s="1455"/>
      <c r="AY199" s="1455"/>
      <c r="AZ199" s="1455"/>
      <c r="BA199" s="1455"/>
      <c r="BB199" s="1455"/>
      <c r="BC199" s="1455"/>
      <c r="BD199" s="1455"/>
      <c r="BE199" s="1455"/>
      <c r="BF199" s="1435"/>
      <c r="BG199" s="1435"/>
      <c r="BH199" s="1435"/>
    </row>
    <row r="200" spans="2:60" s="1426" customFormat="1" ht="100" customHeight="1" x14ac:dyDescent="1.2">
      <c r="C200" s="1431"/>
      <c r="AR200" s="1429"/>
      <c r="AS200" s="1429"/>
      <c r="AT200" s="1429"/>
      <c r="AU200" s="1429"/>
      <c r="AV200" s="1429"/>
      <c r="AW200" s="1429"/>
      <c r="AX200" s="1429"/>
      <c r="AY200" s="1429"/>
      <c r="AZ200" s="1429"/>
      <c r="BA200" s="1429"/>
      <c r="BB200" s="1429"/>
      <c r="BC200" s="1429"/>
      <c r="BD200" s="1429"/>
      <c r="BE200" s="1429"/>
      <c r="BF200" s="1429"/>
    </row>
    <row r="201" spans="2:60" s="1426" customFormat="1" ht="100" customHeight="1" x14ac:dyDescent="1.2">
      <c r="C201" s="1431"/>
      <c r="E201" s="1436" t="s">
        <v>174</v>
      </c>
    </row>
    <row r="202" spans="2:60" s="1426" customFormat="1" ht="100" customHeight="1" x14ac:dyDescent="1.2">
      <c r="C202" s="1431"/>
      <c r="E202" s="1429" t="s">
        <v>214</v>
      </c>
      <c r="F202" s="1429"/>
      <c r="G202" s="1429"/>
      <c r="AL202" s="1429" t="s">
        <v>215</v>
      </c>
    </row>
    <row r="203" spans="2:60" s="1426" customFormat="1" ht="100" customHeight="1" x14ac:dyDescent="1.2">
      <c r="C203" s="1431"/>
      <c r="E203" s="1426" t="s">
        <v>141</v>
      </c>
      <c r="AL203" s="1426" t="s">
        <v>141</v>
      </c>
    </row>
    <row r="204" spans="2:60" ht="100" customHeight="1" thickBot="1" x14ac:dyDescent="1.05">
      <c r="B204" s="356"/>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c r="AA204" s="356"/>
      <c r="AB204" s="356"/>
      <c r="AK204" s="356"/>
      <c r="AL204" s="356"/>
      <c r="AM204" s="356"/>
      <c r="AN204" s="356"/>
      <c r="AO204" s="356"/>
      <c r="AP204" s="356"/>
      <c r="AQ204" s="356"/>
      <c r="AR204" s="356"/>
      <c r="AS204" s="356"/>
      <c r="AT204" s="356"/>
      <c r="AU204" s="356"/>
      <c r="AV204" s="356"/>
      <c r="AW204" s="356"/>
      <c r="AX204" s="356"/>
      <c r="AY204" s="356"/>
      <c r="AZ204" s="356"/>
      <c r="BA204" s="356"/>
      <c r="BB204" s="408"/>
      <c r="BC204" s="408"/>
      <c r="BD204" s="408"/>
      <c r="BE204" s="408"/>
      <c r="BF204" s="408"/>
    </row>
    <row r="205" spans="2:60" ht="10" customHeight="1" thickTop="1" thickBot="1" x14ac:dyDescent="1.05">
      <c r="B205" s="356"/>
      <c r="C205" s="356"/>
      <c r="D205" s="356"/>
      <c r="E205" s="574"/>
      <c r="F205" s="561"/>
      <c r="G205" s="561"/>
      <c r="H205" s="561"/>
      <c r="I205" s="561"/>
      <c r="J205" s="561"/>
      <c r="K205" s="561"/>
      <c r="L205" s="561"/>
      <c r="M205" s="561"/>
      <c r="N205" s="561"/>
      <c r="O205" s="561"/>
      <c r="P205" s="561"/>
      <c r="Q205" s="576"/>
      <c r="R205" s="561"/>
      <c r="S205" s="561"/>
      <c r="T205" s="561"/>
      <c r="U205" s="574"/>
      <c r="V205" s="356"/>
      <c r="W205" s="356"/>
      <c r="X205" s="356"/>
      <c r="Y205" s="356"/>
      <c r="Z205" s="356"/>
      <c r="AA205" s="356"/>
      <c r="AB205" s="356"/>
      <c r="AJ205" s="356"/>
      <c r="AK205" s="574"/>
      <c r="AL205" s="561"/>
      <c r="AM205" s="561"/>
      <c r="AN205" s="561"/>
      <c r="AO205" s="576"/>
      <c r="AP205" s="561"/>
      <c r="AQ205" s="561"/>
      <c r="AR205" s="561"/>
      <c r="AS205" s="561"/>
      <c r="AT205" s="575"/>
      <c r="AU205" s="561"/>
      <c r="AV205" s="561"/>
      <c r="AW205" s="561"/>
      <c r="AX205" s="574"/>
      <c r="AY205" s="575"/>
      <c r="AZ205" s="561"/>
      <c r="BA205" s="576"/>
      <c r="BB205" s="356"/>
      <c r="BC205" s="356"/>
      <c r="BD205" s="356"/>
      <c r="BE205" s="356"/>
      <c r="BF205" s="356"/>
      <c r="BG205" s="356"/>
      <c r="BH205" s="356"/>
    </row>
    <row r="206" spans="2:60" ht="100" customHeight="1" thickTop="1" thickBot="1" x14ac:dyDescent="1.05">
      <c r="B206" s="356"/>
      <c r="C206" s="356"/>
      <c r="D206" s="356"/>
      <c r="E206" s="577"/>
      <c r="F206" s="563"/>
      <c r="G206" s="564"/>
      <c r="H206" s="527"/>
      <c r="I206" s="564"/>
      <c r="J206" s="564"/>
      <c r="K206" s="564"/>
      <c r="L206" s="564"/>
      <c r="M206" s="527"/>
      <c r="N206" s="564"/>
      <c r="O206" s="527"/>
      <c r="P206" s="2125" t="s">
        <v>208</v>
      </c>
      <c r="Q206" s="564"/>
      <c r="R206" s="564"/>
      <c r="S206" s="564"/>
      <c r="T206" s="531"/>
      <c r="U206" s="577"/>
      <c r="V206" s="1067"/>
      <c r="W206" s="356"/>
      <c r="X206" s="356"/>
      <c r="Y206" s="356"/>
      <c r="Z206" s="356"/>
      <c r="AA206" s="356"/>
      <c r="AB206" s="356"/>
      <c r="AJ206" s="356"/>
      <c r="AK206" s="577"/>
      <c r="AL206" s="1068"/>
      <c r="AM206" s="564"/>
      <c r="AN206" s="968"/>
      <c r="AO206" s="1038"/>
      <c r="AP206" s="528"/>
      <c r="AQ206" s="564"/>
      <c r="AR206" s="1069"/>
      <c r="AS206" s="609"/>
      <c r="AT206" s="1070"/>
      <c r="AU206" s="527"/>
      <c r="AV206" s="2128" t="s">
        <v>208</v>
      </c>
      <c r="AW206" s="564"/>
      <c r="AX206" s="1944" t="s">
        <v>26</v>
      </c>
      <c r="AY206" s="1944"/>
      <c r="AZ206" s="2131"/>
      <c r="BA206" s="511"/>
      <c r="BB206" s="1067"/>
      <c r="BC206" s="1071"/>
      <c r="BD206" s="1072"/>
      <c r="BE206" s="1072"/>
      <c r="BF206" s="1073"/>
      <c r="BG206" s="356"/>
      <c r="BH206" s="356"/>
    </row>
    <row r="207" spans="2:60" ht="100" customHeight="1" thickTop="1" x14ac:dyDescent="1">
      <c r="B207" s="356"/>
      <c r="C207" s="356"/>
      <c r="D207" s="356"/>
      <c r="E207" s="578"/>
      <c r="F207" s="1875" t="s">
        <v>132</v>
      </c>
      <c r="G207" s="1867"/>
      <c r="H207" s="1869"/>
      <c r="I207" s="1545"/>
      <c r="J207" s="1956" t="s">
        <v>132</v>
      </c>
      <c r="K207" s="1890"/>
      <c r="L207" s="2042"/>
      <c r="M207" s="1545"/>
      <c r="N207" s="1552" t="s">
        <v>132</v>
      </c>
      <c r="O207" s="566"/>
      <c r="P207" s="2126"/>
      <c r="Q207" s="579"/>
      <c r="R207" s="584" t="s">
        <v>199</v>
      </c>
      <c r="S207" s="584"/>
      <c r="T207" s="585"/>
      <c r="U207" s="1074"/>
      <c r="V207" s="1067"/>
      <c r="W207" s="573"/>
      <c r="X207" s="1075"/>
      <c r="Y207" s="1076"/>
      <c r="Z207" s="1076"/>
      <c r="AA207" s="573"/>
      <c r="AB207" s="356"/>
      <c r="AJ207" s="356"/>
      <c r="AK207" s="578"/>
      <c r="AL207" s="1553" t="s">
        <v>152</v>
      </c>
      <c r="AM207" s="1545"/>
      <c r="AN207" s="1552" t="s">
        <v>152</v>
      </c>
      <c r="AO207" s="645"/>
      <c r="AP207" s="491" t="s">
        <v>152</v>
      </c>
      <c r="AQ207" s="489"/>
      <c r="AR207" s="1546" t="s">
        <v>152</v>
      </c>
      <c r="AS207" s="489"/>
      <c r="AT207" s="1545" t="s">
        <v>152</v>
      </c>
      <c r="AU207" s="566"/>
      <c r="AV207" s="2129"/>
      <c r="AW207" s="579"/>
      <c r="AX207" s="1867" t="s">
        <v>121</v>
      </c>
      <c r="AY207" s="1867"/>
      <c r="AZ207" s="1920"/>
      <c r="BA207" s="565"/>
      <c r="BB207" s="1067"/>
      <c r="BC207" s="1071"/>
      <c r="BD207" s="1072"/>
      <c r="BE207" s="1072"/>
      <c r="BF207" s="1073"/>
      <c r="BG207" s="356"/>
      <c r="BH207" s="356"/>
    </row>
    <row r="208" spans="2:60" ht="100" customHeight="1" x14ac:dyDescent="1">
      <c r="B208" s="356"/>
      <c r="C208" s="356"/>
      <c r="D208" s="356"/>
      <c r="E208" s="578"/>
      <c r="F208" s="1875" t="s">
        <v>153</v>
      </c>
      <c r="G208" s="1867"/>
      <c r="H208" s="1869"/>
      <c r="I208" s="1545"/>
      <c r="J208" s="1886" t="s">
        <v>153</v>
      </c>
      <c r="K208" s="1867"/>
      <c r="L208" s="1868"/>
      <c r="M208" s="645"/>
      <c r="N208" s="1545" t="s">
        <v>153</v>
      </c>
      <c r="O208" s="566"/>
      <c r="P208" s="2126"/>
      <c r="Q208" s="579"/>
      <c r="R208" s="584" t="s">
        <v>121</v>
      </c>
      <c r="S208" s="584"/>
      <c r="T208" s="585"/>
      <c r="U208" s="1074"/>
      <c r="V208" s="1067"/>
      <c r="W208" s="573"/>
      <c r="X208" s="1076"/>
      <c r="Y208" s="1076"/>
      <c r="Z208" s="1076"/>
      <c r="AA208" s="573"/>
      <c r="AB208" s="356"/>
      <c r="AJ208" s="356"/>
      <c r="AK208" s="578"/>
      <c r="AL208" s="1553" t="s">
        <v>153</v>
      </c>
      <c r="AM208" s="1545"/>
      <c r="AN208" s="489" t="s">
        <v>154</v>
      </c>
      <c r="AO208" s="1546"/>
      <c r="AP208" s="491" t="s">
        <v>154</v>
      </c>
      <c r="AQ208" s="489"/>
      <c r="AR208" s="1546" t="s">
        <v>154</v>
      </c>
      <c r="AS208" s="489"/>
      <c r="AT208" s="1545" t="s">
        <v>154</v>
      </c>
      <c r="AU208" s="566"/>
      <c r="AV208" s="2129"/>
      <c r="AW208" s="579"/>
      <c r="AX208" s="1940">
        <v>300</v>
      </c>
      <c r="AY208" s="1940"/>
      <c r="AZ208" s="2132"/>
      <c r="BA208" s="565"/>
      <c r="BB208" s="1067"/>
      <c r="BC208" s="1071"/>
      <c r="BD208" s="1072"/>
      <c r="BE208" s="1072"/>
      <c r="BF208" s="1073"/>
      <c r="BG208" s="356"/>
      <c r="BH208" s="356"/>
    </row>
    <row r="209" spans="2:60" ht="100" customHeight="1" x14ac:dyDescent="1">
      <c r="B209" s="356"/>
      <c r="C209" s="356"/>
      <c r="D209" s="356"/>
      <c r="E209" s="578"/>
      <c r="F209" s="1875" t="s">
        <v>20</v>
      </c>
      <c r="G209" s="1867"/>
      <c r="H209" s="1869"/>
      <c r="I209" s="1545"/>
      <c r="J209" s="1886" t="s">
        <v>125</v>
      </c>
      <c r="K209" s="1867"/>
      <c r="L209" s="1868"/>
      <c r="M209" s="645"/>
      <c r="N209" s="1545" t="s">
        <v>121</v>
      </c>
      <c r="O209" s="1546"/>
      <c r="P209" s="2126"/>
      <c r="Q209" s="579"/>
      <c r="R209" s="584">
        <v>800</v>
      </c>
      <c r="S209" s="584"/>
      <c r="T209" s="585"/>
      <c r="U209" s="1041"/>
      <c r="V209" s="1067"/>
      <c r="W209" s="573"/>
      <c r="X209" s="1076"/>
      <c r="Y209" s="1076"/>
      <c r="Z209" s="1076"/>
      <c r="AA209" s="1370"/>
      <c r="AB209" s="356"/>
      <c r="AJ209" s="356"/>
      <c r="AK209" s="578"/>
      <c r="AL209" s="1553" t="s">
        <v>121</v>
      </c>
      <c r="AM209" s="1545"/>
      <c r="AN209" s="489" t="s">
        <v>125</v>
      </c>
      <c r="AO209" s="1546"/>
      <c r="AP209" s="491" t="s">
        <v>121</v>
      </c>
      <c r="AQ209" s="489"/>
      <c r="AR209" s="1546" t="s">
        <v>20</v>
      </c>
      <c r="AS209" s="489"/>
      <c r="AT209" s="1554" t="s">
        <v>20</v>
      </c>
      <c r="AU209" s="1546"/>
      <c r="AV209" s="2129"/>
      <c r="AW209" s="616"/>
      <c r="AX209" s="1898" t="s">
        <v>26</v>
      </c>
      <c r="AY209" s="1898"/>
      <c r="AZ209" s="2133"/>
      <c r="BA209" s="588"/>
      <c r="BB209" s="1067"/>
      <c r="BC209" s="1071"/>
      <c r="BD209" s="1072"/>
      <c r="BE209" s="1072"/>
      <c r="BF209" s="1073"/>
      <c r="BG209" s="356"/>
      <c r="BH209" s="356"/>
    </row>
    <row r="210" spans="2:60" ht="100" customHeight="1" thickBot="1" x14ac:dyDescent="1.05">
      <c r="B210" s="356"/>
      <c r="C210" s="356"/>
      <c r="D210" s="356"/>
      <c r="E210" s="578"/>
      <c r="F210" s="1871">
        <v>1100</v>
      </c>
      <c r="G210" s="1972"/>
      <c r="H210" s="2022"/>
      <c r="I210" s="1545"/>
      <c r="J210" s="1886">
        <v>800</v>
      </c>
      <c r="K210" s="1867"/>
      <c r="L210" s="1868"/>
      <c r="M210" s="1545"/>
      <c r="N210" s="1552">
        <v>800</v>
      </c>
      <c r="O210" s="1546"/>
      <c r="P210" s="2126"/>
      <c r="Q210" s="1078"/>
      <c r="R210" s="614"/>
      <c r="S210" s="590"/>
      <c r="T210" s="591"/>
      <c r="U210" s="1041"/>
      <c r="V210" s="1067"/>
      <c r="W210" s="573"/>
      <c r="X210" s="573"/>
      <c r="Y210" s="1072"/>
      <c r="Z210" s="1072"/>
      <c r="AA210" s="1370"/>
      <c r="AB210" s="356"/>
      <c r="AC210" s="408"/>
      <c r="AD210" s="358"/>
      <c r="AE210" s="358"/>
      <c r="AJ210" s="356"/>
      <c r="AK210" s="578"/>
      <c r="AL210" s="1553">
        <v>300</v>
      </c>
      <c r="AM210" s="1545"/>
      <c r="AN210" s="489">
        <v>500</v>
      </c>
      <c r="AO210" s="1546"/>
      <c r="AP210" s="491">
        <v>300</v>
      </c>
      <c r="AQ210" s="489"/>
      <c r="AR210" s="1546">
        <v>450</v>
      </c>
      <c r="AS210" s="489"/>
      <c r="AT210" s="1572">
        <v>450</v>
      </c>
      <c r="AU210" s="1546"/>
      <c r="AV210" s="2129"/>
      <c r="AW210" s="579"/>
      <c r="AX210" s="1867" t="s">
        <v>20</v>
      </c>
      <c r="AY210" s="1867"/>
      <c r="AZ210" s="1920"/>
      <c r="BA210" s="588"/>
      <c r="BB210" s="1067"/>
      <c r="BC210" s="1071"/>
      <c r="BD210" s="1072"/>
      <c r="BE210" s="1072"/>
      <c r="BF210" s="1073"/>
      <c r="BG210" s="356"/>
      <c r="BH210" s="356"/>
    </row>
    <row r="211" spans="2:60" ht="100" customHeight="1" thickTop="1" thickBot="1" x14ac:dyDescent="1.05">
      <c r="B211" s="356"/>
      <c r="C211" s="356"/>
      <c r="D211" s="356"/>
      <c r="E211" s="577"/>
      <c r="F211" s="568"/>
      <c r="G211" s="386"/>
      <c r="H211" s="390"/>
      <c r="I211" s="386"/>
      <c r="J211" s="592"/>
      <c r="K211" s="593"/>
      <c r="L211" s="594"/>
      <c r="M211" s="386"/>
      <c r="N211" s="484"/>
      <c r="O211" s="390"/>
      <c r="P211" s="2126"/>
      <c r="Q211" s="1079"/>
      <c r="R211" s="579"/>
      <c r="S211" s="579"/>
      <c r="T211" s="581"/>
      <c r="U211" s="578"/>
      <c r="V211" s="1067"/>
      <c r="W211" s="573"/>
      <c r="X211" s="573"/>
      <c r="Y211" s="1072"/>
      <c r="Z211" s="1072"/>
      <c r="AA211" s="356"/>
      <c r="AB211" s="356"/>
      <c r="AJ211" s="356"/>
      <c r="AK211" s="577"/>
      <c r="AL211" s="482"/>
      <c r="AM211" s="386"/>
      <c r="AN211" s="481"/>
      <c r="AO211" s="390"/>
      <c r="AP211" s="483"/>
      <c r="AQ211" s="386"/>
      <c r="AR211" s="390"/>
      <c r="AS211" s="481"/>
      <c r="AT211" s="1058"/>
      <c r="AU211" s="390"/>
      <c r="AV211" s="2129"/>
      <c r="AW211" s="579"/>
      <c r="AX211" s="1940">
        <v>450</v>
      </c>
      <c r="AY211" s="1940"/>
      <c r="AZ211" s="2132"/>
      <c r="BA211" s="560"/>
      <c r="BB211" s="1067"/>
      <c r="BC211" s="1071"/>
      <c r="BD211" s="1072"/>
      <c r="BE211" s="1072"/>
      <c r="BF211" s="1073"/>
      <c r="BG211" s="356"/>
      <c r="BH211" s="356"/>
    </row>
    <row r="212" spans="2:60" ht="100" customHeight="1" thickTop="1" thickBot="1" x14ac:dyDescent="1.05">
      <c r="B212" s="356"/>
      <c r="C212" s="356"/>
      <c r="D212" s="356"/>
      <c r="E212" s="623"/>
      <c r="F212" s="568"/>
      <c r="G212" s="386"/>
      <c r="H212" s="390"/>
      <c r="I212" s="484"/>
      <c r="J212" s="386"/>
      <c r="K212" s="386"/>
      <c r="L212" s="386"/>
      <c r="M212" s="386"/>
      <c r="N212" s="484"/>
      <c r="O212" s="464"/>
      <c r="P212" s="2126"/>
      <c r="Q212" s="579"/>
      <c r="R212" s="602" t="s">
        <v>199</v>
      </c>
      <c r="S212" s="602"/>
      <c r="T212" s="603"/>
      <c r="U212" s="1041"/>
      <c r="V212" s="1067"/>
      <c r="W212" s="573"/>
      <c r="X212" s="1370"/>
      <c r="Y212" s="1072"/>
      <c r="Z212" s="1072"/>
      <c r="AA212" s="1370"/>
      <c r="AB212" s="356"/>
      <c r="AJ212" s="356"/>
      <c r="AK212" s="578"/>
      <c r="AL212" s="1080"/>
      <c r="AM212" s="1081"/>
      <c r="AN212" s="1082"/>
      <c r="AO212" s="464"/>
      <c r="AP212" s="1083"/>
      <c r="AQ212" s="461"/>
      <c r="AR212" s="1084"/>
      <c r="AS212" s="461"/>
      <c r="AT212" s="461"/>
      <c r="AU212" s="464"/>
      <c r="AV212" s="2129"/>
      <c r="AW212" s="616"/>
      <c r="AX212" s="1898" t="s">
        <v>26</v>
      </c>
      <c r="AY212" s="1898"/>
      <c r="AZ212" s="2133"/>
      <c r="BA212" s="588"/>
      <c r="BB212" s="1067"/>
      <c r="BC212" s="1071"/>
      <c r="BD212" s="1072"/>
      <c r="BE212" s="1072"/>
      <c r="BF212" s="1073"/>
      <c r="BG212" s="356"/>
      <c r="BH212" s="356"/>
    </row>
    <row r="213" spans="2:60" ht="100" customHeight="1" thickTop="1" x14ac:dyDescent="1">
      <c r="B213" s="356"/>
      <c r="C213" s="356"/>
      <c r="D213" s="356"/>
      <c r="E213" s="1085"/>
      <c r="F213" s="2035" t="s">
        <v>209</v>
      </c>
      <c r="G213" s="2036"/>
      <c r="H213" s="2036"/>
      <c r="I213" s="2036"/>
      <c r="J213" s="2036"/>
      <c r="K213" s="2036"/>
      <c r="L213" s="2036"/>
      <c r="M213" s="2036"/>
      <c r="N213" s="2134"/>
      <c r="O213" s="1086"/>
      <c r="P213" s="2126"/>
      <c r="Q213" s="579"/>
      <c r="R213" s="607" t="s">
        <v>121</v>
      </c>
      <c r="S213" s="607"/>
      <c r="T213" s="608"/>
      <c r="U213" s="1041"/>
      <c r="V213" s="1067"/>
      <c r="W213" s="573"/>
      <c r="X213" s="1072"/>
      <c r="Y213" s="1072"/>
      <c r="Z213" s="1072"/>
      <c r="AA213" s="1370"/>
      <c r="AB213" s="356"/>
      <c r="AJ213" s="356"/>
      <c r="AK213" s="601"/>
      <c r="AL213" s="2035" t="s">
        <v>209</v>
      </c>
      <c r="AM213" s="2036"/>
      <c r="AN213" s="2036"/>
      <c r="AO213" s="2036"/>
      <c r="AP213" s="2036"/>
      <c r="AQ213" s="2036"/>
      <c r="AR213" s="2036"/>
      <c r="AS213" s="2036"/>
      <c r="AT213" s="2036"/>
      <c r="AU213" s="2036"/>
      <c r="AV213" s="2129"/>
      <c r="AW213" s="579"/>
      <c r="AX213" s="1867" t="s">
        <v>121</v>
      </c>
      <c r="AY213" s="1867"/>
      <c r="AZ213" s="1920"/>
      <c r="BA213" s="588"/>
      <c r="BB213" s="1067"/>
      <c r="BC213" s="1071"/>
      <c r="BD213" s="1072"/>
      <c r="BE213" s="1072"/>
      <c r="BF213" s="1073"/>
      <c r="BG213" s="356"/>
      <c r="BH213" s="356"/>
    </row>
    <row r="214" spans="2:60" ht="100" customHeight="1" thickBot="1" x14ac:dyDescent="1.05">
      <c r="B214" s="356"/>
      <c r="C214" s="356"/>
      <c r="D214" s="356"/>
      <c r="E214" s="1087"/>
      <c r="F214" s="2037"/>
      <c r="G214" s="2038"/>
      <c r="H214" s="2038"/>
      <c r="I214" s="2038"/>
      <c r="J214" s="2038"/>
      <c r="K214" s="2038"/>
      <c r="L214" s="2038"/>
      <c r="M214" s="2038"/>
      <c r="N214" s="2135"/>
      <c r="O214" s="1088"/>
      <c r="P214" s="2126"/>
      <c r="Q214" s="579"/>
      <c r="R214" s="602">
        <v>800</v>
      </c>
      <c r="S214" s="602"/>
      <c r="T214" s="603"/>
      <c r="U214" s="1074"/>
      <c r="V214" s="1067"/>
      <c r="W214" s="573"/>
      <c r="X214" s="1089"/>
      <c r="Y214" s="1072"/>
      <c r="Z214" s="1072"/>
      <c r="AA214" s="1370"/>
      <c r="AB214" s="356"/>
      <c r="AJ214" s="356"/>
      <c r="AK214" s="606"/>
      <c r="AL214" s="2037"/>
      <c r="AM214" s="2038"/>
      <c r="AN214" s="2038"/>
      <c r="AO214" s="2038"/>
      <c r="AP214" s="2038"/>
      <c r="AQ214" s="2038"/>
      <c r="AR214" s="2038"/>
      <c r="AS214" s="2038"/>
      <c r="AT214" s="2038"/>
      <c r="AU214" s="2038"/>
      <c r="AV214" s="2129"/>
      <c r="AW214" s="579"/>
      <c r="AX214" s="1940">
        <v>300</v>
      </c>
      <c r="AY214" s="1940"/>
      <c r="AZ214" s="2132"/>
      <c r="BA214" s="565"/>
      <c r="BB214" s="1067"/>
      <c r="BC214" s="1071"/>
      <c r="BD214" s="1089"/>
      <c r="BE214" s="1089"/>
      <c r="BF214" s="1090"/>
      <c r="BG214" s="356"/>
      <c r="BH214" s="356"/>
    </row>
    <row r="215" spans="2:60" ht="100" customHeight="1" thickTop="1" thickBot="1" x14ac:dyDescent="1.05">
      <c r="B215" s="356"/>
      <c r="C215" s="356"/>
      <c r="D215" s="356"/>
      <c r="E215" s="577"/>
      <c r="F215" s="1091"/>
      <c r="G215" s="1092"/>
      <c r="H215" s="1093"/>
      <c r="I215" s="386"/>
      <c r="J215" s="593"/>
      <c r="K215" s="386"/>
      <c r="L215" s="593"/>
      <c r="M215" s="390"/>
      <c r="N215" s="484"/>
      <c r="O215" s="456"/>
      <c r="P215" s="2126"/>
      <c r="Q215" s="579"/>
      <c r="R215" s="590"/>
      <c r="S215" s="590"/>
      <c r="T215" s="590"/>
      <c r="U215" s="1041"/>
      <c r="V215" s="1067"/>
      <c r="W215" s="573"/>
      <c r="X215" s="1072"/>
      <c r="Y215" s="1089"/>
      <c r="Z215" s="1089"/>
      <c r="AA215" s="573"/>
      <c r="AB215" s="356"/>
      <c r="AJ215" s="356"/>
      <c r="AK215" s="578"/>
      <c r="AL215" s="456"/>
      <c r="AM215" s="609"/>
      <c r="AN215" s="1070"/>
      <c r="AO215" s="456"/>
      <c r="AP215" s="1094"/>
      <c r="AQ215" s="609"/>
      <c r="AR215" s="1069"/>
      <c r="AS215" s="609"/>
      <c r="AT215" s="1070"/>
      <c r="AU215" s="456"/>
      <c r="AV215" s="2129"/>
      <c r="AW215" s="1095"/>
      <c r="AX215" s="2136" t="s">
        <v>26</v>
      </c>
      <c r="AY215" s="2136"/>
      <c r="AZ215" s="2137"/>
      <c r="BA215" s="588"/>
      <c r="BB215" s="1067"/>
      <c r="BC215" s="1071"/>
      <c r="BD215" s="1072"/>
      <c r="BE215" s="1072"/>
      <c r="BF215" s="1073"/>
      <c r="BG215" s="356"/>
      <c r="BH215" s="356"/>
    </row>
    <row r="216" spans="2:60" ht="100" customHeight="1" thickTop="1" thickBot="1" x14ac:dyDescent="1.05">
      <c r="B216" s="356"/>
      <c r="C216" s="356"/>
      <c r="D216" s="356"/>
      <c r="E216" s="577"/>
      <c r="F216" s="1958" t="s">
        <v>132</v>
      </c>
      <c r="G216" s="1959"/>
      <c r="H216" s="2138"/>
      <c r="I216" s="489"/>
      <c r="J216" s="1956" t="s">
        <v>132</v>
      </c>
      <c r="K216" s="1890"/>
      <c r="L216" s="2042"/>
      <c r="M216" s="1545"/>
      <c r="N216" s="1552" t="s">
        <v>132</v>
      </c>
      <c r="O216" s="566"/>
      <c r="P216" s="2126"/>
      <c r="Q216" s="1468"/>
      <c r="R216" s="579"/>
      <c r="S216" s="579"/>
      <c r="T216" s="581"/>
      <c r="U216" s="1041"/>
      <c r="V216" s="1067"/>
      <c r="W216" s="573"/>
      <c r="X216" s="573"/>
      <c r="Y216" s="1089"/>
      <c r="Z216" s="1072"/>
      <c r="AA216" s="573"/>
      <c r="AB216" s="356"/>
      <c r="AJ216" s="356"/>
      <c r="AK216" s="577"/>
      <c r="AL216" s="1546" t="s">
        <v>152</v>
      </c>
      <c r="AM216" s="489"/>
      <c r="AN216" s="1554" t="s">
        <v>152</v>
      </c>
      <c r="AO216" s="1546"/>
      <c r="AP216" s="491" t="s">
        <v>152</v>
      </c>
      <c r="AQ216" s="489"/>
      <c r="AR216" s="1546" t="s">
        <v>152</v>
      </c>
      <c r="AS216" s="489"/>
      <c r="AT216" s="1545" t="s">
        <v>152</v>
      </c>
      <c r="AU216" s="930"/>
      <c r="AV216" s="2129"/>
      <c r="AW216" s="1096"/>
      <c r="AX216" s="1959" t="s">
        <v>125</v>
      </c>
      <c r="AY216" s="1959"/>
      <c r="AZ216" s="2139"/>
      <c r="BA216" s="588"/>
      <c r="BB216" s="1067"/>
      <c r="BC216" s="1071"/>
      <c r="BD216" s="1072"/>
      <c r="BE216" s="1072"/>
      <c r="BF216" s="1073"/>
      <c r="BG216" s="356"/>
      <c r="BH216" s="356"/>
    </row>
    <row r="217" spans="2:60" ht="100" customHeight="1" thickTop="1" thickBot="1" x14ac:dyDescent="1.05">
      <c r="B217" s="356"/>
      <c r="C217" s="356"/>
      <c r="D217" s="356"/>
      <c r="E217" s="578"/>
      <c r="F217" s="1875" t="s">
        <v>153</v>
      </c>
      <c r="G217" s="1867"/>
      <c r="H217" s="1869"/>
      <c r="I217" s="1545"/>
      <c r="J217" s="1886" t="s">
        <v>153</v>
      </c>
      <c r="K217" s="1867"/>
      <c r="L217" s="1868"/>
      <c r="M217" s="645"/>
      <c r="N217" s="1545" t="s">
        <v>153</v>
      </c>
      <c r="O217" s="566"/>
      <c r="P217" s="2126"/>
      <c r="Q217" s="1469"/>
      <c r="R217" s="1467"/>
      <c r="S217" s="1467"/>
      <c r="T217" s="1467"/>
      <c r="U217" s="1041"/>
      <c r="V217" s="1067"/>
      <c r="W217" s="573"/>
      <c r="X217" s="573"/>
      <c r="Y217" s="1072"/>
      <c r="Z217" s="1072"/>
      <c r="AA217" s="1370"/>
      <c r="AB217" s="356"/>
      <c r="AJ217" s="356"/>
      <c r="AK217" s="578"/>
      <c r="AL217" s="1546" t="s">
        <v>153</v>
      </c>
      <c r="AM217" s="489"/>
      <c r="AN217" s="1554" t="s">
        <v>154</v>
      </c>
      <c r="AO217" s="1546"/>
      <c r="AP217" s="491" t="s">
        <v>154</v>
      </c>
      <c r="AQ217" s="489"/>
      <c r="AR217" s="1546" t="s">
        <v>154</v>
      </c>
      <c r="AS217" s="489"/>
      <c r="AT217" s="1545" t="s">
        <v>154</v>
      </c>
      <c r="AU217" s="930"/>
      <c r="AV217" s="2129"/>
      <c r="AW217" s="579"/>
      <c r="AX217" s="1867">
        <v>500</v>
      </c>
      <c r="AY217" s="1867"/>
      <c r="AZ217" s="1920"/>
      <c r="BA217" s="588"/>
      <c r="BB217" s="1067"/>
      <c r="BC217" s="1071"/>
      <c r="BD217" s="1072"/>
      <c r="BE217" s="1072"/>
      <c r="BF217" s="1073"/>
      <c r="BG217" s="356"/>
      <c r="BH217" s="356"/>
    </row>
    <row r="218" spans="2:60" ht="100" customHeight="1" thickTop="1" thickBot="1" x14ac:dyDescent="1.05">
      <c r="B218" s="356"/>
      <c r="C218" s="356"/>
      <c r="D218" s="356"/>
      <c r="E218" s="578"/>
      <c r="F218" s="1875" t="s">
        <v>20</v>
      </c>
      <c r="G218" s="1867"/>
      <c r="H218" s="1869"/>
      <c r="I218" s="1545"/>
      <c r="J218" s="1886" t="s">
        <v>125</v>
      </c>
      <c r="K218" s="1867"/>
      <c r="L218" s="1868"/>
      <c r="M218" s="645"/>
      <c r="N218" s="1545" t="s">
        <v>121</v>
      </c>
      <c r="O218" s="1546"/>
      <c r="P218" s="2126"/>
      <c r="Q218" s="579"/>
      <c r="R218" s="602" t="s">
        <v>199</v>
      </c>
      <c r="S218" s="602"/>
      <c r="T218" s="603"/>
      <c r="U218" s="1041"/>
      <c r="V218" s="1067"/>
      <c r="W218" s="573"/>
      <c r="X218" s="1072"/>
      <c r="Y218" s="1072"/>
      <c r="Z218" s="1072"/>
      <c r="AA218" s="1370"/>
      <c r="AB218" s="356"/>
      <c r="AD218" s="358"/>
      <c r="AE218" s="358"/>
      <c r="AJ218" s="356"/>
      <c r="AK218" s="578"/>
      <c r="AL218" s="1546" t="s">
        <v>121</v>
      </c>
      <c r="AM218" s="489"/>
      <c r="AN218" s="1554" t="s">
        <v>125</v>
      </c>
      <c r="AO218" s="1546"/>
      <c r="AP218" s="491" t="s">
        <v>121</v>
      </c>
      <c r="AQ218" s="489"/>
      <c r="AR218" s="1546" t="s">
        <v>20</v>
      </c>
      <c r="AS218" s="489"/>
      <c r="AT218" s="1554" t="s">
        <v>20</v>
      </c>
      <c r="AU218" s="1546"/>
      <c r="AV218" s="2129"/>
      <c r="AW218" s="579"/>
      <c r="AX218" s="387"/>
      <c r="AY218" s="387"/>
      <c r="AZ218" s="1097"/>
      <c r="BA218" s="588"/>
      <c r="BB218" s="1067"/>
      <c r="BC218" s="1071"/>
      <c r="BD218" s="1072"/>
      <c r="BE218" s="1072"/>
      <c r="BF218" s="1073"/>
      <c r="BG218" s="356"/>
      <c r="BH218" s="356"/>
    </row>
    <row r="219" spans="2:60" ht="100" customHeight="1" thickTop="1" x14ac:dyDescent="1">
      <c r="B219" s="356"/>
      <c r="C219" s="356"/>
      <c r="D219" s="356"/>
      <c r="E219" s="577"/>
      <c r="F219" s="1871">
        <v>1100</v>
      </c>
      <c r="G219" s="1972"/>
      <c r="H219" s="2022"/>
      <c r="I219" s="1545"/>
      <c r="J219" s="1886">
        <v>800</v>
      </c>
      <c r="K219" s="1867"/>
      <c r="L219" s="1868"/>
      <c r="M219" s="1545"/>
      <c r="N219" s="1552">
        <v>800</v>
      </c>
      <c r="O219" s="1546"/>
      <c r="P219" s="2126"/>
      <c r="Q219" s="579"/>
      <c r="R219" s="602" t="s">
        <v>20</v>
      </c>
      <c r="S219" s="602"/>
      <c r="T219" s="603"/>
      <c r="U219" s="1074"/>
      <c r="V219" s="1067"/>
      <c r="W219" s="573"/>
      <c r="X219" s="1072"/>
      <c r="Y219" s="1072"/>
      <c r="Z219" s="1072"/>
      <c r="AA219" s="1370"/>
      <c r="AB219" s="356"/>
      <c r="AJ219" s="356"/>
      <c r="AK219" s="577"/>
      <c r="AL219" s="1546">
        <v>300</v>
      </c>
      <c r="AM219" s="489"/>
      <c r="AN219" s="1554">
        <v>500</v>
      </c>
      <c r="AO219" s="1546"/>
      <c r="AP219" s="491">
        <v>300</v>
      </c>
      <c r="AQ219" s="489"/>
      <c r="AR219" s="1546">
        <v>450</v>
      </c>
      <c r="AS219" s="489"/>
      <c r="AT219" s="1572">
        <v>450</v>
      </c>
      <c r="AU219" s="1546"/>
      <c r="AV219" s="2129"/>
      <c r="AW219" s="616"/>
      <c r="AX219" s="1898" t="s">
        <v>26</v>
      </c>
      <c r="AY219" s="1898"/>
      <c r="AZ219" s="2133"/>
      <c r="BA219" s="565"/>
      <c r="BB219" s="1067"/>
      <c r="BC219" s="1071"/>
      <c r="BD219" s="1072"/>
      <c r="BE219" s="1072"/>
      <c r="BF219" s="1073"/>
      <c r="BG219" s="356"/>
      <c r="BH219" s="356"/>
    </row>
    <row r="220" spans="2:60" ht="100" customHeight="1" thickBot="1" x14ac:dyDescent="1.05">
      <c r="B220" s="356"/>
      <c r="C220" s="356"/>
      <c r="D220" s="356"/>
      <c r="E220" s="578"/>
      <c r="F220" s="568"/>
      <c r="G220" s="386"/>
      <c r="H220" s="390"/>
      <c r="I220" s="386"/>
      <c r="J220" s="592"/>
      <c r="K220" s="593"/>
      <c r="L220" s="594"/>
      <c r="M220" s="386"/>
      <c r="N220" s="484"/>
      <c r="O220" s="390"/>
      <c r="P220" s="2126"/>
      <c r="Q220" s="579"/>
      <c r="R220" s="621">
        <v>1100</v>
      </c>
      <c r="S220" s="621"/>
      <c r="T220" s="622"/>
      <c r="U220" s="1041"/>
      <c r="V220" s="1067"/>
      <c r="W220" s="573"/>
      <c r="X220" s="1098"/>
      <c r="Y220" s="573"/>
      <c r="Z220" s="573"/>
      <c r="AA220" s="1370"/>
      <c r="AB220" s="356"/>
      <c r="AJ220" s="356"/>
      <c r="AK220" s="578"/>
      <c r="AL220" s="390"/>
      <c r="AM220" s="481"/>
      <c r="AN220" s="541"/>
      <c r="AO220" s="390"/>
      <c r="AP220" s="483"/>
      <c r="AQ220" s="481"/>
      <c r="AR220" s="390"/>
      <c r="AS220" s="481"/>
      <c r="AT220" s="1058"/>
      <c r="AU220" s="543"/>
      <c r="AV220" s="2129"/>
      <c r="AW220" s="579"/>
      <c r="AX220" s="1867" t="s">
        <v>121</v>
      </c>
      <c r="AY220" s="1867"/>
      <c r="AZ220" s="1920"/>
      <c r="BA220" s="588"/>
      <c r="BB220" s="1067"/>
      <c r="BC220" s="1071"/>
      <c r="BD220" s="1072"/>
      <c r="BE220" s="1072"/>
      <c r="BF220" s="1073"/>
      <c r="BG220" s="356"/>
      <c r="BH220" s="356"/>
    </row>
    <row r="221" spans="2:60" ht="100" customHeight="1" thickTop="1" thickBot="1" x14ac:dyDescent="1.05">
      <c r="B221" s="356"/>
      <c r="C221" s="356"/>
      <c r="D221" s="356"/>
      <c r="E221" s="623"/>
      <c r="F221" s="569"/>
      <c r="G221" s="570"/>
      <c r="H221" s="556"/>
      <c r="I221" s="1099"/>
      <c r="J221" s="570"/>
      <c r="K221" s="570"/>
      <c r="L221" s="570"/>
      <c r="M221" s="570"/>
      <c r="N221" s="1099"/>
      <c r="O221" s="556"/>
      <c r="P221" s="2127"/>
      <c r="Q221" s="625"/>
      <c r="R221" s="627"/>
      <c r="S221" s="627"/>
      <c r="T221" s="628"/>
      <c r="U221" s="623"/>
      <c r="V221" s="1067"/>
      <c r="W221" s="573"/>
      <c r="X221" s="1073"/>
      <c r="Y221" s="573"/>
      <c r="Z221" s="573"/>
      <c r="AA221" s="573"/>
      <c r="AB221" s="356"/>
      <c r="AJ221" s="356"/>
      <c r="AK221" s="623"/>
      <c r="AL221" s="556"/>
      <c r="AM221" s="1045"/>
      <c r="AN221" s="1100"/>
      <c r="AO221" s="556"/>
      <c r="AP221" s="997"/>
      <c r="AQ221" s="570"/>
      <c r="AR221" s="1101"/>
      <c r="AS221" s="570"/>
      <c r="AT221" s="570"/>
      <c r="AU221" s="556"/>
      <c r="AV221" s="2130"/>
      <c r="AW221" s="570"/>
      <c r="AX221" s="1894">
        <v>300</v>
      </c>
      <c r="AY221" s="1894"/>
      <c r="AZ221" s="2140"/>
      <c r="BA221" s="520"/>
      <c r="BB221" s="1067"/>
      <c r="BC221" s="1071"/>
      <c r="BD221" s="1072"/>
      <c r="BE221" s="1072"/>
      <c r="BF221" s="1073"/>
      <c r="BG221" s="356"/>
      <c r="BH221" s="356"/>
    </row>
    <row r="222" spans="2:60" ht="10" customHeight="1" thickTop="1" thickBot="1" x14ac:dyDescent="1.05">
      <c r="B222" s="356"/>
      <c r="C222" s="356"/>
      <c r="D222" s="356"/>
      <c r="E222" s="623"/>
      <c r="F222" s="518"/>
      <c r="G222" s="519"/>
      <c r="H222" s="519"/>
      <c r="I222" s="519"/>
      <c r="J222" s="519"/>
      <c r="K222" s="519"/>
      <c r="L222" s="519"/>
      <c r="M222" s="519"/>
      <c r="N222" s="519"/>
      <c r="O222" s="519"/>
      <c r="P222" s="519"/>
      <c r="Q222" s="519"/>
      <c r="R222" s="519"/>
      <c r="S222" s="519"/>
      <c r="T222" s="519"/>
      <c r="U222" s="520"/>
      <c r="V222" s="1067"/>
      <c r="W222" s="573"/>
      <c r="X222" s="650"/>
      <c r="Y222" s="650"/>
      <c r="Z222" s="650"/>
      <c r="AA222" s="1370"/>
      <c r="AB222" s="356"/>
      <c r="AJ222" s="356"/>
      <c r="AK222" s="623"/>
      <c r="AL222" s="518"/>
      <c r="AM222" s="519"/>
      <c r="AN222" s="519"/>
      <c r="AO222" s="519"/>
      <c r="AP222" s="519"/>
      <c r="AQ222" s="519"/>
      <c r="AR222" s="519"/>
      <c r="AS222" s="519"/>
      <c r="AT222" s="519"/>
      <c r="AU222" s="519"/>
      <c r="AV222" s="519"/>
      <c r="AW222" s="519"/>
      <c r="AX222" s="519"/>
      <c r="AY222" s="519"/>
      <c r="AZ222" s="520"/>
      <c r="BA222" s="519"/>
      <c r="BB222" s="1102"/>
      <c r="BC222" s="1071"/>
      <c r="BD222" s="1072"/>
      <c r="BE222" s="1072"/>
      <c r="BF222" s="1073"/>
      <c r="BG222" s="356"/>
      <c r="BH222" s="356"/>
    </row>
    <row r="223" spans="2:60" ht="100" customHeight="1" thickTop="1" x14ac:dyDescent="1">
      <c r="B223" s="356"/>
      <c r="C223" s="356"/>
      <c r="D223" s="356"/>
      <c r="E223" s="356"/>
      <c r="F223" s="356"/>
      <c r="G223" s="356"/>
      <c r="H223" s="356"/>
      <c r="I223" s="356"/>
      <c r="J223" s="356"/>
      <c r="K223" s="356"/>
      <c r="L223" s="356"/>
      <c r="M223" s="356"/>
      <c r="N223" s="356"/>
      <c r="O223" s="356"/>
      <c r="P223" s="356"/>
      <c r="Q223" s="356"/>
      <c r="R223" s="356"/>
      <c r="S223" s="356"/>
      <c r="T223" s="356"/>
      <c r="U223" s="356"/>
      <c r="V223" s="1067"/>
      <c r="W223" s="573"/>
      <c r="X223" s="1073"/>
      <c r="Y223" s="1073"/>
      <c r="Z223" s="1073"/>
      <c r="AA223" s="356"/>
      <c r="AB223" s="356"/>
      <c r="AJ223" s="356"/>
      <c r="AK223" s="356"/>
      <c r="AL223" s="356"/>
      <c r="AM223" s="356"/>
      <c r="AN223" s="356"/>
      <c r="AO223" s="356"/>
      <c r="AP223" s="356"/>
      <c r="AQ223" s="356"/>
      <c r="AR223" s="356"/>
      <c r="AS223" s="356"/>
      <c r="AT223" s="356"/>
      <c r="AU223" s="356"/>
      <c r="AV223" s="356"/>
      <c r="AW223" s="356"/>
      <c r="AX223" s="356"/>
      <c r="AY223" s="356"/>
      <c r="AZ223" s="356"/>
      <c r="BA223" s="356"/>
      <c r="BB223" s="1067"/>
      <c r="BC223" s="1071"/>
      <c r="BD223" s="1072"/>
      <c r="BE223" s="1072"/>
      <c r="BF223" s="1073"/>
      <c r="BG223" s="356"/>
      <c r="BH223" s="356"/>
    </row>
    <row r="224" spans="2:60" ht="100" customHeight="1" x14ac:dyDescent="1">
      <c r="B224" s="356"/>
      <c r="C224" s="356"/>
      <c r="D224" s="356"/>
      <c r="E224" s="356"/>
      <c r="F224" s="356"/>
      <c r="G224" s="356"/>
      <c r="H224" s="356"/>
      <c r="I224" s="356"/>
      <c r="J224" s="356"/>
      <c r="K224" s="356"/>
      <c r="L224" s="356"/>
      <c r="M224" s="356"/>
      <c r="N224" s="356"/>
      <c r="O224" s="356"/>
      <c r="P224" s="356"/>
      <c r="Q224" s="356"/>
      <c r="R224" s="356"/>
      <c r="S224" s="356"/>
      <c r="T224" s="356"/>
      <c r="U224" s="356"/>
      <c r="V224" s="356"/>
      <c r="W224" s="356"/>
      <c r="X224" s="356"/>
      <c r="Y224" s="356"/>
      <c r="Z224" s="356"/>
      <c r="AA224" s="356"/>
      <c r="AB224" s="356"/>
      <c r="AJ224" s="356"/>
      <c r="AK224" s="356"/>
      <c r="AL224" s="356"/>
      <c r="AM224" s="356"/>
      <c r="AN224" s="356"/>
      <c r="AO224" s="356"/>
      <c r="AP224" s="356"/>
      <c r="AQ224" s="356"/>
      <c r="AR224" s="356"/>
      <c r="AS224" s="356"/>
      <c r="AT224" s="356"/>
      <c r="AU224" s="356"/>
      <c r="AV224" s="356"/>
      <c r="AW224" s="356"/>
      <c r="AX224" s="356"/>
      <c r="AY224" s="356"/>
      <c r="AZ224" s="356"/>
      <c r="BA224" s="356"/>
      <c r="BB224" s="356"/>
      <c r="BC224" s="356"/>
      <c r="BD224" s="356"/>
      <c r="BE224" s="356"/>
      <c r="BF224" s="356"/>
      <c r="BG224" s="356"/>
      <c r="BH224" s="356"/>
    </row>
    <row r="225" spans="2:60" s="1426" customFormat="1" ht="100" customHeight="1" x14ac:dyDescent="1.2">
      <c r="B225" s="1432"/>
      <c r="C225" s="1432"/>
      <c r="D225" s="1432"/>
      <c r="E225" s="1426" t="s">
        <v>195</v>
      </c>
      <c r="F225" s="1426" t="s">
        <v>254</v>
      </c>
      <c r="G225" s="1432"/>
      <c r="H225" s="1432"/>
      <c r="I225" s="1432"/>
      <c r="J225" s="1432"/>
      <c r="K225" s="1432"/>
      <c r="L225" s="1432"/>
      <c r="M225" s="1432"/>
      <c r="N225" s="1432"/>
      <c r="O225" s="1432"/>
      <c r="P225" s="1432"/>
      <c r="Q225" s="1432"/>
      <c r="R225" s="1432"/>
      <c r="S225" s="1432"/>
      <c r="T225" s="1432"/>
      <c r="U225" s="1432"/>
      <c r="V225" s="1432"/>
      <c r="W225" s="1432"/>
      <c r="X225" s="1432"/>
      <c r="Y225" s="1432"/>
      <c r="Z225" s="1432"/>
      <c r="AA225" s="1432"/>
      <c r="AB225" s="1432"/>
      <c r="AJ225" s="1432"/>
      <c r="AK225" s="1432"/>
      <c r="AL225" s="1432"/>
      <c r="AM225" s="1432"/>
      <c r="AN225" s="1432"/>
      <c r="AO225" s="1432"/>
      <c r="AP225" s="1432"/>
      <c r="AQ225" s="1432"/>
      <c r="AR225" s="1432"/>
      <c r="AS225" s="1432"/>
      <c r="AT225" s="1432"/>
      <c r="AU225" s="1432"/>
      <c r="AV225" s="1432"/>
      <c r="AW225" s="1432"/>
      <c r="AX225" s="1432"/>
      <c r="AY225" s="1432"/>
      <c r="AZ225" s="1432"/>
      <c r="BA225" s="1432"/>
      <c r="BB225" s="1432"/>
      <c r="BC225" s="1432"/>
      <c r="BD225" s="1432"/>
      <c r="BE225" s="1432"/>
      <c r="BF225" s="1432"/>
      <c r="BG225" s="1432"/>
      <c r="BH225" s="1432"/>
    </row>
    <row r="226" spans="2:60" s="1426" customFormat="1" ht="100" customHeight="1" x14ac:dyDescent="1.2">
      <c r="B226" s="1432"/>
      <c r="C226" s="1432"/>
      <c r="D226" s="1432"/>
      <c r="E226" s="1432"/>
      <c r="F226" s="1432"/>
      <c r="G226" s="1432"/>
      <c r="H226" s="1432"/>
      <c r="I226" s="1432"/>
      <c r="K226" s="1432"/>
      <c r="L226" s="1432"/>
      <c r="M226" s="1432"/>
      <c r="N226" s="1432"/>
      <c r="O226" s="1432"/>
      <c r="P226" s="1432"/>
      <c r="Q226" s="1432"/>
      <c r="R226" s="1432"/>
      <c r="S226" s="1432"/>
      <c r="T226" s="1432"/>
      <c r="U226" s="1432"/>
      <c r="V226" s="1432"/>
      <c r="W226" s="1432"/>
      <c r="X226" s="1432"/>
      <c r="Y226" s="1432"/>
      <c r="Z226" s="1432"/>
      <c r="AA226" s="1432"/>
      <c r="AB226" s="1432"/>
      <c r="AJ226" s="1432"/>
      <c r="AK226" s="1432"/>
      <c r="AL226" s="1432"/>
      <c r="AM226" s="1432"/>
      <c r="AN226" s="1432"/>
      <c r="AO226" s="1432"/>
      <c r="AP226" s="1432"/>
      <c r="AQ226" s="1432"/>
      <c r="AR226" s="1432"/>
      <c r="AS226" s="1432"/>
      <c r="AT226" s="1432"/>
      <c r="AU226" s="1432"/>
      <c r="AV226" s="1432"/>
      <c r="AW226" s="1432"/>
      <c r="AX226" s="1432"/>
      <c r="AY226" s="1432"/>
      <c r="AZ226" s="1432"/>
      <c r="BA226" s="1432"/>
      <c r="BB226" s="1432"/>
      <c r="BC226" s="1432"/>
      <c r="BD226" s="1432"/>
      <c r="BE226" s="1432"/>
      <c r="BF226" s="1432"/>
      <c r="BG226" s="1432"/>
      <c r="BH226" s="1432"/>
    </row>
    <row r="227" spans="2:60" s="1426" customFormat="1" ht="100" customHeight="1" x14ac:dyDescent="1.2">
      <c r="C227" s="1431"/>
      <c r="E227" s="1436" t="s">
        <v>176</v>
      </c>
      <c r="F227" s="1436"/>
      <c r="G227" s="1436"/>
    </row>
    <row r="228" spans="2:60" s="1426" customFormat="1" ht="100" customHeight="1" x14ac:dyDescent="1.2">
      <c r="C228" s="1431"/>
      <c r="E228" s="1429" t="s">
        <v>216</v>
      </c>
      <c r="F228" s="1429"/>
      <c r="G228" s="1429"/>
      <c r="H228" s="1429"/>
      <c r="I228" s="1429"/>
      <c r="J228" s="1429"/>
      <c r="K228" s="1429"/>
      <c r="L228" s="1429"/>
      <c r="M228" s="1429"/>
      <c r="N228" s="1429"/>
      <c r="AL228" s="1429" t="s">
        <v>217</v>
      </c>
      <c r="AM228" s="1429"/>
      <c r="AN228" s="1429"/>
      <c r="AO228" s="1429"/>
      <c r="AP228" s="1429"/>
      <c r="AQ228" s="1429"/>
      <c r="AR228" s="1429"/>
      <c r="AS228" s="1429"/>
      <c r="AT228" s="1429"/>
    </row>
    <row r="229" spans="2:60" s="1426" customFormat="1" ht="100" customHeight="1" x14ac:dyDescent="1.2">
      <c r="C229" s="1431"/>
      <c r="E229" s="1426" t="s">
        <v>141</v>
      </c>
      <c r="AL229" s="1426" t="s">
        <v>141</v>
      </c>
    </row>
    <row r="230" spans="2:60" ht="100" customHeight="1" thickBot="1" x14ac:dyDescent="1.05">
      <c r="B230" s="356"/>
      <c r="C230" s="356"/>
      <c r="D230" s="356"/>
      <c r="E230" s="356"/>
      <c r="F230" s="356"/>
      <c r="G230" s="356"/>
      <c r="H230" s="356"/>
      <c r="I230" s="356"/>
      <c r="J230" s="356"/>
      <c r="K230" s="356"/>
      <c r="L230" s="356"/>
      <c r="M230" s="356"/>
      <c r="N230" s="356"/>
      <c r="O230" s="356"/>
      <c r="P230" s="356"/>
      <c r="Q230" s="356"/>
      <c r="R230" s="356"/>
      <c r="S230" s="356"/>
      <c r="T230" s="356"/>
      <c r="U230" s="356"/>
      <c r="V230" s="356"/>
      <c r="W230" s="356"/>
      <c r="X230" s="356"/>
      <c r="Y230" s="356"/>
      <c r="Z230" s="356"/>
      <c r="AA230" s="356"/>
      <c r="AB230" s="356"/>
      <c r="AJ230" s="356"/>
      <c r="AK230" s="356"/>
      <c r="AL230" s="356"/>
      <c r="AM230" s="356"/>
      <c r="AN230" s="356"/>
      <c r="AO230" s="356"/>
      <c r="AP230" s="356"/>
      <c r="AQ230" s="356"/>
      <c r="AR230" s="356"/>
      <c r="AS230" s="356"/>
      <c r="AT230" s="356"/>
      <c r="AU230" s="356"/>
      <c r="AV230" s="356"/>
      <c r="AW230" s="356"/>
      <c r="AX230" s="356"/>
      <c r="AY230" s="356"/>
      <c r="AZ230" s="356"/>
      <c r="BA230" s="356"/>
      <c r="BB230" s="356"/>
      <c r="BC230" s="356"/>
      <c r="BD230" s="356"/>
      <c r="BE230" s="356"/>
      <c r="BF230" s="356"/>
      <c r="BG230" s="356"/>
      <c r="BH230" s="356"/>
    </row>
    <row r="231" spans="2:60" ht="10" customHeight="1" thickTop="1" thickBot="1" x14ac:dyDescent="1.05">
      <c r="B231" s="356"/>
      <c r="C231" s="356"/>
      <c r="D231" s="356"/>
      <c r="E231" s="574"/>
      <c r="F231" s="561"/>
      <c r="G231" s="561"/>
      <c r="H231" s="561"/>
      <c r="I231" s="561"/>
      <c r="J231" s="561"/>
      <c r="K231" s="561"/>
      <c r="L231" s="561"/>
      <c r="M231" s="561"/>
      <c r="N231" s="561"/>
      <c r="O231" s="561"/>
      <c r="P231" s="561"/>
      <c r="Q231" s="561"/>
      <c r="R231" s="575"/>
      <c r="S231" s="561"/>
      <c r="T231" s="561"/>
      <c r="U231" s="574"/>
      <c r="V231" s="356"/>
      <c r="W231" s="356"/>
      <c r="X231" s="356"/>
      <c r="Y231" s="356"/>
      <c r="Z231" s="356"/>
      <c r="AA231" s="356"/>
      <c r="AB231" s="356"/>
      <c r="AJ231" s="356"/>
      <c r="AK231" s="577"/>
      <c r="AL231" s="575"/>
      <c r="AM231" s="561"/>
      <c r="AN231" s="561"/>
      <c r="AO231" s="561"/>
      <c r="AP231" s="561"/>
      <c r="AQ231" s="561"/>
      <c r="AR231" s="561"/>
      <c r="AS231" s="561"/>
      <c r="AT231" s="561"/>
      <c r="AU231" s="561"/>
      <c r="AV231" s="561"/>
      <c r="AW231" s="561"/>
      <c r="AX231" s="575"/>
      <c r="AY231" s="561"/>
      <c r="AZ231" s="561"/>
      <c r="BA231" s="574"/>
      <c r="BB231" s="356"/>
      <c r="BC231" s="356"/>
      <c r="BD231" s="356"/>
      <c r="BE231" s="356"/>
      <c r="BF231" s="356"/>
      <c r="BG231" s="356"/>
      <c r="BH231" s="356"/>
    </row>
    <row r="232" spans="2:60" ht="100" customHeight="1" thickTop="1" thickBot="1" x14ac:dyDescent="1.05">
      <c r="B232" s="356"/>
      <c r="C232" s="356"/>
      <c r="D232" s="356"/>
      <c r="E232" s="578"/>
      <c r="F232" s="386"/>
      <c r="G232" s="386"/>
      <c r="H232" s="390"/>
      <c r="I232" s="386"/>
      <c r="J232" s="386"/>
      <c r="K232" s="386"/>
      <c r="L232" s="386"/>
      <c r="M232" s="527"/>
      <c r="N232" s="386"/>
      <c r="O232" s="386"/>
      <c r="P232" s="1103"/>
      <c r="Q232" s="1104"/>
      <c r="R232" s="386"/>
      <c r="S232" s="386"/>
      <c r="T232" s="386"/>
      <c r="U232" s="578"/>
      <c r="V232" s="1067"/>
      <c r="W232" s="356"/>
      <c r="X232" s="356"/>
      <c r="Y232" s="356"/>
      <c r="Z232" s="356"/>
      <c r="AA232" s="356"/>
      <c r="AB232" s="356"/>
      <c r="AJ232" s="356"/>
      <c r="AK232" s="577"/>
      <c r="AL232" s="482"/>
      <c r="AM232" s="486"/>
      <c r="AN232" s="484"/>
      <c r="AO232" s="486"/>
      <c r="AP232" s="483"/>
      <c r="AQ232" s="484"/>
      <c r="AR232" s="386"/>
      <c r="AS232" s="968"/>
      <c r="AT232" s="386"/>
      <c r="AU232" s="390"/>
      <c r="AV232" s="1105"/>
      <c r="AW232" s="386"/>
      <c r="AX232" s="1944" t="s">
        <v>26</v>
      </c>
      <c r="AY232" s="1944"/>
      <c r="AZ232" s="2131"/>
      <c r="BA232" s="578"/>
      <c r="BB232" s="356"/>
      <c r="BC232" s="356"/>
      <c r="BD232" s="1106"/>
      <c r="BE232" s="1106"/>
      <c r="BF232" s="1073"/>
      <c r="BG232" s="356"/>
      <c r="BH232" s="356"/>
    </row>
    <row r="233" spans="2:60" ht="100" customHeight="1" thickTop="1" x14ac:dyDescent="1">
      <c r="B233" s="356"/>
      <c r="C233" s="356"/>
      <c r="D233" s="356"/>
      <c r="E233" s="578"/>
      <c r="F233" s="1875" t="s">
        <v>132</v>
      </c>
      <c r="G233" s="1867"/>
      <c r="H233" s="1869"/>
      <c r="I233" s="1545"/>
      <c r="J233" s="1956" t="s">
        <v>132</v>
      </c>
      <c r="K233" s="1890"/>
      <c r="L233" s="2042"/>
      <c r="M233" s="1545"/>
      <c r="N233" s="1552" t="s">
        <v>132</v>
      </c>
      <c r="O233" s="579"/>
      <c r="P233" s="1105"/>
      <c r="Q233" s="579"/>
      <c r="R233" s="584" t="s">
        <v>199</v>
      </c>
      <c r="S233" s="584"/>
      <c r="T233" s="584"/>
      <c r="U233" s="1074"/>
      <c r="V233" s="1067"/>
      <c r="W233" s="573"/>
      <c r="X233" s="1075"/>
      <c r="Y233" s="1107"/>
      <c r="Z233" s="1107"/>
      <c r="AA233" s="1370"/>
      <c r="AB233" s="356"/>
      <c r="AJ233" s="356"/>
      <c r="AK233" s="578"/>
      <c r="AL233" s="1553" t="s">
        <v>152</v>
      </c>
      <c r="AM233" s="1545"/>
      <c r="AN233" s="1552" t="s">
        <v>152</v>
      </c>
      <c r="AO233" s="645"/>
      <c r="AP233" s="491" t="s">
        <v>152</v>
      </c>
      <c r="AQ233" s="489"/>
      <c r="AR233" s="1546" t="s">
        <v>152</v>
      </c>
      <c r="AS233" s="489"/>
      <c r="AT233" s="1545" t="s">
        <v>152</v>
      </c>
      <c r="AU233" s="566"/>
      <c r="AV233" s="772"/>
      <c r="AW233" s="1108"/>
      <c r="AX233" s="1867" t="s">
        <v>121</v>
      </c>
      <c r="AY233" s="1867"/>
      <c r="AZ233" s="1920"/>
      <c r="BA233" s="1074"/>
      <c r="BB233" s="1370"/>
      <c r="BC233" s="1370"/>
      <c r="BD233" s="1106"/>
      <c r="BE233" s="1106"/>
      <c r="BF233" s="1073"/>
      <c r="BG233" s="356"/>
      <c r="BH233" s="356"/>
    </row>
    <row r="234" spans="2:60" ht="100" customHeight="1" x14ac:dyDescent="1">
      <c r="B234" s="356"/>
      <c r="C234" s="356"/>
      <c r="D234" s="356"/>
      <c r="E234" s="578"/>
      <c r="F234" s="1875" t="s">
        <v>153</v>
      </c>
      <c r="G234" s="1867"/>
      <c r="H234" s="1869"/>
      <c r="I234" s="1545"/>
      <c r="J234" s="1886" t="s">
        <v>153</v>
      </c>
      <c r="K234" s="1867"/>
      <c r="L234" s="1868"/>
      <c r="M234" s="645"/>
      <c r="N234" s="1545" t="s">
        <v>153</v>
      </c>
      <c r="O234" s="579"/>
      <c r="P234" s="1105"/>
      <c r="Q234" s="579"/>
      <c r="R234" s="584" t="s">
        <v>121</v>
      </c>
      <c r="S234" s="584"/>
      <c r="T234" s="584"/>
      <c r="U234" s="1074"/>
      <c r="V234" s="1067"/>
      <c r="W234" s="573"/>
      <c r="X234" s="1076"/>
      <c r="Y234" s="1107"/>
      <c r="Z234" s="1107"/>
      <c r="AA234" s="1370"/>
      <c r="AB234" s="356"/>
      <c r="AJ234" s="356"/>
      <c r="AK234" s="578"/>
      <c r="AL234" s="1553" t="s">
        <v>153</v>
      </c>
      <c r="AM234" s="1545"/>
      <c r="AN234" s="489" t="s">
        <v>154</v>
      </c>
      <c r="AO234" s="1546"/>
      <c r="AP234" s="491" t="s">
        <v>154</v>
      </c>
      <c r="AQ234" s="489"/>
      <c r="AR234" s="1546" t="s">
        <v>154</v>
      </c>
      <c r="AS234" s="489"/>
      <c r="AT234" s="1545" t="s">
        <v>154</v>
      </c>
      <c r="AU234" s="566"/>
      <c r="AV234" s="2141" t="s">
        <v>208</v>
      </c>
      <c r="AW234" s="1109"/>
      <c r="AX234" s="1940">
        <v>300</v>
      </c>
      <c r="AY234" s="1940"/>
      <c r="AZ234" s="2132"/>
      <c r="BA234" s="1074"/>
      <c r="BB234" s="1370"/>
      <c r="BC234" s="1370"/>
      <c r="BD234" s="1106"/>
      <c r="BE234" s="1106"/>
      <c r="BF234" s="1073"/>
      <c r="BG234" s="356"/>
      <c r="BH234" s="356"/>
    </row>
    <row r="235" spans="2:60" ht="100" customHeight="1" x14ac:dyDescent="1">
      <c r="B235" s="356"/>
      <c r="C235" s="356"/>
      <c r="D235" s="356"/>
      <c r="E235" s="578"/>
      <c r="F235" s="1875" t="s">
        <v>20</v>
      </c>
      <c r="G235" s="1867"/>
      <c r="H235" s="1869"/>
      <c r="I235" s="1545"/>
      <c r="J235" s="1886" t="s">
        <v>125</v>
      </c>
      <c r="K235" s="1867"/>
      <c r="L235" s="1868"/>
      <c r="M235" s="645"/>
      <c r="N235" s="1545" t="s">
        <v>121</v>
      </c>
      <c r="O235" s="1545"/>
      <c r="P235" s="2143" t="s">
        <v>208</v>
      </c>
      <c r="Q235" s="579"/>
      <c r="R235" s="584">
        <v>800</v>
      </c>
      <c r="S235" s="584"/>
      <c r="T235" s="584"/>
      <c r="U235" s="1041"/>
      <c r="V235" s="1067"/>
      <c r="W235" s="573"/>
      <c r="X235" s="1076"/>
      <c r="Y235" s="1107"/>
      <c r="Z235" s="1107"/>
      <c r="AA235" s="1370"/>
      <c r="AB235" s="356"/>
      <c r="AJ235" s="356"/>
      <c r="AK235" s="578"/>
      <c r="AL235" s="1553" t="s">
        <v>121</v>
      </c>
      <c r="AM235" s="1545"/>
      <c r="AN235" s="489" t="s">
        <v>125</v>
      </c>
      <c r="AO235" s="1546"/>
      <c r="AP235" s="491" t="s">
        <v>121</v>
      </c>
      <c r="AQ235" s="489"/>
      <c r="AR235" s="1546" t="s">
        <v>20</v>
      </c>
      <c r="AS235" s="489"/>
      <c r="AT235" s="1554" t="s">
        <v>20</v>
      </c>
      <c r="AU235" s="1546"/>
      <c r="AV235" s="2129"/>
      <c r="AW235" s="579"/>
      <c r="AX235" s="1898" t="s">
        <v>26</v>
      </c>
      <c r="AY235" s="1898"/>
      <c r="AZ235" s="2133"/>
      <c r="BA235" s="1041"/>
      <c r="BB235" s="641"/>
      <c r="BC235" s="356"/>
      <c r="BD235" s="1106"/>
      <c r="BE235" s="1106"/>
      <c r="BF235" s="1073"/>
      <c r="BG235" s="356"/>
      <c r="BH235" s="356"/>
    </row>
    <row r="236" spans="2:60" ht="100" customHeight="1" thickBot="1" x14ac:dyDescent="1.05">
      <c r="B236" s="356"/>
      <c r="C236" s="356"/>
      <c r="D236" s="356"/>
      <c r="E236" s="623"/>
      <c r="F236" s="1871">
        <v>1100</v>
      </c>
      <c r="G236" s="1972"/>
      <c r="H236" s="2022"/>
      <c r="I236" s="1545"/>
      <c r="J236" s="1923">
        <v>1400</v>
      </c>
      <c r="K236" s="1972"/>
      <c r="L236" s="1876"/>
      <c r="M236" s="1545"/>
      <c r="N236" s="1552">
        <v>800</v>
      </c>
      <c r="O236" s="1545"/>
      <c r="P236" s="2144"/>
      <c r="Q236" s="579"/>
      <c r="R236" s="590"/>
      <c r="S236" s="590"/>
      <c r="T236" s="590"/>
      <c r="U236" s="1041"/>
      <c r="V236" s="1067"/>
      <c r="W236" s="573"/>
      <c r="X236" s="573"/>
      <c r="Y236" s="1107"/>
      <c r="Z236" s="1107"/>
      <c r="AA236" s="1370"/>
      <c r="AB236" s="356"/>
      <c r="AJ236" s="356"/>
      <c r="AK236" s="623"/>
      <c r="AL236" s="1553">
        <v>300</v>
      </c>
      <c r="AM236" s="1545"/>
      <c r="AN236" s="489">
        <v>500</v>
      </c>
      <c r="AO236" s="1546"/>
      <c r="AP236" s="491">
        <v>300</v>
      </c>
      <c r="AQ236" s="489"/>
      <c r="AR236" s="1546">
        <v>450</v>
      </c>
      <c r="AS236" s="489"/>
      <c r="AT236" s="1572">
        <v>450</v>
      </c>
      <c r="AU236" s="1546"/>
      <c r="AV236" s="2129"/>
      <c r="AW236" s="579"/>
      <c r="AX236" s="1867" t="s">
        <v>20</v>
      </c>
      <c r="AY236" s="1867"/>
      <c r="AZ236" s="1920"/>
      <c r="BA236" s="1041"/>
      <c r="BB236" s="641"/>
      <c r="BC236" s="1370"/>
      <c r="BD236" s="1106"/>
      <c r="BE236" s="1106"/>
      <c r="BF236" s="1073"/>
      <c r="BG236" s="356"/>
      <c r="BH236" s="356"/>
    </row>
    <row r="237" spans="2:60" ht="100" customHeight="1" thickTop="1" thickBot="1" x14ac:dyDescent="1.05">
      <c r="B237" s="356"/>
      <c r="C237" s="356"/>
      <c r="D237" s="356"/>
      <c r="E237" s="578"/>
      <c r="F237" s="386"/>
      <c r="G237" s="386"/>
      <c r="H237" s="390"/>
      <c r="I237" s="386"/>
      <c r="J237" s="592"/>
      <c r="K237" s="593"/>
      <c r="L237" s="594"/>
      <c r="M237" s="386"/>
      <c r="N237" s="484"/>
      <c r="O237" s="386"/>
      <c r="P237" s="2144"/>
      <c r="Q237" s="1110"/>
      <c r="R237" s="579"/>
      <c r="S237" s="579"/>
      <c r="T237" s="579"/>
      <c r="U237" s="578"/>
      <c r="V237" s="1067"/>
      <c r="W237" s="573"/>
      <c r="X237" s="573"/>
      <c r="Y237" s="573"/>
      <c r="Z237" s="1370"/>
      <c r="AA237" s="1370"/>
      <c r="AB237" s="356"/>
      <c r="AJ237" s="356"/>
      <c r="AK237" s="578"/>
      <c r="AL237" s="482"/>
      <c r="AM237" s="386"/>
      <c r="AN237" s="481"/>
      <c r="AO237" s="390"/>
      <c r="AP237" s="483"/>
      <c r="AQ237" s="386"/>
      <c r="AR237" s="386"/>
      <c r="AS237" s="484"/>
      <c r="AT237" s="386"/>
      <c r="AU237" s="390"/>
      <c r="AV237" s="2129"/>
      <c r="AW237" s="579"/>
      <c r="AX237" s="1940">
        <v>450</v>
      </c>
      <c r="AY237" s="1940"/>
      <c r="AZ237" s="2132"/>
      <c r="BA237" s="578"/>
      <c r="BB237" s="641"/>
      <c r="BC237" s="1370"/>
      <c r="BD237" s="1106"/>
      <c r="BE237" s="1106"/>
      <c r="BF237" s="1073"/>
      <c r="BG237" s="356"/>
      <c r="BH237" s="356"/>
    </row>
    <row r="238" spans="2:60" ht="100" customHeight="1" thickTop="1" thickBot="1" x14ac:dyDescent="1.05">
      <c r="B238" s="356"/>
      <c r="C238" s="356"/>
      <c r="D238" s="356"/>
      <c r="E238" s="578"/>
      <c r="F238" s="386"/>
      <c r="G238" s="386"/>
      <c r="H238" s="390"/>
      <c r="I238" s="484"/>
      <c r="J238" s="386"/>
      <c r="K238" s="386"/>
      <c r="L238" s="386"/>
      <c r="M238" s="386"/>
      <c r="N238" s="1111"/>
      <c r="O238" s="386"/>
      <c r="P238" s="2144"/>
      <c r="Q238" s="579"/>
      <c r="R238" s="602" t="s">
        <v>199</v>
      </c>
      <c r="S238" s="602"/>
      <c r="T238" s="602"/>
      <c r="U238" s="1041"/>
      <c r="V238" s="1067"/>
      <c r="W238" s="573"/>
      <c r="X238" s="1370"/>
      <c r="Y238" s="573"/>
      <c r="Z238" s="356"/>
      <c r="AA238" s="356"/>
      <c r="AB238" s="356"/>
      <c r="AJ238" s="356"/>
      <c r="AK238" s="623"/>
      <c r="AL238" s="1112"/>
      <c r="AM238" s="464"/>
      <c r="AN238" s="1111"/>
      <c r="AO238" s="1081"/>
      <c r="AP238" s="1083"/>
      <c r="AQ238" s="461"/>
      <c r="AR238" s="461"/>
      <c r="AS238" s="1111"/>
      <c r="AT238" s="461"/>
      <c r="AU238" s="464"/>
      <c r="AV238" s="2129"/>
      <c r="AW238" s="1095"/>
      <c r="AX238" s="1898" t="s">
        <v>26</v>
      </c>
      <c r="AY238" s="1898"/>
      <c r="AZ238" s="2133"/>
      <c r="BA238" s="1041"/>
      <c r="BB238" s="641"/>
      <c r="BC238" s="356"/>
      <c r="BD238" s="1106"/>
      <c r="BE238" s="1106"/>
      <c r="BF238" s="1073"/>
      <c r="BG238" s="356"/>
      <c r="BH238" s="356"/>
    </row>
    <row r="239" spans="2:60" ht="100" customHeight="1" thickTop="1" x14ac:dyDescent="1">
      <c r="B239" s="356"/>
      <c r="C239" s="356"/>
      <c r="D239" s="356"/>
      <c r="E239" s="601"/>
      <c r="F239" s="2035" t="s">
        <v>209</v>
      </c>
      <c r="G239" s="2036"/>
      <c r="H239" s="2036"/>
      <c r="I239" s="2036"/>
      <c r="J239" s="2036"/>
      <c r="K239" s="2036"/>
      <c r="L239" s="2036"/>
      <c r="M239" s="2036"/>
      <c r="N239" s="2036"/>
      <c r="O239" s="2134"/>
      <c r="P239" s="2144"/>
      <c r="Q239" s="579"/>
      <c r="R239" s="607" t="s">
        <v>121</v>
      </c>
      <c r="S239" s="607"/>
      <c r="T239" s="607"/>
      <c r="U239" s="1041"/>
      <c r="V239" s="1067"/>
      <c r="W239" s="573"/>
      <c r="X239" s="1072"/>
      <c r="Y239" s="1370"/>
      <c r="Z239" s="1370"/>
      <c r="AA239" s="1370"/>
      <c r="AB239" s="356"/>
      <c r="AJ239" s="356"/>
      <c r="AK239" s="601"/>
      <c r="AL239" s="2035" t="s">
        <v>209</v>
      </c>
      <c r="AM239" s="2036"/>
      <c r="AN239" s="2036"/>
      <c r="AO239" s="2036"/>
      <c r="AP239" s="2036"/>
      <c r="AQ239" s="2036"/>
      <c r="AR239" s="2036"/>
      <c r="AS239" s="2036"/>
      <c r="AT239" s="2036"/>
      <c r="AU239" s="2036"/>
      <c r="AV239" s="2129"/>
      <c r="AW239" s="579"/>
      <c r="AX239" s="1867" t="s">
        <v>121</v>
      </c>
      <c r="AY239" s="1867"/>
      <c r="AZ239" s="1920"/>
      <c r="BA239" s="1041"/>
      <c r="BB239" s="641"/>
      <c r="BC239" s="1370"/>
      <c r="BD239" s="1106"/>
      <c r="BE239" s="1106"/>
      <c r="BF239" s="1073"/>
      <c r="BG239" s="356"/>
      <c r="BH239" s="356"/>
    </row>
    <row r="240" spans="2:60" ht="100" customHeight="1" thickBot="1" x14ac:dyDescent="1.05">
      <c r="B240" s="356"/>
      <c r="C240" s="356"/>
      <c r="D240" s="356"/>
      <c r="E240" s="1048"/>
      <c r="F240" s="2037"/>
      <c r="G240" s="2038"/>
      <c r="H240" s="2038"/>
      <c r="I240" s="2038"/>
      <c r="J240" s="2038"/>
      <c r="K240" s="2038"/>
      <c r="L240" s="2038"/>
      <c r="M240" s="2038"/>
      <c r="N240" s="2038"/>
      <c r="O240" s="2135"/>
      <c r="P240" s="2144"/>
      <c r="Q240" s="579"/>
      <c r="R240" s="602">
        <v>800</v>
      </c>
      <c r="S240" s="602"/>
      <c r="T240" s="602"/>
      <c r="U240" s="1074"/>
      <c r="V240" s="1067"/>
      <c r="W240" s="573"/>
      <c r="X240" s="1089"/>
      <c r="Y240" s="1370"/>
      <c r="Z240" s="1370"/>
      <c r="AA240" s="1370"/>
      <c r="AB240" s="356"/>
      <c r="AH240" s="408"/>
      <c r="AJ240" s="356"/>
      <c r="AK240" s="1048"/>
      <c r="AL240" s="2037"/>
      <c r="AM240" s="2038"/>
      <c r="AN240" s="2038"/>
      <c r="AO240" s="2038"/>
      <c r="AP240" s="2038"/>
      <c r="AQ240" s="2038"/>
      <c r="AR240" s="2038"/>
      <c r="AS240" s="2038"/>
      <c r="AT240" s="2038"/>
      <c r="AU240" s="2038"/>
      <c r="AV240" s="2129"/>
      <c r="AW240" s="1109"/>
      <c r="AX240" s="1940">
        <v>300</v>
      </c>
      <c r="AY240" s="1940"/>
      <c r="AZ240" s="2132"/>
      <c r="BA240" s="1074"/>
      <c r="BB240" s="641"/>
      <c r="BC240" s="1370"/>
      <c r="BD240" s="1106"/>
      <c r="BE240" s="1106"/>
      <c r="BF240" s="1073"/>
      <c r="BG240" s="356"/>
      <c r="BH240" s="356"/>
    </row>
    <row r="241" spans="2:60" ht="100" customHeight="1" thickTop="1" thickBot="1" x14ac:dyDescent="1.05">
      <c r="B241" s="356"/>
      <c r="C241" s="356"/>
      <c r="D241" s="356"/>
      <c r="E241" s="577"/>
      <c r="F241" s="452"/>
      <c r="G241" s="452"/>
      <c r="H241" s="456"/>
      <c r="I241" s="452"/>
      <c r="J241" s="452"/>
      <c r="K241" s="452"/>
      <c r="L241" s="452"/>
      <c r="M241" s="452"/>
      <c r="N241" s="609"/>
      <c r="O241" s="452"/>
      <c r="P241" s="2144"/>
      <c r="Q241" s="1472"/>
      <c r="R241" s="590"/>
      <c r="S241" s="590"/>
      <c r="T241" s="590"/>
      <c r="U241" s="1041"/>
      <c r="V241" s="1067"/>
      <c r="W241" s="573"/>
      <c r="X241" s="1072"/>
      <c r="Y241" s="573"/>
      <c r="Z241" s="573"/>
      <c r="AA241" s="1370"/>
      <c r="AB241" s="356"/>
      <c r="AH241" s="408"/>
      <c r="AJ241" s="356"/>
      <c r="AK241" s="574"/>
      <c r="AL241" s="452"/>
      <c r="AM241" s="609"/>
      <c r="AN241" s="386"/>
      <c r="AO241" s="386"/>
      <c r="AP241" s="1094"/>
      <c r="AQ241" s="386"/>
      <c r="AR241" s="386"/>
      <c r="AS241" s="609"/>
      <c r="AT241" s="386"/>
      <c r="AU241" s="456"/>
      <c r="AV241" s="2129"/>
      <c r="AW241" s="579"/>
      <c r="AX241" s="1898" t="s">
        <v>26</v>
      </c>
      <c r="AY241" s="1898"/>
      <c r="AZ241" s="2133"/>
      <c r="BA241" s="1041"/>
      <c r="BB241" s="641"/>
      <c r="BC241" s="1370"/>
      <c r="BD241" s="1106"/>
      <c r="BE241" s="1106"/>
      <c r="BF241" s="1073"/>
      <c r="BG241" s="356"/>
      <c r="BH241" s="356"/>
    </row>
    <row r="242" spans="2:60" ht="100" customHeight="1" thickTop="1" thickBot="1" x14ac:dyDescent="1.05">
      <c r="B242" s="356"/>
      <c r="C242" s="356"/>
      <c r="D242" s="356"/>
      <c r="E242" s="577"/>
      <c r="F242" s="1545"/>
      <c r="G242" s="1545"/>
      <c r="H242" s="1546"/>
      <c r="I242" s="1545"/>
      <c r="J242" s="1545"/>
      <c r="K242" s="1545"/>
      <c r="L242" s="579"/>
      <c r="M242" s="566"/>
      <c r="N242" s="579"/>
      <c r="O242" s="579"/>
      <c r="P242" s="2144"/>
      <c r="Q242" s="1468"/>
      <c r="R242" s="579"/>
      <c r="S242" s="579"/>
      <c r="T242" s="1471"/>
      <c r="U242" s="1041"/>
      <c r="V242" s="1067"/>
      <c r="W242" s="573"/>
      <c r="X242" s="573"/>
      <c r="Y242" s="641"/>
      <c r="Z242" s="641"/>
      <c r="AA242" s="1370"/>
      <c r="AB242" s="356"/>
      <c r="AJ242" s="356"/>
      <c r="AK242" s="577"/>
      <c r="AL242" s="1546" t="s">
        <v>152</v>
      </c>
      <c r="AM242" s="489"/>
      <c r="AN242" s="1554" t="s">
        <v>152</v>
      </c>
      <c r="AO242" s="1546"/>
      <c r="AP242" s="491" t="s">
        <v>152</v>
      </c>
      <c r="AQ242" s="489"/>
      <c r="AR242" s="1546" t="s">
        <v>152</v>
      </c>
      <c r="AS242" s="489"/>
      <c r="AT242" s="1545" t="s">
        <v>152</v>
      </c>
      <c r="AU242" s="930"/>
      <c r="AV242" s="2129"/>
      <c r="AW242" s="1113"/>
      <c r="AX242" s="1867" t="s">
        <v>125</v>
      </c>
      <c r="AY242" s="1867"/>
      <c r="AZ242" s="1920"/>
      <c r="BA242" s="1041"/>
      <c r="BB242" s="641"/>
      <c r="BC242" s="356"/>
      <c r="BD242" s="1106"/>
      <c r="BE242" s="1106"/>
      <c r="BF242" s="1073"/>
      <c r="BG242" s="356"/>
      <c r="BH242" s="356"/>
    </row>
    <row r="243" spans="2:60" ht="100" customHeight="1" thickTop="1" x14ac:dyDescent="1">
      <c r="B243" s="356"/>
      <c r="C243" s="356"/>
      <c r="D243" s="356"/>
      <c r="E243" s="578"/>
      <c r="F243" s="1875" t="s">
        <v>132</v>
      </c>
      <c r="G243" s="1867"/>
      <c r="H243" s="1869"/>
      <c r="I243" s="489"/>
      <c r="J243" s="1886" t="s">
        <v>132</v>
      </c>
      <c r="K243" s="1867"/>
      <c r="L243" s="1874"/>
      <c r="M243" s="930"/>
      <c r="N243" s="1552" t="s">
        <v>132</v>
      </c>
      <c r="O243" s="386"/>
      <c r="P243" s="2144"/>
      <c r="Q243" s="1473"/>
      <c r="R243" s="1470"/>
      <c r="S243" s="1470"/>
      <c r="T243" s="579"/>
      <c r="U243" s="1041"/>
      <c r="V243" s="1067"/>
      <c r="W243" s="573"/>
      <c r="X243" s="573"/>
      <c r="Y243" s="1114"/>
      <c r="Z243" s="573"/>
      <c r="AA243" s="1370"/>
      <c r="AB243" s="356"/>
      <c r="AJ243" s="356"/>
      <c r="AK243" s="578"/>
      <c r="AL243" s="1546" t="s">
        <v>153</v>
      </c>
      <c r="AM243" s="489"/>
      <c r="AN243" s="1554" t="s">
        <v>154</v>
      </c>
      <c r="AO243" s="1546"/>
      <c r="AP243" s="491" t="s">
        <v>154</v>
      </c>
      <c r="AQ243" s="489"/>
      <c r="AR243" s="1546" t="s">
        <v>154</v>
      </c>
      <c r="AS243" s="489"/>
      <c r="AT243" s="1545" t="s">
        <v>154</v>
      </c>
      <c r="AU243" s="930"/>
      <c r="AV243" s="2129"/>
      <c r="AW243" s="579"/>
      <c r="AX243" s="1867">
        <v>500</v>
      </c>
      <c r="AY243" s="1867"/>
      <c r="AZ243" s="1920"/>
      <c r="BA243" s="1041"/>
      <c r="BB243" s="641"/>
      <c r="BC243" s="356"/>
      <c r="BD243" s="1106"/>
      <c r="BE243" s="1106"/>
      <c r="BF243" s="356"/>
      <c r="BG243" s="356"/>
      <c r="BH243" s="356"/>
    </row>
    <row r="244" spans="2:60" ht="100" customHeight="1" thickBot="1" x14ac:dyDescent="1.05">
      <c r="B244" s="356"/>
      <c r="C244" s="356"/>
      <c r="D244" s="356"/>
      <c r="E244" s="578"/>
      <c r="F244" s="1875" t="s">
        <v>153</v>
      </c>
      <c r="G244" s="1867"/>
      <c r="H244" s="1869"/>
      <c r="I244" s="489"/>
      <c r="J244" s="1886" t="s">
        <v>153</v>
      </c>
      <c r="K244" s="1867"/>
      <c r="L244" s="1874"/>
      <c r="M244" s="930"/>
      <c r="N244" s="1545" t="s">
        <v>153</v>
      </c>
      <c r="O244" s="579"/>
      <c r="P244" s="2144"/>
      <c r="Q244" s="579"/>
      <c r="R244" s="602" t="s">
        <v>199</v>
      </c>
      <c r="S244" s="602"/>
      <c r="T244" s="602"/>
      <c r="U244" s="1041"/>
      <c r="V244" s="1067"/>
      <c r="W244" s="573"/>
      <c r="X244" s="1072"/>
      <c r="Y244" s="573"/>
      <c r="Z244" s="573"/>
      <c r="AA244" s="1370"/>
      <c r="AB244" s="356"/>
      <c r="AJ244" s="356"/>
      <c r="AK244" s="623"/>
      <c r="AL244" s="1546" t="s">
        <v>121</v>
      </c>
      <c r="AM244" s="489"/>
      <c r="AN244" s="1554" t="s">
        <v>125</v>
      </c>
      <c r="AO244" s="1546"/>
      <c r="AP244" s="491" t="s">
        <v>121</v>
      </c>
      <c r="AQ244" s="489"/>
      <c r="AR244" s="1546" t="s">
        <v>20</v>
      </c>
      <c r="AS244" s="489"/>
      <c r="AT244" s="1554" t="s">
        <v>20</v>
      </c>
      <c r="AU244" s="1546"/>
      <c r="AV244" s="2129"/>
      <c r="AW244" s="1109"/>
      <c r="AX244" s="387"/>
      <c r="AY244" s="387"/>
      <c r="AZ244" s="387"/>
      <c r="BA244" s="1041"/>
      <c r="BB244" s="641"/>
      <c r="BC244" s="1370"/>
      <c r="BD244" s="1106"/>
      <c r="BE244" s="1106"/>
      <c r="BF244" s="1370"/>
      <c r="BG244" s="356"/>
      <c r="BH244" s="356"/>
    </row>
    <row r="245" spans="2:60" ht="100" customHeight="1" thickTop="1" x14ac:dyDescent="1">
      <c r="B245" s="356"/>
      <c r="C245" s="356"/>
      <c r="D245" s="356"/>
      <c r="E245" s="577"/>
      <c r="F245" s="1875" t="s">
        <v>20</v>
      </c>
      <c r="G245" s="1867"/>
      <c r="H245" s="1869"/>
      <c r="I245" s="489"/>
      <c r="J245" s="1886" t="s">
        <v>125</v>
      </c>
      <c r="K245" s="1867"/>
      <c r="L245" s="1874"/>
      <c r="M245" s="930"/>
      <c r="N245" s="1545" t="s">
        <v>121</v>
      </c>
      <c r="O245" s="386"/>
      <c r="P245" s="2145"/>
      <c r="Q245" s="579"/>
      <c r="R245" s="602" t="s">
        <v>20</v>
      </c>
      <c r="S245" s="602"/>
      <c r="T245" s="602"/>
      <c r="U245" s="1074"/>
      <c r="V245" s="1067"/>
      <c r="W245" s="573"/>
      <c r="X245" s="1072"/>
      <c r="Y245" s="573"/>
      <c r="Z245" s="1370"/>
      <c r="AA245" s="1370"/>
      <c r="AB245" s="356"/>
      <c r="AJ245" s="356"/>
      <c r="AK245" s="578"/>
      <c r="AL245" s="1546">
        <v>300</v>
      </c>
      <c r="AM245" s="489"/>
      <c r="AN245" s="1554">
        <v>500</v>
      </c>
      <c r="AO245" s="1546"/>
      <c r="AP245" s="491">
        <v>300</v>
      </c>
      <c r="AQ245" s="489"/>
      <c r="AR245" s="1546">
        <v>450</v>
      </c>
      <c r="AS245" s="489"/>
      <c r="AT245" s="1572">
        <v>450</v>
      </c>
      <c r="AU245" s="1546"/>
      <c r="AV245" s="2142"/>
      <c r="AW245" s="579"/>
      <c r="AX245" s="1898" t="s">
        <v>26</v>
      </c>
      <c r="AY245" s="1898"/>
      <c r="AZ245" s="2133"/>
      <c r="BA245" s="1074"/>
      <c r="BB245" s="641"/>
      <c r="BC245" s="1370"/>
      <c r="BD245" s="1106"/>
      <c r="BE245" s="1106"/>
      <c r="BF245" s="1073"/>
      <c r="BG245" s="356"/>
      <c r="BH245" s="356"/>
    </row>
    <row r="246" spans="2:60" ht="100" customHeight="1" thickBot="1" x14ac:dyDescent="1.05">
      <c r="B246" s="356"/>
      <c r="C246" s="356"/>
      <c r="D246" s="356"/>
      <c r="E246" s="578"/>
      <c r="F246" s="1871">
        <v>1100</v>
      </c>
      <c r="G246" s="1972"/>
      <c r="H246" s="2022"/>
      <c r="I246" s="489"/>
      <c r="J246" s="1923">
        <v>1400</v>
      </c>
      <c r="K246" s="1972"/>
      <c r="L246" s="1873"/>
      <c r="M246" s="1545"/>
      <c r="N246" s="1552">
        <v>800</v>
      </c>
      <c r="O246" s="386"/>
      <c r="P246" s="1115"/>
      <c r="Q246" s="1108"/>
      <c r="R246" s="621">
        <v>1100</v>
      </c>
      <c r="S246" s="621"/>
      <c r="T246" s="621"/>
      <c r="U246" s="1041"/>
      <c r="V246" s="1067"/>
      <c r="W246" s="573"/>
      <c r="X246" s="1098"/>
      <c r="Y246" s="573"/>
      <c r="Z246" s="1370"/>
      <c r="AA246" s="1370"/>
      <c r="AB246" s="356"/>
      <c r="AD246" s="358"/>
      <c r="AE246" s="358"/>
      <c r="AJ246" s="356"/>
      <c r="AK246" s="578"/>
      <c r="AL246" s="390"/>
      <c r="AM246" s="481"/>
      <c r="AN246" s="541"/>
      <c r="AO246" s="390"/>
      <c r="AP246" s="483"/>
      <c r="AQ246" s="481"/>
      <c r="AR246" s="390"/>
      <c r="AS246" s="481"/>
      <c r="AT246" s="1058"/>
      <c r="AU246" s="543"/>
      <c r="AV246" s="1105"/>
      <c r="AW246" s="579"/>
      <c r="AX246" s="1867" t="s">
        <v>121</v>
      </c>
      <c r="AY246" s="1867"/>
      <c r="AZ246" s="1920"/>
      <c r="BA246" s="1041"/>
      <c r="BB246" s="641"/>
      <c r="BC246" s="1370"/>
      <c r="BD246" s="1106"/>
      <c r="BE246" s="1106"/>
      <c r="BF246" s="1073"/>
      <c r="BG246" s="356"/>
      <c r="BH246" s="356"/>
    </row>
    <row r="247" spans="2:60" ht="100" customHeight="1" thickTop="1" thickBot="1" x14ac:dyDescent="1.05">
      <c r="B247" s="356"/>
      <c r="C247" s="356"/>
      <c r="D247" s="356"/>
      <c r="E247" s="574"/>
      <c r="F247" s="386"/>
      <c r="G247" s="386"/>
      <c r="H247" s="390"/>
      <c r="I247" s="386"/>
      <c r="J247" s="386"/>
      <c r="K247" s="386"/>
      <c r="L247" s="386"/>
      <c r="M247" s="556"/>
      <c r="N247" s="386"/>
      <c r="O247" s="386"/>
      <c r="P247" s="1103"/>
      <c r="Q247" s="1108"/>
      <c r="R247" s="727"/>
      <c r="S247" s="727"/>
      <c r="T247" s="727"/>
      <c r="U247" s="578"/>
      <c r="V247" s="1067"/>
      <c r="W247" s="573"/>
      <c r="X247" s="1073"/>
      <c r="Y247" s="573"/>
      <c r="Z247" s="573"/>
      <c r="AA247" s="1370"/>
      <c r="AB247" s="356"/>
      <c r="AJ247" s="356"/>
      <c r="AK247" s="623"/>
      <c r="AL247" s="390"/>
      <c r="AM247" s="481"/>
      <c r="AN247" s="541"/>
      <c r="AO247" s="390"/>
      <c r="AP247" s="483"/>
      <c r="AQ247" s="386"/>
      <c r="AR247" s="957"/>
      <c r="AS247" s="386"/>
      <c r="AT247" s="386"/>
      <c r="AU247" s="386"/>
      <c r="AV247" s="1105"/>
      <c r="AW247" s="1108"/>
      <c r="AX247" s="1894">
        <v>300</v>
      </c>
      <c r="AY247" s="1894"/>
      <c r="AZ247" s="2140"/>
      <c r="BA247" s="623"/>
      <c r="BB247" s="641"/>
      <c r="BC247" s="1370"/>
      <c r="BD247" s="1106"/>
      <c r="BE247" s="1106"/>
      <c r="BF247" s="1073"/>
      <c r="BG247" s="356"/>
      <c r="BH247" s="356"/>
    </row>
    <row r="248" spans="2:60" ht="10" customHeight="1" thickTop="1" thickBot="1" x14ac:dyDescent="1.05">
      <c r="B248" s="356"/>
      <c r="C248" s="356"/>
      <c r="D248" s="356"/>
      <c r="E248" s="574"/>
      <c r="F248" s="575"/>
      <c r="G248" s="561"/>
      <c r="H248" s="561"/>
      <c r="I248" s="561"/>
      <c r="J248" s="561"/>
      <c r="K248" s="561"/>
      <c r="L248" s="561"/>
      <c r="M248" s="561"/>
      <c r="N248" s="561"/>
      <c r="O248" s="561"/>
      <c r="P248" s="561"/>
      <c r="Q248" s="561"/>
      <c r="R248" s="561"/>
      <c r="S248" s="561"/>
      <c r="T248" s="561"/>
      <c r="U248" s="574"/>
      <c r="V248" s="1067"/>
      <c r="W248" s="573"/>
      <c r="X248" s="573"/>
      <c r="Y248" s="573"/>
      <c r="Z248" s="573"/>
      <c r="AA248" s="1370"/>
      <c r="AB248" s="356"/>
      <c r="AJ248" s="356"/>
      <c r="AK248" s="623"/>
      <c r="AL248" s="575"/>
      <c r="AM248" s="561"/>
      <c r="AN248" s="561"/>
      <c r="AO248" s="561"/>
      <c r="AP248" s="561"/>
      <c r="AQ248" s="561"/>
      <c r="AR248" s="561"/>
      <c r="AS248" s="561"/>
      <c r="AT248" s="561"/>
      <c r="AU248" s="561"/>
      <c r="AV248" s="561"/>
      <c r="AW248" s="561"/>
      <c r="AX248" s="561"/>
      <c r="AY248" s="561"/>
      <c r="AZ248" s="561"/>
      <c r="BA248" s="576"/>
      <c r="BB248" s="641"/>
      <c r="BC248" s="356"/>
      <c r="BD248" s="1106"/>
      <c r="BE248" s="1106"/>
      <c r="BF248" s="1073"/>
      <c r="BG248" s="356"/>
      <c r="BH248" s="356"/>
    </row>
    <row r="249" spans="2:60" ht="100" customHeight="1" thickTop="1" x14ac:dyDescent="1">
      <c r="B249" s="356"/>
      <c r="C249" s="356"/>
      <c r="D249" s="356"/>
      <c r="E249" s="571"/>
      <c r="F249" s="356"/>
      <c r="G249" s="356"/>
      <c r="H249" s="356"/>
      <c r="I249" s="356"/>
      <c r="J249" s="356"/>
      <c r="K249" s="356"/>
      <c r="L249" s="356"/>
      <c r="M249" s="356"/>
      <c r="N249" s="356"/>
      <c r="O249" s="356"/>
      <c r="P249" s="356"/>
      <c r="Q249" s="356"/>
      <c r="R249" s="356"/>
      <c r="S249" s="356"/>
      <c r="T249" s="356"/>
      <c r="U249" s="356"/>
      <c r="V249" s="1067"/>
      <c r="W249" s="573"/>
      <c r="X249" s="1073"/>
      <c r="Y249" s="1073"/>
      <c r="Z249" s="1073"/>
      <c r="AA249" s="1370"/>
      <c r="AB249" s="356"/>
      <c r="AJ249" s="356"/>
      <c r="AK249" s="356"/>
      <c r="AL249" s="1370"/>
      <c r="AM249" s="1370"/>
      <c r="AN249" s="1370"/>
      <c r="AO249" s="1370"/>
      <c r="AP249" s="1370"/>
      <c r="AQ249" s="1370"/>
      <c r="AR249" s="1370"/>
      <c r="AS249" s="1370"/>
      <c r="AT249" s="356"/>
      <c r="AU249" s="356"/>
      <c r="AV249" s="356"/>
      <c r="AW249" s="356"/>
      <c r="AX249" s="356"/>
      <c r="AY249" s="356"/>
      <c r="AZ249" s="1370"/>
      <c r="BA249" s="1370"/>
      <c r="BB249" s="356"/>
      <c r="BC249" s="356"/>
      <c r="BD249" s="1106"/>
      <c r="BE249" s="1106"/>
      <c r="BF249" s="1073"/>
      <c r="BG249" s="356"/>
      <c r="BH249" s="356"/>
    </row>
    <row r="250" spans="2:60" ht="340" customHeight="1" x14ac:dyDescent="1"/>
    <row r="251" spans="2:60" s="1426" customFormat="1" ht="190" customHeight="1" x14ac:dyDescent="1.2">
      <c r="C251" s="1431"/>
      <c r="F251" s="1457" t="s">
        <v>150</v>
      </c>
      <c r="G251" s="1457"/>
      <c r="H251" s="1435"/>
      <c r="I251" s="1435"/>
      <c r="J251" s="1435"/>
      <c r="K251" s="1435"/>
      <c r="L251" s="1435"/>
      <c r="M251" s="1435"/>
      <c r="N251" s="1435"/>
      <c r="O251" s="1435"/>
      <c r="P251" s="1435"/>
      <c r="Q251" s="1435"/>
      <c r="R251" s="1435"/>
      <c r="S251" s="1435"/>
      <c r="T251" s="1435"/>
      <c r="U251" s="1435"/>
      <c r="V251" s="1435"/>
      <c r="W251" s="1435"/>
      <c r="X251" s="1435"/>
      <c r="Y251" s="1435"/>
      <c r="Z251" s="1435"/>
      <c r="AA251" s="1435"/>
      <c r="AB251" s="1435"/>
      <c r="AC251" s="1435"/>
      <c r="AD251" s="1435"/>
      <c r="AE251" s="1435"/>
      <c r="AF251" s="1435"/>
      <c r="AG251" s="1435"/>
      <c r="AH251" s="1435"/>
      <c r="AI251" s="1435"/>
      <c r="AJ251" s="1435"/>
      <c r="AK251" s="1435"/>
      <c r="AL251" s="1435"/>
      <c r="AM251" s="1435"/>
      <c r="AN251" s="1435"/>
      <c r="AO251" s="1435"/>
      <c r="AP251" s="1435"/>
      <c r="AQ251" s="1435"/>
      <c r="AR251" s="1435"/>
      <c r="AS251" s="1435"/>
      <c r="AT251" s="1435"/>
      <c r="AU251" s="1435"/>
      <c r="AV251" s="1435"/>
      <c r="AW251" s="1435"/>
      <c r="AX251" s="1435"/>
      <c r="AY251" s="1435"/>
      <c r="AZ251" s="1435"/>
      <c r="BA251" s="1435"/>
      <c r="BB251" s="1435"/>
      <c r="BC251" s="1435"/>
      <c r="BD251" s="1435"/>
      <c r="BE251" s="1435"/>
      <c r="BF251" s="1435"/>
      <c r="BG251" s="1435"/>
      <c r="BH251" s="1435"/>
    </row>
    <row r="252" spans="2:60" s="1429" customFormat="1" ht="100" customHeight="1" x14ac:dyDescent="1.2">
      <c r="C252" s="1432"/>
      <c r="F252" s="1458"/>
      <c r="G252" s="1458"/>
    </row>
    <row r="253" spans="2:60" s="1429" customFormat="1" ht="100" customHeight="1" x14ac:dyDescent="1.2">
      <c r="C253" s="1432"/>
      <c r="F253" s="1459" t="s">
        <v>231</v>
      </c>
      <c r="G253" s="1459"/>
      <c r="I253" s="1426"/>
      <c r="J253" s="1426" t="s">
        <v>232</v>
      </c>
      <c r="K253" s="1426"/>
      <c r="L253" s="1426"/>
      <c r="M253" s="1426"/>
      <c r="N253" s="1426"/>
      <c r="O253" s="1426"/>
      <c r="P253" s="1426"/>
      <c r="Q253" s="1426"/>
      <c r="R253" s="1426"/>
      <c r="S253" s="1426"/>
      <c r="T253" s="1426"/>
      <c r="U253" s="1426"/>
      <c r="V253" s="1426"/>
      <c r="W253" s="1426"/>
      <c r="X253" s="1426"/>
      <c r="Y253" s="1426"/>
      <c r="Z253" s="1426"/>
      <c r="AA253" s="1426"/>
      <c r="AB253" s="1426"/>
      <c r="AC253" s="1426"/>
      <c r="AD253" s="1426"/>
      <c r="AE253" s="1426"/>
      <c r="AF253" s="1426"/>
      <c r="AG253" s="1426"/>
      <c r="AH253" s="1426"/>
      <c r="AI253" s="1426"/>
      <c r="AJ253" s="1426"/>
      <c r="AK253" s="1426"/>
      <c r="AL253" s="1426"/>
      <c r="AM253" s="1426"/>
      <c r="AN253" s="1426"/>
      <c r="AO253" s="1426"/>
      <c r="AP253" s="1426"/>
      <c r="AQ253" s="1426"/>
      <c r="AR253" s="1426"/>
      <c r="AS253" s="1426"/>
    </row>
    <row r="254" spans="2:60" s="1429" customFormat="1" ht="100" customHeight="1" x14ac:dyDescent="1.2">
      <c r="C254" s="1432"/>
      <c r="F254" s="1459"/>
      <c r="G254" s="1459"/>
      <c r="I254" s="1426"/>
      <c r="J254" s="1431" t="s">
        <v>233</v>
      </c>
      <c r="K254" s="1426"/>
      <c r="L254" s="1426"/>
      <c r="M254" s="1426"/>
      <c r="N254" s="1426"/>
      <c r="O254" s="1426"/>
      <c r="P254" s="1426"/>
      <c r="Q254" s="1426"/>
      <c r="R254" s="1426"/>
      <c r="S254" s="1426"/>
      <c r="T254" s="1426"/>
      <c r="U254" s="1426"/>
      <c r="V254" s="1426"/>
      <c r="W254" s="1426"/>
      <c r="X254" s="1426"/>
      <c r="Y254" s="1426"/>
      <c r="Z254" s="1426"/>
      <c r="AA254" s="1426"/>
      <c r="AB254" s="1426"/>
      <c r="AC254" s="1426"/>
      <c r="AD254" s="1426"/>
      <c r="AE254" s="1426"/>
      <c r="AF254" s="1426"/>
      <c r="AG254" s="1426"/>
      <c r="AH254" s="1426"/>
      <c r="AI254" s="1426"/>
      <c r="AJ254" s="1426"/>
      <c r="AK254" s="1426"/>
      <c r="AL254" s="1426"/>
      <c r="AM254" s="1426"/>
      <c r="AN254" s="1426"/>
      <c r="AO254" s="1426"/>
      <c r="AP254" s="1426"/>
      <c r="AQ254" s="1426"/>
      <c r="AR254" s="1426"/>
      <c r="AS254" s="1426"/>
    </row>
    <row r="255" spans="2:60" s="1429" customFormat="1" ht="100" customHeight="1" x14ac:dyDescent="1.2">
      <c r="C255" s="1432"/>
      <c r="F255" s="1459"/>
      <c r="G255" s="1459"/>
      <c r="I255" s="1426"/>
      <c r="J255" s="1431"/>
      <c r="K255" s="1426"/>
      <c r="L255" s="1426"/>
      <c r="M255" s="1426"/>
      <c r="N255" s="1426"/>
      <c r="O255" s="1426"/>
      <c r="P255" s="1426"/>
      <c r="Q255" s="1426"/>
      <c r="R255" s="1426"/>
      <c r="S255" s="1426"/>
      <c r="T255" s="1426"/>
      <c r="U255" s="1426"/>
      <c r="V255" s="1426"/>
      <c r="W255" s="1426"/>
      <c r="X255" s="1426"/>
      <c r="Y255" s="1426"/>
      <c r="Z255" s="1426"/>
      <c r="AA255" s="1426"/>
      <c r="AB255" s="1426"/>
      <c r="AC255" s="1426"/>
      <c r="AD255" s="1426"/>
      <c r="AE255" s="1426"/>
      <c r="AF255" s="1426"/>
      <c r="AG255" s="1426"/>
      <c r="AH255" s="1426"/>
      <c r="AI255" s="1426"/>
      <c r="AJ255" s="1426"/>
      <c r="AK255" s="1426"/>
      <c r="AL255" s="1426"/>
      <c r="AM255" s="1426"/>
      <c r="AN255" s="1426"/>
      <c r="AO255" s="1426"/>
      <c r="AP255" s="1426"/>
      <c r="AQ255" s="1426"/>
      <c r="AR255" s="1426"/>
      <c r="AS255" s="1426"/>
    </row>
    <row r="256" spans="2:60" s="1429" customFormat="1" ht="100" customHeight="1" x14ac:dyDescent="1.2">
      <c r="C256" s="1432"/>
      <c r="F256" s="1459"/>
      <c r="G256" s="1459"/>
      <c r="I256" s="1426"/>
      <c r="J256" s="1431" t="s">
        <v>278</v>
      </c>
      <c r="K256" s="1426"/>
      <c r="L256" s="1426"/>
      <c r="M256" s="1426"/>
      <c r="N256" s="1426"/>
      <c r="O256" s="1426"/>
      <c r="P256" s="1426"/>
      <c r="Q256" s="1426"/>
      <c r="R256" s="1426"/>
      <c r="S256" s="1426"/>
      <c r="T256" s="1426"/>
      <c r="U256" s="1426"/>
      <c r="V256" s="1426"/>
      <c r="W256" s="1426"/>
      <c r="X256" s="1426"/>
      <c r="Y256" s="1426"/>
      <c r="Z256" s="1426"/>
      <c r="AA256" s="1426"/>
      <c r="AB256" s="1426"/>
      <c r="AC256" s="1426"/>
      <c r="AD256" s="1426"/>
      <c r="AE256" s="1426"/>
      <c r="AF256" s="1426"/>
      <c r="AG256" s="1426"/>
      <c r="AH256" s="1426"/>
      <c r="AI256" s="1426"/>
      <c r="AJ256" s="1426"/>
      <c r="AK256" s="1426"/>
      <c r="AL256" s="1426"/>
      <c r="AM256" s="1426"/>
      <c r="AN256" s="1426"/>
      <c r="AO256" s="1426"/>
      <c r="AP256" s="1426"/>
      <c r="AQ256" s="1426"/>
      <c r="AR256" s="1426"/>
      <c r="AS256" s="1426"/>
    </row>
    <row r="257" spans="3:59" s="1429" customFormat="1" ht="100" customHeight="1" x14ac:dyDescent="1.2">
      <c r="C257" s="1432"/>
      <c r="F257" s="1459"/>
      <c r="G257" s="1459"/>
      <c r="I257" s="1426"/>
      <c r="J257" s="1431"/>
      <c r="K257" s="1426"/>
      <c r="L257" s="1426"/>
      <c r="M257" s="1426"/>
      <c r="N257" s="1426"/>
      <c r="O257" s="1426"/>
      <c r="P257" s="1426"/>
      <c r="Q257" s="1426"/>
      <c r="R257" s="1426"/>
      <c r="S257" s="1426"/>
      <c r="T257" s="1426"/>
      <c r="U257" s="1426"/>
      <c r="V257" s="1426"/>
      <c r="W257" s="1426"/>
      <c r="X257" s="1426"/>
      <c r="Y257" s="1426"/>
      <c r="Z257" s="1426"/>
      <c r="AA257" s="1426"/>
      <c r="AB257" s="1426"/>
      <c r="AC257" s="1426"/>
      <c r="AD257" s="1426"/>
      <c r="AE257" s="1426"/>
      <c r="AF257" s="1426"/>
      <c r="AG257" s="1426"/>
      <c r="AH257" s="1426"/>
      <c r="AI257" s="1426"/>
      <c r="AJ257" s="1426"/>
      <c r="AK257" s="1426"/>
      <c r="AL257" s="1426"/>
      <c r="AM257" s="1426"/>
      <c r="AN257" s="1426"/>
      <c r="AO257" s="1426"/>
      <c r="AP257" s="1426"/>
      <c r="AQ257" s="1426"/>
      <c r="AR257" s="1426"/>
      <c r="AS257" s="1426"/>
    </row>
    <row r="258" spans="3:59" s="1429" customFormat="1" ht="100" customHeight="1" x14ac:dyDescent="1.2">
      <c r="C258" s="1432"/>
      <c r="F258" s="1459"/>
      <c r="G258" s="1459"/>
      <c r="I258" s="1426"/>
      <c r="J258" s="1431" t="s">
        <v>255</v>
      </c>
      <c r="K258" s="1426"/>
      <c r="L258" s="1426"/>
      <c r="M258" s="1426"/>
      <c r="N258" s="1426"/>
      <c r="O258" s="1426"/>
      <c r="P258" s="1426"/>
      <c r="Q258" s="1426"/>
      <c r="R258" s="1426"/>
      <c r="S258" s="1426"/>
      <c r="T258" s="1426"/>
      <c r="U258" s="1426"/>
      <c r="V258" s="1426"/>
      <c r="W258" s="1426"/>
      <c r="X258" s="1426"/>
      <c r="Y258" s="1426"/>
      <c r="Z258" s="1426"/>
      <c r="AA258" s="1426"/>
      <c r="AB258" s="1426"/>
      <c r="AC258" s="1426"/>
      <c r="AD258" s="1426"/>
      <c r="AE258" s="1426"/>
      <c r="AF258" s="1426"/>
      <c r="AG258" s="1426"/>
      <c r="AH258" s="1426"/>
      <c r="AI258" s="1426"/>
      <c r="AJ258" s="1426"/>
      <c r="AK258" s="1426"/>
      <c r="AL258" s="1426"/>
      <c r="AM258" s="1426"/>
      <c r="AN258" s="1426"/>
      <c r="AO258" s="1426"/>
      <c r="AP258" s="1426"/>
      <c r="AQ258" s="1426"/>
      <c r="AR258" s="1426"/>
      <c r="AS258" s="1426"/>
    </row>
    <row r="259" spans="3:59" ht="100" customHeight="1" thickBot="1" x14ac:dyDescent="1.05">
      <c r="H259" s="1117"/>
      <c r="I259" s="1117"/>
      <c r="K259" s="1117"/>
      <c r="L259" s="1117"/>
      <c r="M259" s="1117"/>
      <c r="N259" s="1117"/>
      <c r="O259" s="1117"/>
      <c r="P259" s="1117"/>
      <c r="Q259" s="1117"/>
      <c r="R259" s="1117"/>
      <c r="S259" s="1117"/>
      <c r="T259" s="1117"/>
      <c r="U259" s="408"/>
      <c r="Y259" s="562"/>
      <c r="AH259" s="1118"/>
    </row>
    <row r="260" spans="3:59" ht="10" customHeight="1" thickTop="1" thickBot="1" x14ac:dyDescent="1.05">
      <c r="E260" s="630"/>
      <c r="F260" s="1119"/>
      <c r="G260" s="634"/>
      <c r="H260" s="885"/>
      <c r="I260" s="885"/>
      <c r="J260" s="634"/>
      <c r="K260" s="885"/>
      <c r="L260" s="885"/>
      <c r="M260" s="885"/>
      <c r="N260" s="885"/>
      <c r="O260" s="885"/>
      <c r="P260" s="885"/>
      <c r="Q260" s="885"/>
      <c r="R260" s="885"/>
      <c r="S260" s="885"/>
      <c r="T260" s="652"/>
      <c r="U260" s="852"/>
      <c r="V260" s="1120"/>
      <c r="W260" s="1120"/>
      <c r="X260" s="1121"/>
      <c r="Y260" s="1122"/>
      <c r="Z260" s="1123"/>
      <c r="AA260" s="1123"/>
      <c r="AB260" s="1123"/>
      <c r="AC260" s="1123"/>
      <c r="AD260" s="1123"/>
      <c r="AE260" s="1123"/>
      <c r="AF260" s="1124"/>
      <c r="AG260" s="1125"/>
      <c r="AH260" s="1126"/>
      <c r="AI260" s="1127"/>
      <c r="AJ260" s="1128"/>
      <c r="AK260" s="1129"/>
      <c r="AL260" s="1129"/>
      <c r="AM260" s="1129"/>
      <c r="AN260" s="1129"/>
      <c r="AO260" s="1129"/>
      <c r="AP260" s="1130"/>
      <c r="AQ260" s="1131"/>
      <c r="AR260" s="1132"/>
      <c r="AS260" s="1132"/>
      <c r="AT260" s="1133"/>
      <c r="AU260" s="852"/>
      <c r="AV260" s="883"/>
      <c r="AW260" s="634"/>
      <c r="AX260" s="632"/>
      <c r="AY260" s="632"/>
      <c r="AZ260" s="632"/>
      <c r="BA260" s="632"/>
      <c r="BB260" s="632"/>
      <c r="BC260" s="632"/>
      <c r="BD260" s="632"/>
      <c r="BE260" s="632"/>
      <c r="BF260" s="633"/>
      <c r="BG260" s="633"/>
    </row>
    <row r="261" spans="3:59" ht="100" customHeight="1" thickTop="1" x14ac:dyDescent="1">
      <c r="E261" s="635"/>
      <c r="F261" s="1134"/>
      <c r="G261" s="1134"/>
      <c r="H261" s="1134"/>
      <c r="I261" s="1134"/>
      <c r="J261" s="1134"/>
      <c r="K261" s="1134"/>
      <c r="L261" s="1134"/>
      <c r="M261" s="1134"/>
      <c r="N261" s="388"/>
      <c r="O261" s="388"/>
      <c r="P261" s="1135"/>
      <c r="Q261" s="1135"/>
      <c r="R261" s="1135"/>
      <c r="S261" s="1135"/>
      <c r="T261" s="1136"/>
      <c r="U261" s="673"/>
      <c r="V261" s="1137"/>
      <c r="W261" s="1137"/>
      <c r="X261" s="1138"/>
      <c r="Y261" s="1139"/>
      <c r="Z261" s="1140"/>
      <c r="AA261" s="1140"/>
      <c r="AB261" s="1140"/>
      <c r="AC261" s="1140"/>
      <c r="AD261" s="1140"/>
      <c r="AE261" s="1140"/>
      <c r="AF261" s="1141"/>
      <c r="AG261" s="1142"/>
      <c r="AH261" s="2154" t="s">
        <v>171</v>
      </c>
      <c r="AI261" s="1143"/>
      <c r="AJ261" s="1144"/>
      <c r="AK261" s="392"/>
      <c r="AL261" s="392"/>
      <c r="AM261" s="392"/>
      <c r="AN261" s="392"/>
      <c r="AO261" s="1145"/>
      <c r="AP261" s="1146"/>
      <c r="AQ261" s="1147"/>
      <c r="AR261" s="1015"/>
      <c r="AS261" s="1015"/>
      <c r="AT261" s="1148"/>
      <c r="AU261" s="852"/>
      <c r="AV261" s="1149"/>
      <c r="AW261" s="1149"/>
      <c r="AX261" s="1134"/>
      <c r="AY261" s="1134"/>
      <c r="AZ261" s="388"/>
      <c r="BA261" s="388"/>
      <c r="BB261" s="1134"/>
      <c r="BC261" s="1134"/>
      <c r="BD261" s="1134"/>
      <c r="BE261" s="1134"/>
      <c r="BF261" s="1150"/>
      <c r="BG261" s="673"/>
    </row>
    <row r="262" spans="3:59" ht="100" customHeight="1" x14ac:dyDescent="1">
      <c r="E262" s="635"/>
      <c r="F262" s="1134"/>
      <c r="G262" s="1134"/>
      <c r="H262" s="1134"/>
      <c r="I262" s="1134"/>
      <c r="J262" s="1134"/>
      <c r="K262" s="1134"/>
      <c r="L262" s="1134"/>
      <c r="M262" s="1134"/>
      <c r="N262" s="388"/>
      <c r="O262" s="388"/>
      <c r="P262" s="1135"/>
      <c r="Q262" s="1135"/>
      <c r="R262" s="1135"/>
      <c r="S262" s="1135"/>
      <c r="T262" s="1136"/>
      <c r="U262" s="673"/>
      <c r="V262" s="1137"/>
      <c r="W262" s="1137"/>
      <c r="X262" s="1138"/>
      <c r="Y262" s="1139"/>
      <c r="Z262" s="1140"/>
      <c r="AA262" s="1140"/>
      <c r="AB262" s="1140"/>
      <c r="AC262" s="1140"/>
      <c r="AD262" s="1140"/>
      <c r="AE262" s="1140"/>
      <c r="AF262" s="1141"/>
      <c r="AG262" s="1142"/>
      <c r="AH262" s="2155"/>
      <c r="AI262" s="1151"/>
      <c r="AJ262" s="1144"/>
      <c r="AK262" s="392"/>
      <c r="AL262" s="392"/>
      <c r="AM262" s="392"/>
      <c r="AN262" s="392"/>
      <c r="AO262" s="392"/>
      <c r="AP262" s="1146"/>
      <c r="AQ262" s="1147"/>
      <c r="AR262" s="1015"/>
      <c r="AS262" s="1015"/>
      <c r="AT262" s="1148"/>
      <c r="AU262" s="673"/>
      <c r="AV262" s="1135"/>
      <c r="AW262" s="1135"/>
      <c r="AX262" s="1134"/>
      <c r="AY262" s="1134"/>
      <c r="AZ262" s="388"/>
      <c r="BA262" s="388"/>
      <c r="BB262" s="1134"/>
      <c r="BC262" s="1134"/>
      <c r="BD262" s="1134"/>
      <c r="BE262" s="1134"/>
      <c r="BF262" s="1150"/>
      <c r="BG262" s="673"/>
    </row>
    <row r="263" spans="3:59" ht="100" customHeight="1" thickBot="1" x14ac:dyDescent="1.05">
      <c r="E263" s="635"/>
      <c r="F263" s="1578"/>
      <c r="G263" s="1578"/>
      <c r="H263" s="1578"/>
      <c r="I263" s="1578"/>
      <c r="J263" s="1578"/>
      <c r="K263" s="1578"/>
      <c r="L263" s="1578"/>
      <c r="M263" s="1578"/>
      <c r="N263" s="1569"/>
      <c r="O263" s="1569"/>
      <c r="P263" s="1580"/>
      <c r="Q263" s="1580"/>
      <c r="R263" s="1135"/>
      <c r="S263" s="1135"/>
      <c r="T263" s="1136"/>
      <c r="U263" s="673"/>
      <c r="V263" s="2157" t="s">
        <v>93</v>
      </c>
      <c r="W263" s="2158"/>
      <c r="X263" s="2159"/>
      <c r="Y263" s="1152"/>
      <c r="Z263" s="1153"/>
      <c r="AA263" s="1153"/>
      <c r="AB263" s="1153"/>
      <c r="AC263" s="1153"/>
      <c r="AD263" s="1153"/>
      <c r="AE263" s="1153"/>
      <c r="AF263" s="1581"/>
      <c r="AG263" s="1154"/>
      <c r="AH263" s="2155"/>
      <c r="AI263" s="1151"/>
      <c r="AJ263" s="1582"/>
      <c r="AK263" s="1560"/>
      <c r="AL263" s="1560"/>
      <c r="AM263" s="1560"/>
      <c r="AN263" s="1560"/>
      <c r="AO263" s="1155"/>
      <c r="AP263" s="1156"/>
      <c r="AQ263" s="1157"/>
      <c r="AR263" s="1158"/>
      <c r="AS263" s="1158"/>
      <c r="AT263" s="1159"/>
      <c r="AU263" s="671"/>
      <c r="AV263" s="1580"/>
      <c r="AW263" s="1580"/>
      <c r="AX263" s="1578"/>
      <c r="AY263" s="1578"/>
      <c r="AZ263" s="1569"/>
      <c r="BA263" s="1569"/>
      <c r="BB263" s="1578"/>
      <c r="BC263" s="1578"/>
      <c r="BD263" s="1578"/>
      <c r="BE263" s="1578"/>
      <c r="BF263" s="1150"/>
      <c r="BG263" s="673"/>
    </row>
    <row r="264" spans="3:59" ht="100" customHeight="1" thickTop="1" x14ac:dyDescent="1">
      <c r="E264" s="635"/>
      <c r="F264" s="1578"/>
      <c r="G264" s="1578"/>
      <c r="H264" s="1578"/>
      <c r="I264" s="1578"/>
      <c r="J264" s="1160"/>
      <c r="K264" s="1160"/>
      <c r="L264" s="1578"/>
      <c r="M264" s="1578"/>
      <c r="N264" s="1537" t="s">
        <v>175</v>
      </c>
      <c r="O264" s="1537"/>
      <c r="P264" s="1580"/>
      <c r="Q264" s="1580"/>
      <c r="R264" s="1135"/>
      <c r="S264" s="1135"/>
      <c r="T264" s="1136"/>
      <c r="U264" s="673"/>
      <c r="V264" s="2157" t="s">
        <v>164</v>
      </c>
      <c r="W264" s="2158"/>
      <c r="X264" s="2159"/>
      <c r="Y264" s="1152"/>
      <c r="Z264" s="2160" t="s">
        <v>165</v>
      </c>
      <c r="AA264" s="2161"/>
      <c r="AB264" s="2161"/>
      <c r="AC264" s="2161"/>
      <c r="AD264" s="2161"/>
      <c r="AE264" s="2161"/>
      <c r="AF264" s="2162"/>
      <c r="AG264" s="1154"/>
      <c r="AH264" s="2155"/>
      <c r="AI264" s="1151"/>
      <c r="AJ264" s="2163" t="s">
        <v>124</v>
      </c>
      <c r="AK264" s="2056"/>
      <c r="AL264" s="2056"/>
      <c r="AM264" s="2056"/>
      <c r="AN264" s="2056"/>
      <c r="AO264" s="803"/>
      <c r="AP264" s="1163" t="s">
        <v>178</v>
      </c>
      <c r="AQ264" s="1157"/>
      <c r="AR264" s="1158"/>
      <c r="AS264" s="1158"/>
      <c r="AT264" s="1159"/>
      <c r="AU264" s="671"/>
      <c r="AV264" s="1580"/>
      <c r="AW264" s="1580"/>
      <c r="AX264" s="1578"/>
      <c r="AY264" s="1578"/>
      <c r="AZ264" s="1537" t="s">
        <v>175</v>
      </c>
      <c r="BA264" s="1537"/>
      <c r="BB264" s="1160"/>
      <c r="BC264" s="1160"/>
      <c r="BD264" s="1578"/>
      <c r="BE264" s="1578"/>
      <c r="BF264" s="1164"/>
      <c r="BG264" s="673"/>
    </row>
    <row r="265" spans="3:59" ht="100" customHeight="1" x14ac:dyDescent="1">
      <c r="E265" s="635"/>
      <c r="F265" s="1134"/>
      <c r="G265" s="1134"/>
      <c r="H265" s="1134"/>
      <c r="I265" s="1134"/>
      <c r="J265" s="1134"/>
      <c r="K265" s="1134"/>
      <c r="L265" s="1134"/>
      <c r="M265" s="1134"/>
      <c r="N265" s="1537" t="s">
        <v>127</v>
      </c>
      <c r="O265" s="1537"/>
      <c r="P265" s="1135"/>
      <c r="Q265" s="1135"/>
      <c r="R265" s="1135"/>
      <c r="S265" s="1135"/>
      <c r="T265" s="1136"/>
      <c r="U265" s="673"/>
      <c r="V265" s="2157" t="s">
        <v>166</v>
      </c>
      <c r="W265" s="2158"/>
      <c r="X265" s="2159"/>
      <c r="Y265" s="1152"/>
      <c r="Z265" s="1140"/>
      <c r="AA265" s="1140"/>
      <c r="AB265" s="1165"/>
      <c r="AC265" s="1165"/>
      <c r="AD265" s="1166"/>
      <c r="AE265" s="1166"/>
      <c r="AF265" s="1167"/>
      <c r="AG265" s="1168"/>
      <c r="AH265" s="2155"/>
      <c r="AI265" s="1151"/>
      <c r="AJ265" s="1144"/>
      <c r="AK265" s="392"/>
      <c r="AL265" s="392"/>
      <c r="AM265" s="392"/>
      <c r="AN265" s="915"/>
      <c r="AO265" s="1169"/>
      <c r="AP265" s="1562" t="s">
        <v>127</v>
      </c>
      <c r="AQ265" s="1157"/>
      <c r="AR265" s="1015"/>
      <c r="AS265" s="1015"/>
      <c r="AT265" s="1148"/>
      <c r="AU265" s="673"/>
      <c r="AV265" s="1135"/>
      <c r="AW265" s="1135"/>
      <c r="AX265" s="1134"/>
      <c r="AY265" s="1134"/>
      <c r="AZ265" s="1537" t="s">
        <v>127</v>
      </c>
      <c r="BA265" s="1537"/>
      <c r="BB265" s="1134"/>
      <c r="BC265" s="1134"/>
      <c r="BD265" s="1134"/>
      <c r="BE265" s="1134"/>
      <c r="BF265" s="1150"/>
      <c r="BG265" s="673"/>
    </row>
    <row r="266" spans="3:59" ht="100" customHeight="1" x14ac:dyDescent="1">
      <c r="E266" s="635"/>
      <c r="F266" s="1134"/>
      <c r="G266" s="1134"/>
      <c r="H266" s="1134"/>
      <c r="I266" s="1134"/>
      <c r="J266" s="1134"/>
      <c r="K266" s="1134"/>
      <c r="L266" s="1134"/>
      <c r="M266" s="1134"/>
      <c r="N266" s="388"/>
      <c r="O266" s="388"/>
      <c r="P266" s="1135"/>
      <c r="Q266" s="1135"/>
      <c r="R266" s="1135"/>
      <c r="S266" s="1135"/>
      <c r="T266" s="1136"/>
      <c r="U266" s="673"/>
      <c r="V266" s="1137"/>
      <c r="W266" s="1137"/>
      <c r="X266" s="1138"/>
      <c r="Y266" s="1139"/>
      <c r="Z266" s="1140"/>
      <c r="AA266" s="1140"/>
      <c r="AB266" s="1140"/>
      <c r="AC266" s="1140"/>
      <c r="AD266" s="1140"/>
      <c r="AE266" s="1140"/>
      <c r="AF266" s="1141"/>
      <c r="AG266" s="1142"/>
      <c r="AH266" s="2155"/>
      <c r="AI266" s="1151"/>
      <c r="AJ266" s="1144"/>
      <c r="AK266" s="392"/>
      <c r="AL266" s="392"/>
      <c r="AM266" s="392"/>
      <c r="AN266" s="392"/>
      <c r="AO266" s="799"/>
      <c r="AP266" s="915"/>
      <c r="AQ266" s="1147"/>
      <c r="AR266" s="1015"/>
      <c r="AS266" s="1015"/>
      <c r="AT266" s="1148"/>
      <c r="AU266" s="673"/>
      <c r="AV266" s="1135"/>
      <c r="AW266" s="1135"/>
      <c r="AX266" s="1134"/>
      <c r="AY266" s="1134"/>
      <c r="AZ266" s="388"/>
      <c r="BA266" s="388"/>
      <c r="BB266" s="1134"/>
      <c r="BC266" s="1134"/>
      <c r="BD266" s="1134"/>
      <c r="BE266" s="1134"/>
      <c r="BF266" s="1150"/>
      <c r="BG266" s="673"/>
    </row>
    <row r="267" spans="3:59" ht="100" customHeight="1" thickBot="1" x14ac:dyDescent="1.05">
      <c r="E267" s="635"/>
      <c r="F267" s="1134"/>
      <c r="G267" s="1134"/>
      <c r="H267" s="1134"/>
      <c r="I267" s="1134"/>
      <c r="J267" s="1134"/>
      <c r="K267" s="1134"/>
      <c r="L267" s="1134"/>
      <c r="M267" s="1134"/>
      <c r="N267" s="388"/>
      <c r="O267" s="388"/>
      <c r="P267" s="1135"/>
      <c r="Q267" s="1135"/>
      <c r="R267" s="1135"/>
      <c r="S267" s="1135"/>
      <c r="T267" s="1136"/>
      <c r="U267" s="673"/>
      <c r="V267" s="1171"/>
      <c r="W267" s="1171"/>
      <c r="X267" s="1172"/>
      <c r="Y267" s="1139"/>
      <c r="Z267" s="1173"/>
      <c r="AA267" s="1173"/>
      <c r="AB267" s="1173"/>
      <c r="AC267" s="1173"/>
      <c r="AD267" s="1173"/>
      <c r="AE267" s="1173"/>
      <c r="AF267" s="1174"/>
      <c r="AG267" s="1142"/>
      <c r="AH267" s="2155"/>
      <c r="AI267" s="1151"/>
      <c r="AJ267" s="1144"/>
      <c r="AK267" s="392"/>
      <c r="AL267" s="814"/>
      <c r="AM267" s="814"/>
      <c r="AN267" s="814"/>
      <c r="AO267" s="814"/>
      <c r="AP267" s="1175"/>
      <c r="AQ267" s="1147"/>
      <c r="AR267" s="1015"/>
      <c r="AS267" s="1015"/>
      <c r="AT267" s="1148"/>
      <c r="AU267" s="673"/>
      <c r="AV267" s="1135"/>
      <c r="AW267" s="1135"/>
      <c r="AX267" s="1134"/>
      <c r="AY267" s="1134"/>
      <c r="AZ267" s="388"/>
      <c r="BA267" s="388"/>
      <c r="BB267" s="1134"/>
      <c r="BC267" s="1134"/>
      <c r="BD267" s="1134"/>
      <c r="BE267" s="1134"/>
      <c r="BF267" s="1150"/>
      <c r="BG267" s="673"/>
    </row>
    <row r="268" spans="3:59" ht="10" customHeight="1" thickTop="1" thickBot="1" x14ac:dyDescent="1.05">
      <c r="E268" s="635"/>
      <c r="F268" s="1134"/>
      <c r="G268" s="1134"/>
      <c r="H268" s="1134"/>
      <c r="I268" s="1134"/>
      <c r="J268" s="1134"/>
      <c r="K268" s="1134"/>
      <c r="L268" s="1134"/>
      <c r="M268" s="1134"/>
      <c r="N268" s="388"/>
      <c r="O268" s="388"/>
      <c r="P268" s="1135"/>
      <c r="Q268" s="1135"/>
      <c r="R268" s="1135"/>
      <c r="S268" s="1135"/>
      <c r="T268" s="1136"/>
      <c r="U268" s="673"/>
      <c r="V268" s="1176"/>
      <c r="W268" s="1177"/>
      <c r="X268" s="1177"/>
      <c r="Y268" s="1178"/>
      <c r="Z268" s="1179"/>
      <c r="AA268" s="1180"/>
      <c r="AB268" s="1180"/>
      <c r="AC268" s="1180"/>
      <c r="AD268" s="1180"/>
      <c r="AE268" s="1180"/>
      <c r="AF268" s="1180"/>
      <c r="AG268" s="1181"/>
      <c r="AH268" s="2155"/>
      <c r="AI268" s="1151"/>
      <c r="AJ268" s="1182"/>
      <c r="AK268" s="1183"/>
      <c r="AL268" s="1183"/>
      <c r="AM268" s="1183"/>
      <c r="AN268" s="1183"/>
      <c r="AO268" s="1183"/>
      <c r="AP268" s="1183"/>
      <c r="AQ268" s="1184"/>
      <c r="AR268" s="1015"/>
      <c r="AS268" s="1015"/>
      <c r="AT268" s="1148"/>
      <c r="AU268" s="673"/>
      <c r="AV268" s="1135"/>
      <c r="AW268" s="1135"/>
      <c r="AX268" s="1134"/>
      <c r="AY268" s="1134"/>
      <c r="AZ268" s="388"/>
      <c r="BA268" s="388"/>
      <c r="BB268" s="1134"/>
      <c r="BC268" s="1134"/>
      <c r="BD268" s="1134"/>
      <c r="BE268" s="1134"/>
      <c r="BF268" s="1150"/>
      <c r="BG268" s="673"/>
    </row>
    <row r="269" spans="3:59" ht="100" customHeight="1" thickTop="1" x14ac:dyDescent="1">
      <c r="E269" s="635"/>
      <c r="F269" s="1185"/>
      <c r="G269" s="1185"/>
      <c r="H269" s="1185"/>
      <c r="I269" s="1185"/>
      <c r="J269" s="1185"/>
      <c r="K269" s="1185"/>
      <c r="L269" s="1185"/>
      <c r="M269" s="1185"/>
      <c r="N269" s="1185"/>
      <c r="O269" s="1185"/>
      <c r="P269" s="1186"/>
      <c r="Q269" s="1186"/>
      <c r="R269" s="1135"/>
      <c r="S269" s="1135"/>
      <c r="T269" s="1136"/>
      <c r="U269" s="673"/>
      <c r="V269" s="2164" t="s">
        <v>168</v>
      </c>
      <c r="W269" s="1990"/>
      <c r="X269" s="1990"/>
      <c r="Y269" s="1990"/>
      <c r="Z269" s="1990"/>
      <c r="AA269" s="1990"/>
      <c r="AB269" s="1990"/>
      <c r="AC269" s="1990"/>
      <c r="AD269" s="1990"/>
      <c r="AE269" s="1990"/>
      <c r="AF269" s="1990"/>
      <c r="AG269" s="1990"/>
      <c r="AH269" s="2155"/>
      <c r="AI269" s="1187"/>
      <c r="AJ269" s="2165"/>
      <c r="AK269" s="2166"/>
      <c r="AL269" s="2166"/>
      <c r="AM269" s="2166"/>
      <c r="AN269" s="2166"/>
      <c r="AO269" s="2166"/>
      <c r="AP269" s="2166"/>
      <c r="AQ269" s="1574"/>
      <c r="AR269" s="1189"/>
      <c r="AS269" s="1189"/>
      <c r="AT269" s="1190"/>
      <c r="AU269" s="1191"/>
      <c r="AV269" s="1186"/>
      <c r="AW269" s="1186"/>
      <c r="AX269" s="1185"/>
      <c r="AY269" s="1185"/>
      <c r="AZ269" s="1185"/>
      <c r="BA269" s="1185"/>
      <c r="BB269" s="1185"/>
      <c r="BC269" s="1185"/>
      <c r="BD269" s="1185"/>
      <c r="BE269" s="1185"/>
      <c r="BF269" s="1192"/>
      <c r="BG269" s="673"/>
    </row>
    <row r="270" spans="3:59" ht="100" customHeight="1" x14ac:dyDescent="1">
      <c r="E270" s="635"/>
      <c r="F270" s="1134"/>
      <c r="G270" s="1134"/>
      <c r="H270" s="1134"/>
      <c r="I270" s="1134"/>
      <c r="J270" s="1134"/>
      <c r="K270" s="1134"/>
      <c r="L270" s="1134"/>
      <c r="M270" s="1134"/>
      <c r="N270" s="1134"/>
      <c r="O270" s="1134"/>
      <c r="P270" s="1135"/>
      <c r="Q270" s="1135"/>
      <c r="R270" s="1135"/>
      <c r="S270" s="1135"/>
      <c r="T270" s="1136"/>
      <c r="U270" s="673"/>
      <c r="V270" s="2164"/>
      <c r="W270" s="1990"/>
      <c r="X270" s="1990"/>
      <c r="Y270" s="1990"/>
      <c r="Z270" s="1990"/>
      <c r="AA270" s="1990"/>
      <c r="AB270" s="1990"/>
      <c r="AC270" s="1990"/>
      <c r="AD270" s="1990"/>
      <c r="AE270" s="1990"/>
      <c r="AF270" s="1990"/>
      <c r="AG270" s="1990"/>
      <c r="AH270" s="2155"/>
      <c r="AI270" s="1193"/>
      <c r="AJ270" s="1015"/>
      <c r="AK270" s="1015"/>
      <c r="AL270" s="1015"/>
      <c r="AM270" s="1015"/>
      <c r="AN270" s="1015"/>
      <c r="AO270" s="1015"/>
      <c r="AP270" s="1015"/>
      <c r="AQ270" s="1015"/>
      <c r="AR270" s="1015"/>
      <c r="AS270" s="1015"/>
      <c r="AT270" s="1148"/>
      <c r="AU270" s="673"/>
      <c r="AV270" s="1135"/>
      <c r="AW270" s="1135"/>
      <c r="AX270" s="1134"/>
      <c r="AY270" s="1134"/>
      <c r="AZ270" s="1134"/>
      <c r="BA270" s="1134"/>
      <c r="BB270" s="1134"/>
      <c r="BC270" s="1134"/>
      <c r="BD270" s="1134"/>
      <c r="BE270" s="1134"/>
      <c r="BF270" s="1150"/>
      <c r="BG270" s="673"/>
    </row>
    <row r="271" spans="3:59" ht="10" customHeight="1" thickBot="1" x14ac:dyDescent="1.05">
      <c r="E271" s="635"/>
      <c r="F271" s="1134"/>
      <c r="G271" s="1134"/>
      <c r="H271" s="1134"/>
      <c r="I271" s="1134"/>
      <c r="J271" s="1134"/>
      <c r="K271" s="1134"/>
      <c r="L271" s="1134"/>
      <c r="M271" s="1134"/>
      <c r="N271" s="1134"/>
      <c r="O271" s="1134"/>
      <c r="P271" s="1135"/>
      <c r="Q271" s="1135"/>
      <c r="R271" s="1135"/>
      <c r="S271" s="1135"/>
      <c r="T271" s="1136"/>
      <c r="U271" s="673"/>
      <c r="V271" s="1194"/>
      <c r="W271" s="1194"/>
      <c r="X271" s="1194"/>
      <c r="Y271" s="1194"/>
      <c r="Z271" s="1194"/>
      <c r="AA271" s="1195"/>
      <c r="AB271" s="1196"/>
      <c r="AC271" s="1196"/>
      <c r="AD271" s="1196"/>
      <c r="AE271" s="1196"/>
      <c r="AF271" s="1196"/>
      <c r="AG271" s="1196"/>
      <c r="AH271" s="2155"/>
      <c r="AI271" s="1193"/>
      <c r="AJ271" s="1015"/>
      <c r="AK271" s="1015"/>
      <c r="AL271" s="1015"/>
      <c r="AM271" s="1015"/>
      <c r="AN271" s="1015"/>
      <c r="AO271" s="1015"/>
      <c r="AP271" s="1015"/>
      <c r="AQ271" s="1015"/>
      <c r="AR271" s="1015"/>
      <c r="AS271" s="1015"/>
      <c r="AT271" s="1148"/>
      <c r="AU271" s="673"/>
      <c r="AV271" s="1135"/>
      <c r="AW271" s="1135"/>
      <c r="AX271" s="1134"/>
      <c r="AY271" s="1134"/>
      <c r="AZ271" s="1134"/>
      <c r="BA271" s="1134"/>
      <c r="BB271" s="1134"/>
      <c r="BC271" s="1134"/>
      <c r="BD271" s="1134"/>
      <c r="BE271" s="1134"/>
      <c r="BF271" s="1150"/>
      <c r="BG271" s="673"/>
    </row>
    <row r="272" spans="3:59" ht="100" customHeight="1" x14ac:dyDescent="1">
      <c r="E272" s="635"/>
      <c r="F272" s="1134"/>
      <c r="G272" s="1134"/>
      <c r="H272" s="1134"/>
      <c r="I272" s="1134"/>
      <c r="J272" s="1134"/>
      <c r="K272" s="1134"/>
      <c r="L272" s="1134"/>
      <c r="M272" s="1134"/>
      <c r="N272" s="1185"/>
      <c r="O272" s="1185"/>
      <c r="P272" s="1186"/>
      <c r="Q272" s="1186"/>
      <c r="R272" s="1135"/>
      <c r="S272" s="1135"/>
      <c r="T272" s="1136"/>
      <c r="U272" s="673"/>
      <c r="V272" s="1197"/>
      <c r="W272" s="1197"/>
      <c r="X272" s="1197"/>
      <c r="Y272" s="1197"/>
      <c r="Z272" s="1198"/>
      <c r="AA272" s="1199"/>
      <c r="AB272" s="1200"/>
      <c r="AC272" s="1200"/>
      <c r="AD272" s="1200"/>
      <c r="AE272" s="1200"/>
      <c r="AF272" s="1201"/>
      <c r="AG272" s="1202"/>
      <c r="AH272" s="2155"/>
      <c r="AI272" s="1193"/>
      <c r="AJ272" s="1015"/>
      <c r="AK272" s="1015"/>
      <c r="AL272" s="1015"/>
      <c r="AM272" s="1015"/>
      <c r="AN272" s="1015"/>
      <c r="AO272" s="1015"/>
      <c r="AP272" s="1015"/>
      <c r="AQ272" s="1015"/>
      <c r="AR272" s="1015"/>
      <c r="AS272" s="1015"/>
      <c r="AT272" s="1148"/>
      <c r="AU272" s="673"/>
      <c r="AV272" s="1135"/>
      <c r="AW272" s="1135"/>
      <c r="AX272" s="1185"/>
      <c r="AY272" s="1185"/>
      <c r="AZ272" s="1185"/>
      <c r="BA272" s="1185"/>
      <c r="BB272" s="1185"/>
      <c r="BC272" s="1185"/>
      <c r="BD272" s="1134"/>
      <c r="BE272" s="1134"/>
      <c r="BF272" s="1150"/>
      <c r="BG272" s="673"/>
    </row>
    <row r="273" spans="3:60" ht="100" customHeight="1" x14ac:dyDescent="1">
      <c r="E273" s="635"/>
      <c r="F273" s="1578"/>
      <c r="G273" s="1578"/>
      <c r="H273" s="2146" t="s">
        <v>155</v>
      </c>
      <c r="I273" s="2146"/>
      <c r="J273" s="2146"/>
      <c r="K273" s="2146"/>
      <c r="L273" s="2146"/>
      <c r="M273" s="2146"/>
      <c r="N273" s="2146"/>
      <c r="O273" s="2146"/>
      <c r="P273" s="2146"/>
      <c r="Q273" s="2146"/>
      <c r="R273" s="2146"/>
      <c r="S273" s="1578"/>
      <c r="T273" s="1136"/>
      <c r="U273" s="673"/>
      <c r="V273" s="1134"/>
      <c r="W273" s="1134"/>
      <c r="X273" s="1134"/>
      <c r="Y273" s="1134"/>
      <c r="Z273" s="1204"/>
      <c r="AA273" s="1199"/>
      <c r="AB273" s="1205"/>
      <c r="AC273" s="1205"/>
      <c r="AD273" s="1205"/>
      <c r="AE273" s="1205"/>
      <c r="AF273" s="1206"/>
      <c r="AG273" s="1202"/>
      <c r="AH273" s="2155"/>
      <c r="AI273" s="1193"/>
      <c r="AJ273" s="1015"/>
      <c r="AK273" s="1015"/>
      <c r="AL273" s="2111" t="s">
        <v>149</v>
      </c>
      <c r="AM273" s="2111"/>
      <c r="AN273" s="2111"/>
      <c r="AO273" s="1574"/>
      <c r="AP273" s="1015"/>
      <c r="AQ273" s="1015"/>
      <c r="AR273" s="1158"/>
      <c r="AS273" s="1158"/>
      <c r="AT273" s="1159"/>
      <c r="AU273" s="671"/>
      <c r="AV273" s="1135"/>
      <c r="AW273" s="1135"/>
      <c r="AX273" s="2147" t="s">
        <v>155</v>
      </c>
      <c r="AY273" s="2147"/>
      <c r="AZ273" s="2147"/>
      <c r="BA273" s="2147"/>
      <c r="BB273" s="2147"/>
      <c r="BC273" s="2147"/>
      <c r="BD273" s="2147"/>
      <c r="BE273" s="1579"/>
      <c r="BF273" s="1150"/>
      <c r="BG273" s="673"/>
    </row>
    <row r="274" spans="3:60" ht="100" customHeight="1" x14ac:dyDescent="1">
      <c r="E274" s="635"/>
      <c r="F274" s="1578"/>
      <c r="G274" s="1578"/>
      <c r="H274" s="2146"/>
      <c r="I274" s="2146"/>
      <c r="J274" s="2146"/>
      <c r="K274" s="1578"/>
      <c r="L274" s="1579"/>
      <c r="M274" s="1579"/>
      <c r="N274" s="1579"/>
      <c r="O274" s="1579"/>
      <c r="P274" s="1208"/>
      <c r="Q274" s="1208"/>
      <c r="R274" s="1135"/>
      <c r="S274" s="1135"/>
      <c r="T274" s="1136"/>
      <c r="U274" s="673"/>
      <c r="V274" s="2148" t="s">
        <v>55</v>
      </c>
      <c r="W274" s="2149"/>
      <c r="X274" s="2149"/>
      <c r="Y274" s="2149"/>
      <c r="Z274" s="2150"/>
      <c r="AA274" s="1210"/>
      <c r="AB274" s="2151" t="s">
        <v>167</v>
      </c>
      <c r="AC274" s="2152"/>
      <c r="AD274" s="2152"/>
      <c r="AE274" s="2152"/>
      <c r="AF274" s="2153"/>
      <c r="AG274" s="1211"/>
      <c r="AH274" s="2155"/>
      <c r="AI274" s="1193"/>
      <c r="AJ274" s="1574"/>
      <c r="AK274" s="1574"/>
      <c r="AL274" s="1574"/>
      <c r="AM274" s="1574"/>
      <c r="AN274" s="1574"/>
      <c r="AO274" s="1574"/>
      <c r="AP274" s="1189"/>
      <c r="AQ274" s="1189"/>
      <c r="AR274" s="1158"/>
      <c r="AS274" s="1158"/>
      <c r="AT274" s="1159"/>
      <c r="AU274" s="671"/>
      <c r="AV274" s="1208"/>
      <c r="AW274" s="1208"/>
      <c r="AX274" s="1212"/>
      <c r="AY274" s="1212"/>
      <c r="AZ274" s="1212"/>
      <c r="BA274" s="1212"/>
      <c r="BB274" s="1579"/>
      <c r="BC274" s="1579"/>
      <c r="BD274" s="1212"/>
      <c r="BE274" s="1212"/>
      <c r="BF274" s="1213"/>
      <c r="BG274" s="673"/>
    </row>
    <row r="275" spans="3:60" ht="100" customHeight="1" x14ac:dyDescent="1">
      <c r="E275" s="635"/>
      <c r="F275" s="1134"/>
      <c r="G275" s="1134"/>
      <c r="H275" s="1134"/>
      <c r="I275" s="1134"/>
      <c r="J275" s="1212"/>
      <c r="K275" s="1212"/>
      <c r="L275" s="1579"/>
      <c r="M275" s="1579"/>
      <c r="N275" s="1212"/>
      <c r="O275" s="1212"/>
      <c r="P275" s="1208"/>
      <c r="Q275" s="1208"/>
      <c r="R275" s="1135"/>
      <c r="S275" s="1135"/>
      <c r="T275" s="1136"/>
      <c r="U275" s="673"/>
      <c r="V275" s="2148" t="s">
        <v>297</v>
      </c>
      <c r="W275" s="2149"/>
      <c r="X275" s="2149"/>
      <c r="Y275" s="2149"/>
      <c r="Z275" s="2150"/>
      <c r="AA275" s="1210"/>
      <c r="AB275" s="2177" t="s">
        <v>39</v>
      </c>
      <c r="AC275" s="2178"/>
      <c r="AD275" s="2178"/>
      <c r="AE275" s="2178"/>
      <c r="AF275" s="2179"/>
      <c r="AG275" s="1196"/>
      <c r="AH275" s="2155"/>
      <c r="AI275" s="1193"/>
      <c r="AJ275" s="1023"/>
      <c r="AK275" s="1023"/>
      <c r="AL275" s="1023"/>
      <c r="AM275" s="1023"/>
      <c r="AN275" s="1023"/>
      <c r="AO275" s="1023"/>
      <c r="AP275" s="1015"/>
      <c r="AQ275" s="1015"/>
      <c r="AR275" s="1015"/>
      <c r="AS275" s="1015"/>
      <c r="AT275" s="1148"/>
      <c r="AU275" s="673"/>
      <c r="AV275" s="1214"/>
      <c r="AW275" s="1214"/>
      <c r="AX275" s="1212"/>
      <c r="AY275" s="1212"/>
      <c r="AZ275" s="1212"/>
      <c r="BA275" s="1212"/>
      <c r="BB275" s="1579"/>
      <c r="BC275" s="1579"/>
      <c r="BD275" s="1212"/>
      <c r="BE275" s="1212"/>
      <c r="BF275" s="1215"/>
      <c r="BG275" s="673"/>
    </row>
    <row r="276" spans="3:60" ht="100" customHeight="1" x14ac:dyDescent="1">
      <c r="E276" s="635"/>
      <c r="F276" s="1134"/>
      <c r="G276" s="1134"/>
      <c r="H276" s="1134"/>
      <c r="I276" s="1134"/>
      <c r="J276" s="1134"/>
      <c r="K276" s="1134"/>
      <c r="L276" s="1134"/>
      <c r="M276" s="1134"/>
      <c r="N276" s="1185"/>
      <c r="O276" s="1185"/>
      <c r="P276" s="1186"/>
      <c r="Q276" s="1186"/>
      <c r="R276" s="1135"/>
      <c r="S276" s="1135"/>
      <c r="T276" s="1136"/>
      <c r="U276" s="673"/>
      <c r="V276" s="1134"/>
      <c r="W276" s="1134"/>
      <c r="X276" s="1134"/>
      <c r="Y276" s="1134"/>
      <c r="Z276" s="1204"/>
      <c r="AA276" s="1199"/>
      <c r="AB276" s="1205"/>
      <c r="AC276" s="1205"/>
      <c r="AD276" s="1205"/>
      <c r="AE276" s="1205"/>
      <c r="AF276" s="1206"/>
      <c r="AG276" s="1202"/>
      <c r="AH276" s="2155"/>
      <c r="AI276" s="1193"/>
      <c r="AJ276" s="1015"/>
      <c r="AK276" s="1015"/>
      <c r="AL276" s="1015"/>
      <c r="AM276" s="1015"/>
      <c r="AN276" s="1015"/>
      <c r="AO276" s="1015"/>
      <c r="AP276" s="1015"/>
      <c r="AQ276" s="1015"/>
      <c r="AR276" s="1015"/>
      <c r="AS276" s="1015"/>
      <c r="AT276" s="1148"/>
      <c r="AU276" s="673"/>
      <c r="AV276" s="1135"/>
      <c r="AW276" s="1135"/>
      <c r="AX276" s="1134"/>
      <c r="AY276" s="1134"/>
      <c r="AZ276" s="1185"/>
      <c r="BA276" s="1185"/>
      <c r="BB276" s="1185"/>
      <c r="BC276" s="1185"/>
      <c r="BD276" s="1134"/>
      <c r="BE276" s="1134"/>
      <c r="BF276" s="1150"/>
      <c r="BG276" s="673"/>
    </row>
    <row r="277" spans="3:60" ht="100" customHeight="1" thickBot="1" x14ac:dyDescent="1.05">
      <c r="E277" s="635"/>
      <c r="F277" s="1134"/>
      <c r="G277" s="1134"/>
      <c r="H277" s="1134"/>
      <c r="I277" s="1134"/>
      <c r="J277" s="1134"/>
      <c r="K277" s="1134"/>
      <c r="L277" s="1134"/>
      <c r="M277" s="1134"/>
      <c r="N277" s="1134"/>
      <c r="O277" s="1134"/>
      <c r="P277" s="1135"/>
      <c r="Q277" s="1135"/>
      <c r="R277" s="1135"/>
      <c r="S277" s="1135"/>
      <c r="T277" s="1136"/>
      <c r="U277" s="673"/>
      <c r="V277" s="1134"/>
      <c r="W277" s="1134"/>
      <c r="X277" s="1134"/>
      <c r="Y277" s="1134"/>
      <c r="Z277" s="1216"/>
      <c r="AA277" s="652"/>
      <c r="AB277" s="1217"/>
      <c r="AC277" s="1218"/>
      <c r="AD277" s="1218"/>
      <c r="AE277" s="1218"/>
      <c r="AF277" s="1219"/>
      <c r="AG277" s="1202"/>
      <c r="AH277" s="2156"/>
      <c r="AI277" s="1193"/>
      <c r="AJ277" s="1026"/>
      <c r="AK277" s="1026"/>
      <c r="AL277" s="1026"/>
      <c r="AM277" s="1028"/>
      <c r="AN277" s="1027"/>
      <c r="AO277" s="1027"/>
      <c r="AP277" s="1027"/>
      <c r="AQ277" s="1027"/>
      <c r="AR277" s="1027"/>
      <c r="AS277" s="1027"/>
      <c r="AT277" s="1220"/>
      <c r="AU277" s="675"/>
      <c r="AV277" s="1221"/>
      <c r="AW277" s="1221"/>
      <c r="AX277" s="1221"/>
      <c r="AY277" s="1221"/>
      <c r="AZ277" s="1221"/>
      <c r="BA277" s="1221"/>
      <c r="BB277" s="1221"/>
      <c r="BC277" s="1221"/>
      <c r="BD277" s="1221"/>
      <c r="BE277" s="1221"/>
      <c r="BF277" s="1222"/>
      <c r="BG277" s="673"/>
    </row>
    <row r="278" spans="3:60" ht="10" customHeight="1" thickTop="1" thickBot="1" x14ac:dyDescent="1.05">
      <c r="E278" s="635"/>
      <c r="F278" s="883"/>
      <c r="G278" s="634"/>
      <c r="H278" s="634"/>
      <c r="I278" s="634"/>
      <c r="J278" s="634"/>
      <c r="K278" s="634"/>
      <c r="L278" s="634"/>
      <c r="M278" s="634"/>
      <c r="N278" s="634"/>
      <c r="O278" s="634"/>
      <c r="P278" s="634"/>
      <c r="Q278" s="634"/>
      <c r="R278" s="634"/>
      <c r="S278" s="634"/>
      <c r="T278" s="634"/>
      <c r="U278" s="634"/>
      <c r="V278" s="634"/>
      <c r="W278" s="634"/>
      <c r="X278" s="634"/>
      <c r="Y278" s="634"/>
      <c r="Z278" s="652"/>
      <c r="AA278" s="1199"/>
      <c r="AB278" s="1223"/>
      <c r="AC278" s="1224"/>
      <c r="AD278" s="1224"/>
      <c r="AE278" s="1224"/>
      <c r="AF278" s="1225"/>
      <c r="AG278" s="1202"/>
      <c r="AH278" s="1226"/>
      <c r="AI278" s="1227"/>
      <c r="AJ278" s="1228"/>
      <c r="AK278" s="1229"/>
      <c r="AL278" s="1229"/>
      <c r="AM278" s="1230"/>
      <c r="AN278" s="1231"/>
      <c r="AO278" s="1231"/>
      <c r="AP278" s="1232"/>
      <c r="AQ278" s="1231"/>
      <c r="AR278" s="1229"/>
      <c r="AS278" s="1231"/>
      <c r="AT278" s="1233"/>
      <c r="AU278" s="673"/>
      <c r="AV278" s="885"/>
      <c r="AW278" s="885"/>
      <c r="AX278" s="885"/>
      <c r="AY278" s="885"/>
      <c r="AZ278" s="885"/>
      <c r="BA278" s="885"/>
      <c r="BB278" s="885"/>
      <c r="BC278" s="885"/>
      <c r="BD278" s="885"/>
      <c r="BE278" s="885"/>
      <c r="BF278" s="885"/>
      <c r="BG278" s="673"/>
    </row>
    <row r="279" spans="3:60" ht="100" customHeight="1" thickTop="1" x14ac:dyDescent="1">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c r="AA279" s="356"/>
      <c r="AB279" s="356"/>
      <c r="AH279" s="1234"/>
    </row>
    <row r="280" spans="3:60" ht="100" customHeight="1" x14ac:dyDescent="1">
      <c r="AL280" s="358"/>
      <c r="AM280" s="358"/>
      <c r="AN280" s="358"/>
    </row>
    <row r="281" spans="3:60" s="1426" customFormat="1" ht="190" customHeight="1" x14ac:dyDescent="1.2">
      <c r="C281" s="1431"/>
      <c r="F281" s="1457" t="s">
        <v>181</v>
      </c>
      <c r="G281" s="1457"/>
      <c r="H281" s="1435"/>
      <c r="I281" s="1435"/>
      <c r="J281" s="1435"/>
      <c r="K281" s="1435"/>
      <c r="L281" s="1435"/>
      <c r="M281" s="1435"/>
      <c r="N281" s="1435"/>
      <c r="O281" s="1435"/>
      <c r="P281" s="1435"/>
      <c r="Q281" s="1435"/>
      <c r="R281" s="1435"/>
      <c r="S281" s="1435"/>
      <c r="T281" s="1435"/>
      <c r="U281" s="1435"/>
      <c r="V281" s="1435"/>
      <c r="W281" s="1435"/>
      <c r="X281" s="1435"/>
      <c r="Y281" s="1435"/>
      <c r="Z281" s="1435"/>
      <c r="AA281" s="1435"/>
      <c r="AB281" s="1435"/>
      <c r="AC281" s="1435"/>
      <c r="AD281" s="1435"/>
      <c r="AE281" s="1435"/>
      <c r="AF281" s="1435"/>
      <c r="AG281" s="1435"/>
      <c r="AH281" s="1435"/>
      <c r="AI281" s="1435"/>
      <c r="AJ281" s="1435"/>
      <c r="AK281" s="1435"/>
      <c r="AL281" s="1435"/>
      <c r="AM281" s="1435"/>
      <c r="AN281" s="1435"/>
      <c r="AO281" s="1435"/>
      <c r="AP281" s="1435"/>
      <c r="AQ281" s="1435"/>
      <c r="AR281" s="1435"/>
      <c r="AS281" s="1435"/>
      <c r="AT281" s="1435"/>
      <c r="AU281" s="1435"/>
      <c r="AV281" s="1435"/>
      <c r="AW281" s="1435"/>
      <c r="AX281" s="1435"/>
      <c r="AY281" s="1435"/>
      <c r="AZ281" s="1435"/>
      <c r="BA281" s="1435"/>
      <c r="BB281" s="1435"/>
      <c r="BC281" s="1435"/>
      <c r="BD281" s="1435"/>
      <c r="BE281" s="1435"/>
      <c r="BF281" s="1435"/>
      <c r="BG281" s="1435"/>
      <c r="BH281" s="1435"/>
    </row>
    <row r="282" spans="3:60" s="1429" customFormat="1" ht="100" customHeight="1" x14ac:dyDescent="1.2">
      <c r="C282" s="1432"/>
      <c r="F282" s="1458"/>
      <c r="G282" s="1458"/>
    </row>
    <row r="283" spans="3:60" s="1426" customFormat="1" ht="100" customHeight="1" x14ac:dyDescent="1.2">
      <c r="C283" s="1431"/>
      <c r="F283" s="1436" t="s">
        <v>131</v>
      </c>
      <c r="G283" s="1436"/>
      <c r="J283" s="1440"/>
      <c r="K283" s="1440"/>
      <c r="L283" s="1427" t="s">
        <v>134</v>
      </c>
      <c r="M283" s="1427"/>
      <c r="Q283" s="1440"/>
      <c r="R283" s="1440">
        <v>20000</v>
      </c>
      <c r="T283" s="1426" t="s">
        <v>33</v>
      </c>
      <c r="AF283" s="1436" t="s">
        <v>231</v>
      </c>
      <c r="AH283" s="1427" t="s">
        <v>151</v>
      </c>
      <c r="AI283" s="1427"/>
      <c r="AJ283" s="1426" t="s">
        <v>183</v>
      </c>
    </row>
    <row r="284" spans="3:60" s="1426" customFormat="1" ht="100" customHeight="1" x14ac:dyDescent="1.2">
      <c r="C284" s="1431"/>
      <c r="F284" s="1426" t="s">
        <v>180</v>
      </c>
      <c r="J284" s="1440"/>
      <c r="K284" s="1440"/>
      <c r="L284" s="1427"/>
      <c r="M284" s="1427"/>
      <c r="P284" s="1440"/>
      <c r="Q284" s="1440"/>
      <c r="AJ284" s="1426" t="s">
        <v>250</v>
      </c>
    </row>
    <row r="285" spans="3:60" s="1426" customFormat="1" ht="100" customHeight="1" x14ac:dyDescent="1.2">
      <c r="C285" s="1431"/>
      <c r="J285" s="1440"/>
      <c r="K285" s="1440"/>
      <c r="L285" s="1427"/>
      <c r="M285" s="1427"/>
      <c r="P285" s="1440"/>
      <c r="Q285" s="1440"/>
      <c r="AH285" s="1427" t="s">
        <v>151</v>
      </c>
      <c r="AI285" s="1427"/>
      <c r="AJ285" s="1426" t="s">
        <v>184</v>
      </c>
    </row>
    <row r="286" spans="3:60" s="1426" customFormat="1" ht="100" customHeight="1" x14ac:dyDescent="1.2">
      <c r="C286" s="1431"/>
      <c r="J286" s="1440"/>
      <c r="K286" s="1440"/>
      <c r="L286" s="1427"/>
      <c r="M286" s="1427"/>
      <c r="P286" s="1440"/>
      <c r="Q286" s="1440"/>
      <c r="AH286" s="1427"/>
      <c r="AI286" s="1427"/>
      <c r="AJ286" s="1426" t="s">
        <v>279</v>
      </c>
    </row>
    <row r="287" spans="3:60" s="1426" customFormat="1" ht="100" customHeight="1" x14ac:dyDescent="1.2">
      <c r="C287" s="1431"/>
      <c r="J287" s="1440"/>
      <c r="K287" s="1440"/>
      <c r="L287" s="1427"/>
      <c r="M287" s="1427"/>
      <c r="P287" s="1440"/>
      <c r="Q287" s="1440"/>
      <c r="AH287" s="1427"/>
      <c r="AI287" s="1427"/>
      <c r="AJ287" s="1426" t="s">
        <v>185</v>
      </c>
    </row>
    <row r="288" spans="3:60" ht="100" customHeight="1" thickBot="1" x14ac:dyDescent="1.05">
      <c r="C288" s="1235"/>
      <c r="D288" s="408"/>
      <c r="E288" s="408"/>
      <c r="F288" s="408"/>
      <c r="G288" s="408"/>
      <c r="H288" s="408"/>
      <c r="I288" s="408"/>
      <c r="J288" s="694"/>
      <c r="K288" s="694"/>
      <c r="L288" s="850"/>
      <c r="M288" s="850"/>
      <c r="N288" s="408"/>
      <c r="O288" s="408"/>
      <c r="P288" s="694"/>
      <c r="Q288" s="694"/>
      <c r="R288" s="408"/>
      <c r="S288" s="408"/>
      <c r="T288" s="408"/>
      <c r="U288" s="408"/>
      <c r="V288" s="408"/>
      <c r="W288" s="408"/>
      <c r="AQ288" s="408"/>
      <c r="BG288" s="408"/>
      <c r="BH288" s="408"/>
    </row>
    <row r="289" spans="3:60" ht="10" customHeight="1" thickTop="1" thickBot="1" x14ac:dyDescent="1.05">
      <c r="C289" s="1236"/>
      <c r="D289" s="1237"/>
      <c r="E289" s="1238"/>
      <c r="F289" s="1238"/>
      <c r="G289" s="1238"/>
      <c r="H289" s="1238"/>
      <c r="I289" s="1238"/>
      <c r="J289" s="1239"/>
      <c r="K289" s="1239"/>
      <c r="L289" s="1240"/>
      <c r="M289" s="1240"/>
      <c r="N289" s="1238"/>
      <c r="O289" s="1238"/>
      <c r="P289" s="1239"/>
      <c r="Q289" s="1239"/>
      <c r="R289" s="1238"/>
      <c r="S289" s="1238"/>
      <c r="T289" s="1241"/>
      <c r="U289" s="1242"/>
      <c r="V289" s="408"/>
      <c r="W289" s="408"/>
      <c r="AQ289" s="1243"/>
      <c r="AR289" s="1244"/>
      <c r="AS289" s="1244"/>
      <c r="AT289" s="1244"/>
      <c r="AU289" s="1244"/>
      <c r="AV289" s="1244"/>
      <c r="AW289" s="1244"/>
      <c r="AX289" s="1244"/>
      <c r="AY289" s="1244"/>
      <c r="AZ289" s="1244"/>
      <c r="BA289" s="1244"/>
      <c r="BB289" s="1244"/>
      <c r="BC289" s="1244"/>
      <c r="BD289" s="1244"/>
      <c r="BE289" s="1244"/>
      <c r="BF289" s="1244"/>
      <c r="BG289" s="1244"/>
      <c r="BH289" s="1244"/>
    </row>
    <row r="290" spans="3:60" ht="100" customHeight="1" thickTop="1" thickBot="1" x14ac:dyDescent="1.05">
      <c r="C290" s="1245"/>
      <c r="E290" s="372"/>
      <c r="F290" s="1246"/>
      <c r="G290" s="1246"/>
      <c r="H290" s="408"/>
      <c r="I290" s="408"/>
      <c r="T290" s="1247"/>
      <c r="U290" s="1248"/>
      <c r="V290" s="372"/>
      <c r="W290" s="408"/>
      <c r="AJ290" s="408"/>
      <c r="AK290" s="408"/>
      <c r="AL290" s="408"/>
      <c r="AM290" s="408"/>
      <c r="AN290" s="408"/>
      <c r="AO290" s="408"/>
      <c r="AP290" s="1247"/>
      <c r="AQ290" s="1249"/>
      <c r="AR290" s="1250"/>
      <c r="AS290" s="1251"/>
      <c r="AT290" s="1251"/>
      <c r="AU290" s="356"/>
      <c r="AV290" s="356"/>
      <c r="AW290" s="356"/>
      <c r="AX290" s="356"/>
      <c r="AY290" s="356"/>
      <c r="AZ290" s="356"/>
      <c r="BA290" s="356"/>
      <c r="BB290" s="356"/>
      <c r="BC290" s="356"/>
      <c r="BD290" s="356"/>
      <c r="BE290" s="356"/>
      <c r="BF290" s="356"/>
      <c r="BG290" s="408"/>
      <c r="BH290" s="1247"/>
    </row>
    <row r="291" spans="3:60" ht="10" customHeight="1" thickTop="1" thickBot="1" x14ac:dyDescent="1.05">
      <c r="C291" s="1245"/>
      <c r="E291" s="769"/>
      <c r="F291" s="476"/>
      <c r="G291" s="476"/>
      <c r="H291" s="476"/>
      <c r="I291" s="476"/>
      <c r="J291" s="476"/>
      <c r="K291" s="476"/>
      <c r="L291" s="476"/>
      <c r="M291" s="476"/>
      <c r="N291" s="699"/>
      <c r="O291" s="476"/>
      <c r="P291" s="701"/>
      <c r="Q291" s="476"/>
      <c r="R291" s="944"/>
      <c r="S291" s="476"/>
      <c r="T291" s="1252"/>
      <c r="U291" s="1242"/>
      <c r="V291" s="476"/>
      <c r="W291" s="476"/>
      <c r="X291" s="476"/>
      <c r="Y291" s="477"/>
      <c r="Z291" s="477"/>
      <c r="AA291" s="476"/>
      <c r="AB291" s="476"/>
      <c r="AC291" s="698"/>
      <c r="AD291" s="753"/>
      <c r="AE291" s="754"/>
      <c r="AF291" s="754"/>
      <c r="AG291" s="754"/>
      <c r="AH291" s="755"/>
      <c r="AI291" s="795"/>
      <c r="AJ291" s="1046"/>
      <c r="AK291" s="1046"/>
      <c r="AL291" s="1046"/>
      <c r="AM291" s="1046"/>
      <c r="AN291" s="1046"/>
      <c r="AO291" s="1046"/>
      <c r="AP291" s="1253"/>
      <c r="AQ291" s="1248"/>
      <c r="AR291" s="1254"/>
      <c r="AS291" s="1254"/>
      <c r="AT291" s="1254"/>
      <c r="AU291" s="1255"/>
      <c r="AV291" s="1256"/>
      <c r="AW291" s="1257"/>
      <c r="AX291" s="1257"/>
      <c r="AY291" s="1257"/>
      <c r="AZ291" s="1257"/>
      <c r="BA291" s="1257"/>
      <c r="BB291" s="1257"/>
      <c r="BC291" s="1257"/>
      <c r="BD291" s="1257"/>
      <c r="BE291" s="1257"/>
      <c r="BF291" s="1257"/>
      <c r="BG291" s="944"/>
      <c r="BH291" s="1247"/>
    </row>
    <row r="292" spans="3:60" ht="100" customHeight="1" thickTop="1" x14ac:dyDescent="1">
      <c r="C292" s="1245"/>
      <c r="E292" s="465"/>
      <c r="F292" s="716"/>
      <c r="G292" s="716"/>
      <c r="H292" s="716"/>
      <c r="I292" s="716"/>
      <c r="J292" s="716"/>
      <c r="K292" s="716"/>
      <c r="L292" s="716"/>
      <c r="M292" s="716"/>
      <c r="N292" s="717"/>
      <c r="O292" s="717"/>
      <c r="P292" s="718"/>
      <c r="Q292" s="465"/>
      <c r="R292" s="390"/>
      <c r="S292" s="386"/>
      <c r="T292" s="1258"/>
      <c r="U292" s="1242"/>
      <c r="V292" s="909"/>
      <c r="W292" s="716"/>
      <c r="X292" s="1259"/>
      <c r="Y292" s="1260"/>
      <c r="Z292" s="907"/>
      <c r="AA292" s="909"/>
      <c r="AB292" s="484"/>
      <c r="AC292" s="916"/>
      <c r="AD292" s="797"/>
      <c r="AE292" s="797"/>
      <c r="AF292" s="797"/>
      <c r="AG292" s="797"/>
      <c r="AH292" s="721"/>
      <c r="AI292" s="798"/>
      <c r="AJ292" s="388"/>
      <c r="AK292" s="388"/>
      <c r="AL292" s="388"/>
      <c r="AM292" s="388"/>
      <c r="AN292" s="392"/>
      <c r="AO292" s="799"/>
      <c r="AP292" s="1261"/>
      <c r="AQ292" s="1248"/>
      <c r="AR292" s="1262"/>
      <c r="AS292" s="1262"/>
      <c r="AT292" s="1263"/>
      <c r="AU292" s="1264"/>
      <c r="AV292" s="1265"/>
      <c r="AW292" s="1266"/>
      <c r="AX292" s="1266"/>
      <c r="AY292" s="1266"/>
      <c r="AZ292" s="1267"/>
      <c r="BA292" s="1267"/>
      <c r="BB292" s="1266"/>
      <c r="BC292" s="1266"/>
      <c r="BD292" s="1266"/>
      <c r="BE292" s="1266"/>
      <c r="BF292" s="1266"/>
      <c r="BG292" s="916"/>
      <c r="BH292" s="1247"/>
    </row>
    <row r="293" spans="3:60" ht="100" customHeight="1" x14ac:dyDescent="1">
      <c r="C293" s="1245"/>
      <c r="E293" s="465"/>
      <c r="F293" s="386"/>
      <c r="G293" s="386"/>
      <c r="H293" s="386"/>
      <c r="I293" s="386"/>
      <c r="J293" s="386"/>
      <c r="K293" s="386"/>
      <c r="L293" s="386"/>
      <c r="M293" s="386"/>
      <c r="N293" s="392"/>
      <c r="O293" s="392"/>
      <c r="P293" s="505"/>
      <c r="Q293" s="465"/>
      <c r="R293" s="1586" t="s">
        <v>152</v>
      </c>
      <c r="S293" s="1268"/>
      <c r="T293" s="1587" t="s">
        <v>152</v>
      </c>
      <c r="U293" s="1269"/>
      <c r="V293" s="1546" t="s">
        <v>152</v>
      </c>
      <c r="W293" s="1545"/>
      <c r="X293" s="1545" t="s">
        <v>152</v>
      </c>
      <c r="Y293" s="1545"/>
      <c r="Z293" s="489" t="s">
        <v>152</v>
      </c>
      <c r="AA293" s="1545"/>
      <c r="AB293" s="1552" t="s">
        <v>152</v>
      </c>
      <c r="AC293" s="932"/>
      <c r="AD293" s="797"/>
      <c r="AE293" s="797"/>
      <c r="AF293" s="801"/>
      <c r="AG293" s="801"/>
      <c r="AH293" s="721"/>
      <c r="AI293" s="704"/>
      <c r="AJ293" s="388"/>
      <c r="AK293" s="388"/>
      <c r="AL293" s="388"/>
      <c r="AM293" s="388"/>
      <c r="AN293" s="388"/>
      <c r="AO293" s="388"/>
      <c r="AP293" s="1270"/>
      <c r="AQ293" s="1248"/>
      <c r="AR293" s="1262"/>
      <c r="AS293" s="1262"/>
      <c r="AT293" s="1263"/>
      <c r="AU293" s="1264"/>
      <c r="AV293" s="1265"/>
      <c r="AW293" s="1266"/>
      <c r="AX293" s="1266"/>
      <c r="AY293" s="1266"/>
      <c r="AZ293" s="1267"/>
      <c r="BA293" s="1267"/>
      <c r="BB293" s="1266"/>
      <c r="BC293" s="1266"/>
      <c r="BD293" s="1266"/>
      <c r="BE293" s="1266"/>
      <c r="BF293" s="1266"/>
      <c r="BG293" s="916"/>
      <c r="BH293" s="1247"/>
    </row>
    <row r="294" spans="3:60" ht="100" customHeight="1" x14ac:dyDescent="1">
      <c r="C294" s="1245"/>
      <c r="D294" s="408"/>
      <c r="E294" s="465"/>
      <c r="F294" s="1545"/>
      <c r="G294" s="1545"/>
      <c r="H294" s="386"/>
      <c r="I294" s="386"/>
      <c r="J294" s="386"/>
      <c r="K294" s="386"/>
      <c r="L294" s="386"/>
      <c r="M294" s="386"/>
      <c r="N294" s="1560"/>
      <c r="O294" s="1560"/>
      <c r="P294" s="1548"/>
      <c r="Q294" s="1539"/>
      <c r="R294" s="1586" t="s">
        <v>153</v>
      </c>
      <c r="S294" s="1268"/>
      <c r="T294" s="1587" t="s">
        <v>154</v>
      </c>
      <c r="U294" s="1269"/>
      <c r="V294" s="1546" t="s">
        <v>154</v>
      </c>
      <c r="W294" s="1545"/>
      <c r="X294" s="1545" t="s">
        <v>154</v>
      </c>
      <c r="Y294" s="1545"/>
      <c r="Z294" s="489" t="s">
        <v>154</v>
      </c>
      <c r="AA294" s="1545"/>
      <c r="AB294" s="1552" t="s">
        <v>154</v>
      </c>
      <c r="AC294" s="932"/>
      <c r="AD294" s="801"/>
      <c r="AE294" s="801"/>
      <c r="AF294" s="801"/>
      <c r="AG294" s="801"/>
      <c r="AH294" s="1568"/>
      <c r="AI294" s="725"/>
      <c r="AJ294" s="1569"/>
      <c r="AK294" s="1569"/>
      <c r="AL294" s="1569"/>
      <c r="AM294" s="1569"/>
      <c r="AN294" s="1569"/>
      <c r="AO294" s="1569"/>
      <c r="AP294" s="1271"/>
      <c r="AQ294" s="1272"/>
      <c r="AR294" s="1273"/>
      <c r="AS294" s="1273"/>
      <c r="AT294" s="1590"/>
      <c r="AU294" s="1274"/>
      <c r="AV294" s="1275"/>
      <c r="AW294" s="1276"/>
      <c r="AX294" s="1276"/>
      <c r="AY294" s="1276"/>
      <c r="AZ294" s="1277"/>
      <c r="BA294" s="1277"/>
      <c r="BB294" s="1276"/>
      <c r="BC294" s="1276"/>
      <c r="BD294" s="1276"/>
      <c r="BE294" s="1276"/>
      <c r="BF294" s="1266"/>
      <c r="BG294" s="916"/>
      <c r="BH294" s="1247"/>
    </row>
    <row r="295" spans="3:60" ht="100" customHeight="1" x14ac:dyDescent="1">
      <c r="C295" s="1245"/>
      <c r="E295" s="465"/>
      <c r="F295" s="1545"/>
      <c r="G295" s="1545"/>
      <c r="H295" s="1278" t="s">
        <v>179</v>
      </c>
      <c r="I295" s="1278"/>
      <c r="J295" s="1278"/>
      <c r="K295" s="1278"/>
      <c r="L295" s="1278"/>
      <c r="M295" s="1278"/>
      <c r="N295" s="728" t="s">
        <v>175</v>
      </c>
      <c r="O295" s="728"/>
      <c r="P295" s="1548"/>
      <c r="Q295" s="1539"/>
      <c r="R295" s="1586" t="s">
        <v>121</v>
      </c>
      <c r="S295" s="1268"/>
      <c r="T295" s="1587" t="s">
        <v>125</v>
      </c>
      <c r="U295" s="1269"/>
      <c r="V295" s="1546" t="s">
        <v>121</v>
      </c>
      <c r="W295" s="1545"/>
      <c r="X295" s="1545" t="s">
        <v>20</v>
      </c>
      <c r="Y295" s="1545"/>
      <c r="Z295" s="489" t="s">
        <v>20</v>
      </c>
      <c r="AA295" s="1545"/>
      <c r="AB295" s="1552" t="s">
        <v>121</v>
      </c>
      <c r="AC295" s="932"/>
      <c r="AD295" s="801"/>
      <c r="AE295" s="801"/>
      <c r="AF295" s="801" t="s">
        <v>138</v>
      </c>
      <c r="AG295" s="801"/>
      <c r="AH295" s="1568"/>
      <c r="AI295" s="725"/>
      <c r="AJ295" s="2073" t="s">
        <v>124</v>
      </c>
      <c r="AK295" s="2056"/>
      <c r="AL295" s="2056"/>
      <c r="AM295" s="2056"/>
      <c r="AN295" s="2056"/>
      <c r="AO295" s="1569"/>
      <c r="AP295" s="1271" t="s">
        <v>178</v>
      </c>
      <c r="AQ295" s="1272"/>
      <c r="AR295" s="2180" t="s">
        <v>139</v>
      </c>
      <c r="AS295" s="2181"/>
      <c r="AT295" s="2181"/>
      <c r="AU295" s="1274"/>
      <c r="AV295" s="1275"/>
      <c r="AW295" s="1276"/>
      <c r="AX295" s="1276"/>
      <c r="AY295" s="1276"/>
      <c r="AZ295" s="728" t="s">
        <v>175</v>
      </c>
      <c r="BA295" s="728"/>
      <c r="BB295" s="1592"/>
      <c r="BC295" s="1592"/>
      <c r="BD295" s="1276"/>
      <c r="BE295" s="1276"/>
      <c r="BF295" s="1276"/>
      <c r="BG295" s="916"/>
      <c r="BH295" s="1247"/>
    </row>
    <row r="296" spans="3:60" ht="100" customHeight="1" x14ac:dyDescent="1">
      <c r="C296" s="1245"/>
      <c r="E296" s="465"/>
      <c r="F296" s="386"/>
      <c r="G296" s="386"/>
      <c r="H296" s="1280">
        <v>2700</v>
      </c>
      <c r="I296" s="1280"/>
      <c r="J296" s="1278"/>
      <c r="K296" s="1278"/>
      <c r="L296" s="1278"/>
      <c r="M296" s="1278"/>
      <c r="N296" s="728" t="s">
        <v>127</v>
      </c>
      <c r="O296" s="728"/>
      <c r="P296" s="505"/>
      <c r="Q296" s="465"/>
      <c r="R296" s="1586">
        <v>300</v>
      </c>
      <c r="S296" s="1268"/>
      <c r="T296" s="1587">
        <v>500</v>
      </c>
      <c r="U296" s="1269"/>
      <c r="V296" s="1546">
        <v>300</v>
      </c>
      <c r="W296" s="1545"/>
      <c r="X296" s="1545">
        <v>450</v>
      </c>
      <c r="Y296" s="1545"/>
      <c r="Z296" s="489">
        <v>450</v>
      </c>
      <c r="AA296" s="1545"/>
      <c r="AB296" s="1552">
        <v>300</v>
      </c>
      <c r="AC296" s="932"/>
      <c r="AD296" s="797"/>
      <c r="AE296" s="797"/>
      <c r="AF296" s="918">
        <v>400</v>
      </c>
      <c r="AG296" s="918"/>
      <c r="AH296" s="721"/>
      <c r="AI296" s="704"/>
      <c r="AJ296" s="388"/>
      <c r="AK296" s="388"/>
      <c r="AL296" s="388"/>
      <c r="AM296" s="388"/>
      <c r="AN296" s="388"/>
      <c r="AO296" s="388"/>
      <c r="AP296" s="1271" t="s">
        <v>127</v>
      </c>
      <c r="AQ296" s="1272"/>
      <c r="AR296" s="2180">
        <v>300</v>
      </c>
      <c r="AS296" s="2181"/>
      <c r="AT296" s="2181"/>
      <c r="AU296" s="1274"/>
      <c r="AV296" s="1265"/>
      <c r="AW296" s="1266"/>
      <c r="AX296" s="1266"/>
      <c r="AY296" s="1266"/>
      <c r="AZ296" s="728" t="s">
        <v>127</v>
      </c>
      <c r="BA296" s="728"/>
      <c r="BB296" s="1266"/>
      <c r="BC296" s="1266"/>
      <c r="BD296" s="1266"/>
      <c r="BE296" s="1266"/>
      <c r="BF296" s="1266"/>
      <c r="BG296" s="916"/>
      <c r="BH296" s="1247"/>
    </row>
    <row r="297" spans="3:60" ht="100" customHeight="1" x14ac:dyDescent="1">
      <c r="C297" s="1245"/>
      <c r="E297" s="465"/>
      <c r="F297" s="386"/>
      <c r="G297" s="386"/>
      <c r="H297" s="386"/>
      <c r="I297" s="386"/>
      <c r="J297" s="386"/>
      <c r="K297" s="386"/>
      <c r="L297" s="386"/>
      <c r="M297" s="386"/>
      <c r="N297" s="392"/>
      <c r="O297" s="392"/>
      <c r="P297" s="505"/>
      <c r="Q297" s="465"/>
      <c r="R297" s="1546"/>
      <c r="S297" s="489"/>
      <c r="T297" s="1589"/>
      <c r="U297" s="1272"/>
      <c r="V297" s="1546"/>
      <c r="W297" s="1545"/>
      <c r="X297" s="1545"/>
      <c r="Y297" s="1545"/>
      <c r="Z297" s="489"/>
      <c r="AA297" s="1545"/>
      <c r="AB297" s="1552"/>
      <c r="AC297" s="932"/>
      <c r="AD297" s="797"/>
      <c r="AE297" s="797"/>
      <c r="AF297" s="797"/>
      <c r="AG297" s="797"/>
      <c r="AH297" s="721"/>
      <c r="AI297" s="704"/>
      <c r="AJ297" s="388"/>
      <c r="AK297" s="388"/>
      <c r="AL297" s="388"/>
      <c r="AM297" s="388"/>
      <c r="AN297" s="388"/>
      <c r="AO297" s="388"/>
      <c r="AP297" s="1270"/>
      <c r="AQ297" s="1248"/>
      <c r="AR297" s="1262"/>
      <c r="AS297" s="1262"/>
      <c r="AT297" s="1263"/>
      <c r="AU297" s="1281"/>
      <c r="AV297" s="1266"/>
      <c r="AW297" s="1266"/>
      <c r="AX297" s="1266"/>
      <c r="AY297" s="1266"/>
      <c r="AZ297" s="1267"/>
      <c r="BA297" s="1267"/>
      <c r="BB297" s="1266"/>
      <c r="BC297" s="1266"/>
      <c r="BD297" s="1266"/>
      <c r="BE297" s="1266"/>
      <c r="BF297" s="1266"/>
      <c r="BG297" s="916"/>
      <c r="BH297" s="1247"/>
    </row>
    <row r="298" spans="3:60" ht="100" customHeight="1" thickBot="1" x14ac:dyDescent="1.05">
      <c r="C298" s="1245"/>
      <c r="E298" s="465"/>
      <c r="F298" s="500"/>
      <c r="G298" s="500"/>
      <c r="H298" s="500"/>
      <c r="I298" s="500"/>
      <c r="J298" s="500"/>
      <c r="K298" s="500"/>
      <c r="L298" s="500"/>
      <c r="M298" s="500"/>
      <c r="N298" s="744"/>
      <c r="O298" s="744"/>
      <c r="P298" s="509"/>
      <c r="Q298" s="1282"/>
      <c r="R298" s="1283"/>
      <c r="S298" s="1284"/>
      <c r="T298" s="1285"/>
      <c r="U298" s="1248"/>
      <c r="V298" s="497"/>
      <c r="W298" s="386"/>
      <c r="X298" s="386"/>
      <c r="Y298" s="1286"/>
      <c r="Z298" s="495"/>
      <c r="AA298" s="386"/>
      <c r="AB298" s="484"/>
      <c r="AC298" s="928"/>
      <c r="AD298" s="746"/>
      <c r="AE298" s="746"/>
      <c r="AF298" s="746"/>
      <c r="AG298" s="746"/>
      <c r="AH298" s="747"/>
      <c r="AI298" s="704"/>
      <c r="AJ298" s="388"/>
      <c r="AK298" s="388"/>
      <c r="AL298" s="388"/>
      <c r="AM298" s="388"/>
      <c r="AN298" s="388"/>
      <c r="AO298" s="388"/>
      <c r="AP298" s="1270"/>
      <c r="AQ298" s="1248"/>
      <c r="AR298" s="1287"/>
      <c r="AS298" s="1287"/>
      <c r="AT298" s="1287"/>
      <c r="AU298" s="1281"/>
      <c r="AV298" s="1266"/>
      <c r="AW298" s="1266"/>
      <c r="AX298" s="1266"/>
      <c r="AY298" s="1266"/>
      <c r="AZ298" s="1267"/>
      <c r="BA298" s="1267"/>
      <c r="BB298" s="1266"/>
      <c r="BC298" s="1266"/>
      <c r="BD298" s="1266"/>
      <c r="BE298" s="1266"/>
      <c r="BF298" s="1266"/>
      <c r="BG298" s="916"/>
      <c r="BH298" s="1247"/>
    </row>
    <row r="299" spans="3:60" ht="10" customHeight="1" thickTop="1" thickBot="1" x14ac:dyDescent="1.05">
      <c r="C299" s="1245"/>
      <c r="E299" s="465"/>
      <c r="F299" s="465"/>
      <c r="G299" s="465"/>
      <c r="H299" s="465"/>
      <c r="I299" s="465"/>
      <c r="J299" s="465"/>
      <c r="K299" s="465"/>
      <c r="L299" s="465"/>
      <c r="M299" s="465"/>
      <c r="N299" s="465"/>
      <c r="O299" s="465"/>
      <c r="P299" s="1288"/>
      <c r="Q299" s="1237"/>
      <c r="R299" s="1237"/>
      <c r="S299" s="1289"/>
      <c r="T299" s="1290"/>
      <c r="U299" s="1291"/>
      <c r="V299" s="476"/>
      <c r="W299" s="476"/>
      <c r="X299" s="476"/>
      <c r="Y299" s="476"/>
      <c r="Z299" s="476"/>
      <c r="AA299" s="476"/>
      <c r="AB299" s="476"/>
      <c r="AC299" s="478"/>
      <c r="AD299" s="1292"/>
      <c r="AE299" s="874"/>
      <c r="AF299" s="874"/>
      <c r="AG299" s="874"/>
      <c r="AH299" s="874"/>
      <c r="AI299" s="748"/>
      <c r="AJ299" s="388"/>
      <c r="AK299" s="388"/>
      <c r="AL299" s="388"/>
      <c r="AM299" s="388"/>
      <c r="AN299" s="388"/>
      <c r="AO299" s="388"/>
      <c r="AP299" s="1261"/>
      <c r="AQ299" s="1248"/>
      <c r="AR299" s="1293"/>
      <c r="AS299" s="1294"/>
      <c r="AT299" s="1294"/>
      <c r="AU299" s="1295"/>
      <c r="AV299" s="1266"/>
      <c r="AW299" s="1266"/>
      <c r="AX299" s="1266"/>
      <c r="AY299" s="1266"/>
      <c r="AZ299" s="1267"/>
      <c r="BA299" s="1267"/>
      <c r="BB299" s="1266"/>
      <c r="BC299" s="1266"/>
      <c r="BD299" s="1266"/>
      <c r="BE299" s="1266"/>
      <c r="BF299" s="1266"/>
      <c r="BG299" s="916"/>
      <c r="BH299" s="1247"/>
    </row>
    <row r="300" spans="3:60" ht="100" customHeight="1" thickTop="1" x14ac:dyDescent="1">
      <c r="C300" s="1245"/>
      <c r="E300" s="465"/>
      <c r="F300" s="2054" t="s">
        <v>133</v>
      </c>
      <c r="G300" s="2054"/>
      <c r="H300" s="2054"/>
      <c r="I300" s="2054"/>
      <c r="J300" s="2054"/>
      <c r="K300" s="2054"/>
      <c r="L300" s="2054"/>
      <c r="M300" s="2054"/>
      <c r="N300" s="2054"/>
      <c r="O300" s="2054"/>
      <c r="P300" s="2182"/>
      <c r="Q300" s="1296"/>
      <c r="R300" s="2185" t="s">
        <v>168</v>
      </c>
      <c r="S300" s="1990"/>
      <c r="T300" s="1990"/>
      <c r="U300" s="1990"/>
      <c r="V300" s="1990"/>
      <c r="W300" s="1990"/>
      <c r="X300" s="1990"/>
      <c r="Y300" s="1990"/>
      <c r="Z300" s="1990"/>
      <c r="AA300" s="1990"/>
      <c r="AB300" s="2084"/>
      <c r="AC300" s="2100" t="s">
        <v>171</v>
      </c>
      <c r="AD300" s="1990"/>
      <c r="AE300" s="1990"/>
      <c r="AF300" s="1990"/>
      <c r="AG300" s="1990"/>
      <c r="AH300" s="1990"/>
      <c r="AI300" s="2084"/>
      <c r="AJ300" s="2092" t="s">
        <v>186</v>
      </c>
      <c r="AK300" s="2066"/>
      <c r="AL300" s="2066"/>
      <c r="AM300" s="2066"/>
      <c r="AN300" s="2066"/>
      <c r="AO300" s="2066"/>
      <c r="AP300" s="2189"/>
      <c r="AQ300" s="1297"/>
      <c r="AR300" s="2190" t="s">
        <v>133</v>
      </c>
      <c r="AS300" s="2190"/>
      <c r="AT300" s="2190"/>
      <c r="AU300" s="2190"/>
      <c r="AV300" s="2190"/>
      <c r="AW300" s="2190"/>
      <c r="AX300" s="2190"/>
      <c r="AY300" s="2190"/>
      <c r="AZ300" s="2190"/>
      <c r="BA300" s="2190"/>
      <c r="BB300" s="2190"/>
      <c r="BC300" s="2190"/>
      <c r="BD300" s="2190"/>
      <c r="BE300" s="2190"/>
      <c r="BF300" s="2191"/>
      <c r="BG300" s="916"/>
      <c r="BH300" s="1247"/>
    </row>
    <row r="301" spans="3:60" ht="100" customHeight="1" thickBot="1" x14ac:dyDescent="1.05">
      <c r="C301" s="1245"/>
      <c r="E301" s="465"/>
      <c r="F301" s="2183"/>
      <c r="G301" s="2183"/>
      <c r="H301" s="2183"/>
      <c r="I301" s="2183"/>
      <c r="J301" s="2183"/>
      <c r="K301" s="2183"/>
      <c r="L301" s="2183"/>
      <c r="M301" s="2183"/>
      <c r="N301" s="2183"/>
      <c r="O301" s="2183"/>
      <c r="P301" s="2184"/>
      <c r="Q301" s="1298"/>
      <c r="R301" s="2185"/>
      <c r="S301" s="1990"/>
      <c r="T301" s="1990"/>
      <c r="U301" s="1990"/>
      <c r="V301" s="1990"/>
      <c r="W301" s="1990"/>
      <c r="X301" s="1990"/>
      <c r="Y301" s="1990"/>
      <c r="Z301" s="1990"/>
      <c r="AA301" s="1990"/>
      <c r="AB301" s="2084"/>
      <c r="AC301" s="2186"/>
      <c r="AD301" s="2187"/>
      <c r="AE301" s="2187"/>
      <c r="AF301" s="2187"/>
      <c r="AG301" s="2187"/>
      <c r="AH301" s="2187"/>
      <c r="AI301" s="2188"/>
      <c r="AJ301" s="2092"/>
      <c r="AK301" s="2066"/>
      <c r="AL301" s="2066"/>
      <c r="AM301" s="2066"/>
      <c r="AN301" s="2066"/>
      <c r="AO301" s="2066"/>
      <c r="AP301" s="2189"/>
      <c r="AQ301" s="1299"/>
      <c r="AR301" s="2190"/>
      <c r="AS301" s="2190"/>
      <c r="AT301" s="2190"/>
      <c r="AU301" s="2190"/>
      <c r="AV301" s="2190"/>
      <c r="AW301" s="2190"/>
      <c r="AX301" s="2190"/>
      <c r="AY301" s="2190"/>
      <c r="AZ301" s="2190"/>
      <c r="BA301" s="2190"/>
      <c r="BB301" s="2190"/>
      <c r="BC301" s="2190"/>
      <c r="BD301" s="2190"/>
      <c r="BE301" s="2190"/>
      <c r="BF301" s="2191"/>
      <c r="BG301" s="916"/>
      <c r="BH301" s="1247"/>
    </row>
    <row r="302" spans="3:60" ht="10" customHeight="1" thickTop="1" thickBot="1" x14ac:dyDescent="1.05">
      <c r="C302" s="1245"/>
      <c r="E302" s="465"/>
      <c r="F302" s="775"/>
      <c r="G302" s="775"/>
      <c r="H302" s="775"/>
      <c r="I302" s="775"/>
      <c r="J302" s="775"/>
      <c r="K302" s="775"/>
      <c r="L302" s="775"/>
      <c r="M302" s="775"/>
      <c r="N302" s="775"/>
      <c r="O302" s="775"/>
      <c r="P302" s="1300"/>
      <c r="Q302" s="1301"/>
      <c r="R302" s="775"/>
      <c r="S302" s="775"/>
      <c r="T302" s="775"/>
      <c r="U302" s="775"/>
      <c r="V302" s="775"/>
      <c r="W302" s="1302"/>
      <c r="X302" s="1303"/>
      <c r="Y302" s="1304"/>
      <c r="Z302" s="1304"/>
      <c r="AA302" s="1304"/>
      <c r="AB302" s="1304"/>
      <c r="AC302" s="1305"/>
      <c r="AD302" s="1304"/>
      <c r="AE302" s="1304"/>
      <c r="AF302" s="1304"/>
      <c r="AG302" s="1304"/>
      <c r="AH302" s="1305"/>
      <c r="AI302" s="1305"/>
      <c r="AJ302" s="1304"/>
      <c r="AK302" s="1304"/>
      <c r="AL302" s="1305"/>
      <c r="AM302" s="1302"/>
      <c r="AN302" s="1306"/>
      <c r="AO302" s="1306"/>
      <c r="AP302" s="1307"/>
      <c r="AQ302" s="1308"/>
      <c r="AR302" s="1309"/>
      <c r="AS302" s="1309"/>
      <c r="AT302" s="1309"/>
      <c r="AU302" s="1310"/>
      <c r="AV302" s="1311"/>
      <c r="AW302" s="1311"/>
      <c r="AX302" s="1311"/>
      <c r="AY302" s="1311"/>
      <c r="AZ302" s="1311"/>
      <c r="BA302" s="1311"/>
      <c r="BB302" s="1311"/>
      <c r="BC302" s="1311"/>
      <c r="BD302" s="1311"/>
      <c r="BE302" s="1311"/>
      <c r="BF302" s="1311"/>
      <c r="BG302" s="928"/>
      <c r="BH302" s="1247"/>
    </row>
    <row r="303" spans="3:60" ht="100" customHeight="1" thickTop="1" x14ac:dyDescent="1">
      <c r="C303" s="1245"/>
      <c r="E303" s="465"/>
      <c r="F303" s="386"/>
      <c r="G303" s="386"/>
      <c r="H303" s="482"/>
      <c r="I303" s="386"/>
      <c r="J303" s="484"/>
      <c r="K303" s="386"/>
      <c r="L303" s="390"/>
      <c r="M303" s="386"/>
      <c r="N303" s="386"/>
      <c r="O303" s="386"/>
      <c r="P303" s="1258"/>
      <c r="Q303" s="1245"/>
      <c r="R303" s="909"/>
      <c r="S303" s="716"/>
      <c r="T303" s="716"/>
      <c r="U303" s="716"/>
      <c r="V303" s="911"/>
      <c r="W303" s="1248"/>
      <c r="X303" s="386"/>
      <c r="Y303" s="386"/>
      <c r="Z303" s="484"/>
      <c r="AA303" s="1312"/>
      <c r="AB303" s="484"/>
      <c r="AC303" s="469"/>
      <c r="AD303" s="720"/>
      <c r="AE303" s="720"/>
      <c r="AF303" s="720"/>
      <c r="AG303" s="720"/>
      <c r="AH303" s="1313"/>
      <c r="AI303" s="916"/>
      <c r="AJ303" s="386"/>
      <c r="AK303" s="386"/>
      <c r="AL303" s="1314"/>
      <c r="AM303" s="1248"/>
      <c r="AN303" s="386"/>
      <c r="AO303" s="386"/>
      <c r="AP303" s="1314"/>
      <c r="AQ303" s="1242"/>
      <c r="AR303" s="386"/>
      <c r="AS303" s="386"/>
      <c r="AT303" s="386"/>
      <c r="AU303" s="469"/>
      <c r="AV303" s="1266"/>
      <c r="AW303" s="1266"/>
      <c r="AX303" s="1266"/>
      <c r="AY303" s="1266"/>
      <c r="AZ303" s="1266"/>
      <c r="BA303" s="1266"/>
      <c r="BB303" s="1266"/>
      <c r="BC303" s="1266"/>
      <c r="BD303" s="1266"/>
      <c r="BE303" s="1266"/>
      <c r="BF303" s="1266"/>
      <c r="BG303" s="916"/>
      <c r="BH303" s="1247"/>
    </row>
    <row r="304" spans="3:60" ht="100" customHeight="1" x14ac:dyDescent="1">
      <c r="C304" s="1245"/>
      <c r="E304" s="465"/>
      <c r="F304" s="2167" t="s">
        <v>132</v>
      </c>
      <c r="G304" s="2167"/>
      <c r="H304" s="2168"/>
      <c r="I304" s="1584"/>
      <c r="J304" s="2169" t="s">
        <v>132</v>
      </c>
      <c r="K304" s="2167"/>
      <c r="L304" s="2170"/>
      <c r="M304" s="1268"/>
      <c r="N304" s="2171" t="s">
        <v>132</v>
      </c>
      <c r="O304" s="2167"/>
      <c r="P304" s="2172"/>
      <c r="Q304" s="1245"/>
      <c r="R304" s="1546" t="s">
        <v>152</v>
      </c>
      <c r="S304" s="489"/>
      <c r="T304" s="1554" t="s">
        <v>152</v>
      </c>
      <c r="U304" s="1546"/>
      <c r="V304" s="1552" t="s">
        <v>152</v>
      </c>
      <c r="W304" s="1272"/>
      <c r="X304" s="1584" t="s">
        <v>152</v>
      </c>
      <c r="Y304" s="1584"/>
      <c r="Z304" s="1585" t="s">
        <v>152</v>
      </c>
      <c r="AA304" s="1319"/>
      <c r="AB304" s="1585" t="s">
        <v>152</v>
      </c>
      <c r="AC304" s="1320"/>
      <c r="AD304" s="1321"/>
      <c r="AE304" s="1321"/>
      <c r="AF304" s="1321"/>
      <c r="AG304" s="1321"/>
      <c r="AH304" s="1322"/>
      <c r="AI304" s="1323"/>
      <c r="AJ304" s="2173" t="s">
        <v>132</v>
      </c>
      <c r="AK304" s="2167"/>
      <c r="AL304" s="2172"/>
      <c r="AM304" s="1269"/>
      <c r="AN304" s="2174" t="s">
        <v>182</v>
      </c>
      <c r="AO304" s="1867"/>
      <c r="AP304" s="2175"/>
      <c r="AQ304" s="1272"/>
      <c r="AR304" s="2176" t="s">
        <v>132</v>
      </c>
      <c r="AS304" s="2167"/>
      <c r="AT304" s="2167"/>
      <c r="AU304" s="1320"/>
      <c r="AV304" s="1266"/>
      <c r="AW304" s="1266"/>
      <c r="AX304" s="1266"/>
      <c r="AY304" s="1266"/>
      <c r="AZ304" s="1266"/>
      <c r="BA304" s="1266"/>
      <c r="BB304" s="1266"/>
      <c r="BC304" s="1266"/>
      <c r="BD304" s="1266"/>
      <c r="BE304" s="1266"/>
      <c r="BF304" s="1266"/>
      <c r="BG304" s="916"/>
      <c r="BH304" s="1247"/>
    </row>
    <row r="305" spans="3:60" ht="100" customHeight="1" thickBot="1" x14ac:dyDescent="1.05">
      <c r="C305" s="1245"/>
      <c r="E305" s="465"/>
      <c r="F305" s="2192" t="s">
        <v>153</v>
      </c>
      <c r="G305" s="2192"/>
      <c r="H305" s="2193"/>
      <c r="I305" s="1591"/>
      <c r="J305" s="2194" t="s">
        <v>153</v>
      </c>
      <c r="K305" s="2192"/>
      <c r="L305" s="2195"/>
      <c r="M305" s="1326"/>
      <c r="N305" s="2196" t="s">
        <v>153</v>
      </c>
      <c r="O305" s="2192"/>
      <c r="P305" s="2197"/>
      <c r="Q305" s="1327"/>
      <c r="R305" s="1546" t="s">
        <v>153</v>
      </c>
      <c r="S305" s="489"/>
      <c r="T305" s="1554" t="s">
        <v>154</v>
      </c>
      <c r="U305" s="1545"/>
      <c r="V305" s="1552" t="s">
        <v>154</v>
      </c>
      <c r="W305" s="1272"/>
      <c r="X305" s="1584" t="s">
        <v>154</v>
      </c>
      <c r="Y305" s="1584"/>
      <c r="Z305" s="1328" t="s">
        <v>154</v>
      </c>
      <c r="AA305" s="1584"/>
      <c r="AB305" s="1585" t="s">
        <v>154</v>
      </c>
      <c r="AC305" s="1320"/>
      <c r="AD305" s="1329"/>
      <c r="AE305" s="1329"/>
      <c r="AF305" s="1321"/>
      <c r="AG305" s="1321"/>
      <c r="AH305" s="1330"/>
      <c r="AI305" s="1331"/>
      <c r="AJ305" s="2173" t="s">
        <v>153</v>
      </c>
      <c r="AK305" s="2167"/>
      <c r="AL305" s="2172"/>
      <c r="AM305" s="1332"/>
      <c r="AN305" s="2174" t="s">
        <v>153</v>
      </c>
      <c r="AO305" s="1867"/>
      <c r="AP305" s="2175"/>
      <c r="AQ305" s="1272"/>
      <c r="AR305" s="2176" t="s">
        <v>153</v>
      </c>
      <c r="AS305" s="2167"/>
      <c r="AT305" s="2167"/>
      <c r="AU305" s="1320"/>
      <c r="AV305" s="1266"/>
      <c r="AW305" s="1266"/>
      <c r="AX305" s="1333" t="s">
        <v>196</v>
      </c>
      <c r="AY305" s="1333"/>
      <c r="AZ305" s="727"/>
      <c r="BA305" s="727"/>
      <c r="BB305" s="727"/>
      <c r="BC305" s="727"/>
      <c r="BD305" s="727"/>
      <c r="BE305" s="727"/>
      <c r="BF305" s="1266"/>
      <c r="BG305" s="916"/>
      <c r="BH305" s="1247"/>
    </row>
    <row r="306" spans="3:60" ht="100" customHeight="1" thickTop="1" x14ac:dyDescent="1">
      <c r="C306" s="1245"/>
      <c r="E306" s="465"/>
      <c r="F306" s="2192" t="s">
        <v>121</v>
      </c>
      <c r="G306" s="2192"/>
      <c r="H306" s="2193"/>
      <c r="I306" s="1591"/>
      <c r="J306" s="2194" t="s">
        <v>20</v>
      </c>
      <c r="K306" s="2192"/>
      <c r="L306" s="2195"/>
      <c r="M306" s="1326"/>
      <c r="N306" s="2196" t="s">
        <v>121</v>
      </c>
      <c r="O306" s="2192"/>
      <c r="P306" s="2197"/>
      <c r="Q306" s="1327"/>
      <c r="R306" s="1546" t="s">
        <v>121</v>
      </c>
      <c r="S306" s="489"/>
      <c r="T306" s="1554" t="s">
        <v>125</v>
      </c>
      <c r="U306" s="1545"/>
      <c r="V306" s="1552" t="s">
        <v>121</v>
      </c>
      <c r="W306" s="1272"/>
      <c r="X306" s="1584" t="s">
        <v>20</v>
      </c>
      <c r="Y306" s="1584"/>
      <c r="Z306" s="1585" t="s">
        <v>20</v>
      </c>
      <c r="AA306" s="1319"/>
      <c r="AB306" s="1585" t="s">
        <v>121</v>
      </c>
      <c r="AC306" s="1320"/>
      <c r="AD306" s="1329"/>
      <c r="AE306" s="1329"/>
      <c r="AF306" s="1329" t="s">
        <v>138</v>
      </c>
      <c r="AG306" s="1329"/>
      <c r="AH306" s="1330"/>
      <c r="AI306" s="1331"/>
      <c r="AJ306" s="2173" t="s">
        <v>121</v>
      </c>
      <c r="AK306" s="2167"/>
      <c r="AL306" s="2172"/>
      <c r="AM306" s="1334"/>
      <c r="AN306" s="2174" t="s">
        <v>20</v>
      </c>
      <c r="AO306" s="1867"/>
      <c r="AP306" s="2175"/>
      <c r="AQ306" s="1272"/>
      <c r="AR306" s="2176" t="s">
        <v>121</v>
      </c>
      <c r="AS306" s="2167"/>
      <c r="AT306" s="2167"/>
      <c r="AU306" s="1320"/>
      <c r="AV306" s="1276"/>
      <c r="AW306" s="1276"/>
      <c r="AX306" s="1335">
        <f t="shared" ref="AX306" si="0">2700+2700</f>
        <v>5400</v>
      </c>
      <c r="AY306" s="1335"/>
      <c r="AZ306" s="1549"/>
      <c r="BA306" s="1549"/>
      <c r="BB306" s="1549"/>
      <c r="BC306" s="1549"/>
      <c r="BD306" s="1549"/>
      <c r="BE306" s="1549"/>
      <c r="BF306" s="1276"/>
      <c r="BG306" s="916"/>
      <c r="BH306" s="1247"/>
    </row>
    <row r="307" spans="3:60" ht="100" customHeight="1" x14ac:dyDescent="1">
      <c r="C307" s="1245"/>
      <c r="E307" s="465"/>
      <c r="F307" s="2192">
        <v>800</v>
      </c>
      <c r="G307" s="2192"/>
      <c r="H307" s="2193"/>
      <c r="I307" s="1591"/>
      <c r="J307" s="2200">
        <v>1100</v>
      </c>
      <c r="K307" s="2201"/>
      <c r="L307" s="2202"/>
      <c r="M307" s="1336"/>
      <c r="N307" s="2196">
        <v>800</v>
      </c>
      <c r="O307" s="2192"/>
      <c r="P307" s="2197"/>
      <c r="Q307" s="1327"/>
      <c r="R307" s="1546">
        <v>300</v>
      </c>
      <c r="S307" s="489"/>
      <c r="T307" s="1554">
        <v>500</v>
      </c>
      <c r="U307" s="1545"/>
      <c r="V307" s="1552">
        <v>300</v>
      </c>
      <c r="W307" s="1272"/>
      <c r="X307" s="1584">
        <v>450</v>
      </c>
      <c r="Y307" s="1584"/>
      <c r="Z307" s="1328">
        <v>450</v>
      </c>
      <c r="AA307" s="1584"/>
      <c r="AB307" s="1585">
        <v>300</v>
      </c>
      <c r="AC307" s="1320"/>
      <c r="AD307" s="1321"/>
      <c r="AE307" s="1321"/>
      <c r="AF307" s="1337">
        <v>400</v>
      </c>
      <c r="AG307" s="1337"/>
      <c r="AH307" s="1322"/>
      <c r="AI307" s="1323"/>
      <c r="AJ307" s="2173">
        <v>800</v>
      </c>
      <c r="AK307" s="2167"/>
      <c r="AL307" s="2172"/>
      <c r="AM307" s="1334"/>
      <c r="AN307" s="2203">
        <v>1100</v>
      </c>
      <c r="AO307" s="1972"/>
      <c r="AP307" s="2204"/>
      <c r="AQ307" s="1272"/>
      <c r="AR307" s="2176">
        <v>800</v>
      </c>
      <c r="AS307" s="2167"/>
      <c r="AT307" s="2167"/>
      <c r="AU307" s="1320"/>
      <c r="AV307" s="1592"/>
      <c r="AW307" s="1592"/>
      <c r="AX307" s="2198"/>
      <c r="AY307" s="2198"/>
      <c r="AZ307" s="2198"/>
      <c r="BA307" s="2198"/>
      <c r="BB307" s="2198"/>
      <c r="BC307" s="2198"/>
      <c r="BD307" s="2198"/>
      <c r="BE307" s="1592"/>
      <c r="BF307" s="1276"/>
      <c r="BG307" s="916"/>
      <c r="BH307" s="1247"/>
    </row>
    <row r="308" spans="3:60" ht="100" customHeight="1" thickBot="1" x14ac:dyDescent="1.05">
      <c r="C308" s="1245"/>
      <c r="E308" s="465"/>
      <c r="F308" s="386"/>
      <c r="G308" s="386"/>
      <c r="H308" s="482"/>
      <c r="I308" s="386"/>
      <c r="J308" s="484"/>
      <c r="K308" s="386"/>
      <c r="L308" s="390"/>
      <c r="M308" s="386"/>
      <c r="N308" s="387"/>
      <c r="O308" s="387"/>
      <c r="P308" s="1258"/>
      <c r="Q308" s="1245"/>
      <c r="R308" s="1546"/>
      <c r="S308" s="489"/>
      <c r="T308" s="1545"/>
      <c r="U308" s="930"/>
      <c r="V308" s="1552"/>
      <c r="W308" s="1272"/>
      <c r="X308" s="1545"/>
      <c r="Y308" s="1545"/>
      <c r="Z308" s="1552"/>
      <c r="AA308" s="930"/>
      <c r="AB308" s="1552"/>
      <c r="AC308" s="1540"/>
      <c r="AD308" s="720"/>
      <c r="AE308" s="720"/>
      <c r="AF308" s="720"/>
      <c r="AG308" s="720"/>
      <c r="AH308" s="1313"/>
      <c r="AI308" s="916"/>
      <c r="AJ308" s="1545"/>
      <c r="AK308" s="1545"/>
      <c r="AL308" s="1339"/>
      <c r="AM308" s="1340"/>
      <c r="AN308" s="1588"/>
      <c r="AO308" s="1547"/>
      <c r="AP308" s="1589"/>
      <c r="AQ308" s="1272"/>
      <c r="AR308" s="1545"/>
      <c r="AS308" s="1545"/>
      <c r="AT308" s="1545"/>
      <c r="AU308" s="1540"/>
      <c r="AV308" s="1266"/>
      <c r="AW308" s="1266"/>
      <c r="AX308" s="1266"/>
      <c r="AY308" s="1266"/>
      <c r="AZ308" s="1266"/>
      <c r="BA308" s="1266"/>
      <c r="BB308" s="1266"/>
      <c r="BC308" s="1266"/>
      <c r="BD308" s="1266"/>
      <c r="BE308" s="1266"/>
      <c r="BF308" s="1266"/>
      <c r="BG308" s="916"/>
      <c r="BH308" s="1247"/>
    </row>
    <row r="309" spans="3:60" ht="100" customHeight="1" thickTop="1" thickBot="1" x14ac:dyDescent="1.05">
      <c r="C309" s="1245"/>
      <c r="E309" s="465"/>
      <c r="F309" s="386"/>
      <c r="G309" s="386"/>
      <c r="H309" s="482"/>
      <c r="I309" s="386"/>
      <c r="J309" s="484"/>
      <c r="K309" s="386"/>
      <c r="L309" s="390"/>
      <c r="M309" s="386"/>
      <c r="N309" s="386"/>
      <c r="O309" s="386"/>
      <c r="P309" s="1258"/>
      <c r="Q309" s="1245"/>
      <c r="R309" s="497"/>
      <c r="S309" s="495"/>
      <c r="T309" s="500"/>
      <c r="U309" s="497"/>
      <c r="V309" s="938"/>
      <c r="W309" s="1342"/>
      <c r="X309" s="386"/>
      <c r="Y309" s="386"/>
      <c r="Z309" s="938"/>
      <c r="AA309" s="1286"/>
      <c r="AB309" s="484"/>
      <c r="AC309" s="469"/>
      <c r="AD309" s="746"/>
      <c r="AE309" s="746"/>
      <c r="AF309" s="746"/>
      <c r="AG309" s="746"/>
      <c r="AH309" s="1343"/>
      <c r="AI309" s="916"/>
      <c r="AJ309" s="496"/>
      <c r="AK309" s="500"/>
      <c r="AL309" s="1344"/>
      <c r="AM309" s="1342"/>
      <c r="AN309" s="500"/>
      <c r="AO309" s="1345"/>
      <c r="AP309" s="1346"/>
      <c r="AQ309" s="1248"/>
      <c r="AR309" s="386"/>
      <c r="AS309" s="386"/>
      <c r="AT309" s="386"/>
      <c r="AU309" s="788"/>
      <c r="AV309" s="1347"/>
      <c r="AW309" s="1347"/>
      <c r="AX309" s="1347"/>
      <c r="AY309" s="1347"/>
      <c r="AZ309" s="1347"/>
      <c r="BA309" s="1347"/>
      <c r="BB309" s="1347"/>
      <c r="BC309" s="1347"/>
      <c r="BD309" s="1347"/>
      <c r="BE309" s="1347"/>
      <c r="BF309" s="1347"/>
      <c r="BG309" s="916"/>
      <c r="BH309" s="1247"/>
    </row>
    <row r="310" spans="3:60" ht="10" customHeight="1" thickTop="1" thickBot="1" x14ac:dyDescent="1.05">
      <c r="C310" s="1245"/>
      <c r="E310" s="465"/>
      <c r="F310" s="476"/>
      <c r="G310" s="476"/>
      <c r="H310" s="476"/>
      <c r="I310" s="476"/>
      <c r="J310" s="478"/>
      <c r="K310" s="476"/>
      <c r="L310" s="476"/>
      <c r="M310" s="476"/>
      <c r="N310" s="478"/>
      <c r="O310" s="476"/>
      <c r="P310" s="1348"/>
      <c r="Q310" s="1245"/>
      <c r="R310" s="467"/>
      <c r="S310" s="467"/>
      <c r="T310" s="467"/>
      <c r="U310" s="467"/>
      <c r="V310" s="476"/>
      <c r="W310" s="1291"/>
      <c r="X310" s="476"/>
      <c r="Y310" s="476"/>
      <c r="Z310" s="476"/>
      <c r="AA310" s="476"/>
      <c r="AB310" s="476"/>
      <c r="AC310" s="478"/>
      <c r="AD310" s="754"/>
      <c r="AE310" s="754"/>
      <c r="AF310" s="754"/>
      <c r="AG310" s="754"/>
      <c r="AH310" s="1349"/>
      <c r="AI310" s="916"/>
      <c r="AJ310" s="467"/>
      <c r="AK310" s="467"/>
      <c r="AL310" s="1350"/>
      <c r="AM310" s="1291"/>
      <c r="AN310" s="476"/>
      <c r="AO310" s="476"/>
      <c r="AP310" s="1252"/>
      <c r="AQ310" s="1248"/>
      <c r="AR310" s="467"/>
      <c r="AS310" s="467"/>
      <c r="AT310" s="928"/>
      <c r="AU310" s="476"/>
      <c r="AV310" s="1257"/>
      <c r="AW310" s="1257"/>
      <c r="AX310" s="1351"/>
      <c r="AY310" s="1351"/>
      <c r="AZ310" s="1351"/>
      <c r="BA310" s="1257"/>
      <c r="BB310" s="1257"/>
      <c r="BC310" s="1257"/>
      <c r="BD310" s="1257"/>
      <c r="BE310" s="1257"/>
      <c r="BF310" s="1257"/>
      <c r="BG310" s="928"/>
      <c r="BH310" s="1247"/>
    </row>
    <row r="311" spans="3:60" ht="100" customHeight="1" thickTop="1" thickBot="1" x14ac:dyDescent="1.05">
      <c r="C311" s="1245"/>
      <c r="E311" s="792"/>
      <c r="F311" s="942"/>
      <c r="G311" s="942"/>
      <c r="H311" s="942"/>
      <c r="I311" s="942"/>
      <c r="J311" s="942"/>
      <c r="K311" s="942"/>
      <c r="L311" s="942"/>
      <c r="M311" s="942"/>
      <c r="N311" s="942"/>
      <c r="O311" s="942"/>
      <c r="P311" s="1352"/>
      <c r="Q311" s="1353"/>
      <c r="R311" s="942"/>
      <c r="S311" s="942"/>
      <c r="T311" s="961"/>
      <c r="U311" s="961"/>
      <c r="V311" s="942"/>
      <c r="W311" s="1354"/>
      <c r="X311" s="1355"/>
      <c r="Y311" s="1355"/>
      <c r="Z311" s="1355"/>
      <c r="AA311" s="1355"/>
      <c r="AB311" s="1355"/>
      <c r="AC311" s="1355"/>
      <c r="AD311" s="1355"/>
      <c r="AE311" s="1355"/>
      <c r="AF311" s="1355"/>
      <c r="AG311" s="1355"/>
      <c r="AH311" s="1355"/>
      <c r="AI311" s="1356"/>
      <c r="AJ311" s="1355"/>
      <c r="AK311" s="1355"/>
      <c r="AL311" s="1357"/>
      <c r="AM311" s="1272"/>
      <c r="AN311" s="942"/>
      <c r="AO311" s="942"/>
      <c r="AP311" s="1352"/>
      <c r="AQ311" s="1358"/>
      <c r="AR311" s="1359"/>
      <c r="AS311" s="1359"/>
      <c r="AT311" s="1359"/>
      <c r="AU311" s="1370"/>
      <c r="AV311" s="1370"/>
      <c r="AW311" s="1370"/>
      <c r="AX311" s="1370"/>
      <c r="AY311" s="1370"/>
      <c r="AZ311" s="1370"/>
      <c r="BA311" s="1370"/>
      <c r="BB311" s="1370"/>
      <c r="BC311" s="1370"/>
      <c r="BD311" s="1370"/>
      <c r="BE311" s="1370"/>
      <c r="BF311" s="1370"/>
      <c r="BG311" s="408"/>
      <c r="BH311" s="1247"/>
    </row>
    <row r="312" spans="3:60" ht="10" customHeight="1" thickTop="1" thickBot="1" x14ac:dyDescent="1.05">
      <c r="C312" s="1236"/>
      <c r="D312" s="1237"/>
      <c r="E312" s="1238"/>
      <c r="F312" s="1360"/>
      <c r="G312" s="1360"/>
      <c r="H312" s="1360"/>
      <c r="I312" s="1360"/>
      <c r="J312" s="1360"/>
      <c r="K312" s="1360"/>
      <c r="L312" s="1360"/>
      <c r="M312" s="1360"/>
      <c r="N312" s="1360"/>
      <c r="O312" s="1360"/>
      <c r="P312" s="1360"/>
      <c r="Q312" s="1361"/>
      <c r="R312" s="942"/>
      <c r="S312" s="942"/>
      <c r="T312" s="961"/>
      <c r="U312" s="961"/>
      <c r="V312" s="942"/>
      <c r="W312" s="1362"/>
      <c r="X312" s="1363"/>
      <c r="Y312" s="1360"/>
      <c r="Z312" s="1360"/>
      <c r="AA312" s="1360"/>
      <c r="AB312" s="1360"/>
      <c r="AC312" s="1360"/>
      <c r="AD312" s="1360"/>
      <c r="AE312" s="1360"/>
      <c r="AF312" s="1360"/>
      <c r="AG312" s="1360"/>
      <c r="AH312" s="1360"/>
      <c r="AI312" s="1360"/>
      <c r="AJ312" s="1360"/>
      <c r="AK312" s="1360"/>
      <c r="AL312" s="1361"/>
      <c r="AM312" s="1354"/>
      <c r="AN312" s="942"/>
      <c r="AO312" s="942"/>
      <c r="AP312" s="942"/>
      <c r="AQ312" s="1364"/>
      <c r="AR312" s="1365"/>
      <c r="AS312" s="1366"/>
      <c r="AT312" s="1366"/>
      <c r="AU312" s="1366"/>
      <c r="AV312" s="1366"/>
      <c r="AW312" s="1366"/>
      <c r="AX312" s="1366"/>
      <c r="AY312" s="1366"/>
      <c r="AZ312" s="1366"/>
      <c r="BA312" s="1366"/>
      <c r="BB312" s="1366"/>
      <c r="BC312" s="1366"/>
      <c r="BD312" s="1366"/>
      <c r="BE312" s="1366"/>
      <c r="BF312" s="1366"/>
      <c r="BG312" s="1244"/>
      <c r="BH312" s="1367"/>
    </row>
    <row r="313" spans="3:60" ht="100" customHeight="1" thickTop="1" x14ac:dyDescent="1">
      <c r="C313" s="1368"/>
      <c r="D313" s="408"/>
      <c r="E313" s="408"/>
      <c r="F313" s="408"/>
      <c r="G313" s="408"/>
      <c r="H313" s="408"/>
      <c r="I313" s="408"/>
      <c r="J313" s="408"/>
      <c r="K313" s="408"/>
      <c r="L313" s="408"/>
      <c r="M313" s="408"/>
      <c r="N313" s="408"/>
      <c r="O313" s="408"/>
      <c r="P313" s="408"/>
      <c r="Q313" s="408"/>
      <c r="R313" s="356"/>
      <c r="S313" s="356"/>
      <c r="T313" s="358"/>
      <c r="U313" s="358"/>
      <c r="V313" s="358"/>
      <c r="W313" s="1369"/>
      <c r="X313" s="358"/>
      <c r="Y313" s="358"/>
      <c r="Z313" s="358"/>
      <c r="AA313" s="358"/>
      <c r="AB313" s="358"/>
      <c r="AC313" s="358"/>
      <c r="AD313" s="408"/>
      <c r="AE313" s="408"/>
      <c r="AF313" s="408"/>
      <c r="AG313" s="408"/>
      <c r="AH313" s="408"/>
      <c r="AI313" s="408"/>
      <c r="AJ313" s="408"/>
      <c r="AK313" s="408"/>
      <c r="AL313" s="408"/>
      <c r="AM313" s="408"/>
      <c r="AN313" s="408"/>
      <c r="AO313" s="408"/>
      <c r="AP313" s="408"/>
      <c r="AQ313" s="408"/>
      <c r="AR313" s="408"/>
      <c r="AS313" s="408"/>
      <c r="AT313" s="408"/>
      <c r="AU313" s="408"/>
      <c r="BG313" s="408"/>
      <c r="BH313" s="408"/>
    </row>
    <row r="314" spans="3:60" s="1426" customFormat="1" ht="100" customHeight="1" x14ac:dyDescent="1.2">
      <c r="C314" s="2199" t="s">
        <v>206</v>
      </c>
      <c r="D314" s="2199"/>
      <c r="E314" s="2199"/>
      <c r="F314" s="2199"/>
      <c r="G314" s="2199"/>
      <c r="H314" s="2199"/>
      <c r="I314" s="2199"/>
      <c r="J314" s="2199"/>
      <c r="K314" s="2199"/>
      <c r="L314" s="2199"/>
      <c r="M314" s="2199"/>
      <c r="N314" s="2199"/>
      <c r="O314" s="2199"/>
      <c r="P314" s="2199"/>
      <c r="Q314" s="2199"/>
      <c r="R314" s="1432"/>
      <c r="S314" s="1432"/>
      <c r="T314" s="1432"/>
      <c r="U314" s="1432"/>
      <c r="V314" s="1432"/>
      <c r="W314" s="1432"/>
      <c r="X314" s="2199" t="s">
        <v>207</v>
      </c>
      <c r="Y314" s="2199"/>
      <c r="Z314" s="2199"/>
      <c r="AA314" s="2199"/>
      <c r="AB314" s="2199"/>
      <c r="AC314" s="2199"/>
      <c r="AD314" s="2199"/>
      <c r="AE314" s="2199"/>
      <c r="AF314" s="2199"/>
      <c r="AG314" s="2199"/>
      <c r="AH314" s="2199"/>
      <c r="AI314" s="2199"/>
      <c r="AJ314" s="2199"/>
      <c r="AK314" s="2199"/>
      <c r="AL314" s="2199"/>
      <c r="AQ314" s="2121" t="s">
        <v>200</v>
      </c>
      <c r="AR314" s="2121"/>
      <c r="AS314" s="2121"/>
      <c r="AT314" s="2121"/>
      <c r="AU314" s="2121"/>
      <c r="AV314" s="2121"/>
      <c r="AW314" s="2121"/>
      <c r="AX314" s="2121"/>
      <c r="AY314" s="2121"/>
      <c r="AZ314" s="2121"/>
      <c r="BA314" s="2121"/>
      <c r="BB314" s="2121"/>
      <c r="BC314" s="2121"/>
      <c r="BD314" s="2121"/>
      <c r="BE314" s="2121"/>
      <c r="BF314" s="2121"/>
      <c r="BG314" s="2121"/>
      <c r="BH314" s="2121"/>
    </row>
    <row r="315" spans="3:60" s="1426" customFormat="1" ht="110" customHeight="1" x14ac:dyDescent="1.2">
      <c r="C315" s="1431"/>
      <c r="H315" s="1432"/>
      <c r="I315" s="1432"/>
      <c r="J315" s="1432"/>
      <c r="K315" s="1432"/>
      <c r="L315" s="1432"/>
      <c r="M315" s="1432"/>
      <c r="N315" s="1432"/>
      <c r="O315" s="1432"/>
      <c r="P315" s="1432"/>
      <c r="Q315" s="1432"/>
      <c r="R315" s="1432"/>
      <c r="S315" s="1432"/>
      <c r="T315" s="1432"/>
      <c r="U315" s="1432"/>
      <c r="V315" s="1432"/>
      <c r="W315" s="1432"/>
      <c r="X315" s="1432"/>
      <c r="Y315" s="1432"/>
    </row>
    <row r="316" spans="3:60" s="1426" customFormat="1" ht="200" customHeight="1" x14ac:dyDescent="1.2">
      <c r="C316" s="1431"/>
      <c r="F316" s="1457" t="s">
        <v>218</v>
      </c>
      <c r="G316" s="1457"/>
      <c r="H316" s="1460"/>
      <c r="I316" s="1460"/>
      <c r="J316" s="1460"/>
      <c r="K316" s="1460"/>
      <c r="L316" s="1460"/>
      <c r="M316" s="1460"/>
      <c r="N316" s="1460"/>
      <c r="O316" s="1460"/>
      <c r="P316" s="1460"/>
      <c r="Q316" s="1460"/>
      <c r="R316" s="1460"/>
      <c r="S316" s="1460"/>
      <c r="T316" s="1460"/>
      <c r="U316" s="1460"/>
      <c r="V316" s="1460"/>
      <c r="W316" s="1460"/>
      <c r="X316" s="1460"/>
      <c r="Y316" s="1460"/>
      <c r="Z316" s="1435"/>
      <c r="AA316" s="1435"/>
      <c r="AB316" s="1435"/>
      <c r="AC316" s="1435"/>
      <c r="AD316" s="1435"/>
      <c r="AE316" s="1435"/>
      <c r="AF316" s="1435"/>
      <c r="AG316" s="1435"/>
      <c r="AH316" s="1435"/>
      <c r="AI316" s="1435"/>
      <c r="AJ316" s="1435"/>
      <c r="AK316" s="1435"/>
      <c r="AL316" s="1435"/>
      <c r="AM316" s="1435"/>
      <c r="AN316" s="1435"/>
      <c r="AO316" s="1435"/>
      <c r="AP316" s="1435"/>
      <c r="AQ316" s="1435"/>
      <c r="AR316" s="1435"/>
      <c r="AS316" s="1435"/>
      <c r="AT316" s="1435"/>
      <c r="AU316" s="1435"/>
      <c r="AV316" s="1435"/>
      <c r="AW316" s="1435"/>
      <c r="AX316" s="1435"/>
      <c r="AY316" s="1435"/>
      <c r="AZ316" s="1435"/>
      <c r="BA316" s="1435"/>
      <c r="BB316" s="1435"/>
      <c r="BC316" s="1435"/>
      <c r="BD316" s="1435"/>
      <c r="BE316" s="1435"/>
      <c r="BF316" s="1435"/>
      <c r="BG316" s="1435"/>
      <c r="BH316" s="1435"/>
    </row>
    <row r="317" spans="3:60" s="1429" customFormat="1" ht="100" customHeight="1" x14ac:dyDescent="1.2">
      <c r="C317" s="1432"/>
      <c r="F317" s="1458"/>
      <c r="G317" s="1458"/>
      <c r="H317" s="1432"/>
      <c r="I317" s="1432"/>
      <c r="J317" s="1432"/>
      <c r="K317" s="1432"/>
      <c r="L317" s="1432"/>
      <c r="M317" s="1432"/>
      <c r="N317" s="1432"/>
      <c r="O317" s="1432"/>
      <c r="P317" s="1432"/>
      <c r="Q317" s="1432"/>
      <c r="R317" s="1432"/>
      <c r="S317" s="1432"/>
      <c r="T317" s="1432"/>
      <c r="U317" s="1432"/>
      <c r="V317" s="1432"/>
      <c r="W317" s="1432"/>
      <c r="X317" s="1432"/>
      <c r="Y317" s="1432"/>
    </row>
    <row r="318" spans="3:60" s="1429" customFormat="1" ht="100" customHeight="1" x14ac:dyDescent="1.2">
      <c r="C318" s="1432"/>
      <c r="F318" s="1458" t="s">
        <v>231</v>
      </c>
      <c r="G318" s="1458" t="s">
        <v>151</v>
      </c>
      <c r="H318" s="1461" t="s">
        <v>280</v>
      </c>
      <c r="I318" s="1432"/>
      <c r="J318" s="1432"/>
      <c r="K318" s="1432"/>
      <c r="L318" s="1432"/>
      <c r="M318" s="1432"/>
      <c r="N318" s="1432"/>
      <c r="O318" s="1432"/>
      <c r="P318" s="1432"/>
      <c r="Q318" s="1432"/>
      <c r="R318" s="1432"/>
      <c r="S318" s="1432"/>
      <c r="T318" s="1432"/>
      <c r="U318" s="1432"/>
      <c r="V318" s="1432"/>
      <c r="W318" s="1432"/>
      <c r="X318" s="1432"/>
      <c r="Y318" s="1432"/>
    </row>
    <row r="319" spans="3:60" s="1429" customFormat="1" ht="100" customHeight="1" x14ac:dyDescent="1.2">
      <c r="C319" s="1432"/>
      <c r="F319" s="1458"/>
      <c r="G319" s="1458"/>
      <c r="H319" s="1461" t="s">
        <v>234</v>
      </c>
      <c r="I319" s="1432"/>
      <c r="J319" s="1432"/>
      <c r="K319" s="1432"/>
      <c r="L319" s="1432"/>
      <c r="M319" s="1432"/>
      <c r="N319" s="1432"/>
      <c r="O319" s="1432"/>
      <c r="P319" s="1432"/>
      <c r="Q319" s="1432"/>
      <c r="R319" s="1432"/>
      <c r="S319" s="1432"/>
      <c r="T319" s="1432"/>
      <c r="U319" s="1432"/>
      <c r="V319" s="1432"/>
      <c r="W319" s="1432"/>
      <c r="X319" s="1432"/>
      <c r="Y319" s="1432"/>
    </row>
    <row r="320" spans="3:60" s="1429" customFormat="1" ht="50" customHeight="1" x14ac:dyDescent="1.2">
      <c r="C320" s="1432"/>
      <c r="F320" s="1458"/>
      <c r="G320" s="1458"/>
      <c r="H320" s="1461"/>
      <c r="I320" s="1432"/>
      <c r="J320" s="1432"/>
      <c r="K320" s="1432"/>
      <c r="L320" s="1432"/>
      <c r="M320" s="1432"/>
      <c r="N320" s="1432"/>
      <c r="O320" s="1432"/>
      <c r="P320" s="1432"/>
      <c r="Q320" s="1432"/>
      <c r="R320" s="1432"/>
      <c r="S320" s="1432"/>
      <c r="T320" s="1432"/>
      <c r="U320" s="1432"/>
      <c r="V320" s="1432"/>
      <c r="W320" s="1432"/>
      <c r="X320" s="1432"/>
      <c r="Y320" s="1432"/>
    </row>
    <row r="321" spans="3:25" s="1429" customFormat="1" ht="100" customHeight="1" x14ac:dyDescent="1.2">
      <c r="C321" s="1432"/>
      <c r="F321" s="1458"/>
      <c r="G321" s="1458" t="s">
        <v>151</v>
      </c>
      <c r="H321" s="1461" t="s">
        <v>281</v>
      </c>
      <c r="I321" s="1432"/>
      <c r="J321" s="1426"/>
      <c r="K321" s="1432"/>
      <c r="L321" s="1432"/>
      <c r="M321" s="1432"/>
      <c r="N321" s="1432"/>
      <c r="O321" s="1432"/>
      <c r="P321" s="1432"/>
      <c r="Q321" s="1432"/>
      <c r="R321" s="1432"/>
      <c r="S321" s="1432"/>
      <c r="T321" s="1432"/>
      <c r="U321" s="1432"/>
      <c r="V321" s="1432"/>
      <c r="W321" s="1432"/>
      <c r="X321" s="1432"/>
      <c r="Y321" s="1432"/>
    </row>
    <row r="322" spans="3:25" s="1429" customFormat="1" ht="95" customHeight="1" x14ac:dyDescent="1.2">
      <c r="C322" s="1432"/>
      <c r="F322" s="1458"/>
      <c r="G322" s="1458"/>
      <c r="H322" s="1461" t="s">
        <v>235</v>
      </c>
      <c r="I322" s="1432"/>
      <c r="J322" s="1426"/>
      <c r="K322" s="1432"/>
      <c r="L322" s="1432"/>
      <c r="M322" s="1432"/>
      <c r="N322" s="1432"/>
      <c r="O322" s="1432"/>
      <c r="P322" s="1432"/>
      <c r="Q322" s="1432"/>
      <c r="R322" s="1432"/>
      <c r="S322" s="1432"/>
      <c r="T322" s="1432"/>
      <c r="U322" s="1432"/>
      <c r="V322" s="1432"/>
      <c r="W322" s="1432"/>
      <c r="X322" s="1432"/>
      <c r="Y322" s="1432"/>
    </row>
    <row r="323" spans="3:25" s="1429" customFormat="1" ht="50" customHeight="1" x14ac:dyDescent="1.2">
      <c r="C323" s="1432"/>
      <c r="F323" s="1458"/>
      <c r="G323" s="1458"/>
      <c r="H323" s="1461"/>
      <c r="I323" s="1432"/>
      <c r="J323" s="1426"/>
      <c r="K323" s="1432"/>
      <c r="L323" s="1432"/>
      <c r="M323" s="1432"/>
      <c r="N323" s="1432"/>
      <c r="O323" s="1432"/>
      <c r="P323" s="1432"/>
      <c r="Q323" s="1432"/>
      <c r="R323" s="1432"/>
      <c r="S323" s="1432"/>
      <c r="T323" s="1432"/>
      <c r="U323" s="1432"/>
      <c r="V323" s="1432"/>
      <c r="W323" s="1432"/>
      <c r="X323" s="1432"/>
      <c r="Y323" s="1432"/>
    </row>
    <row r="324" spans="3:25" s="1429" customFormat="1" ht="100" customHeight="1" x14ac:dyDescent="1.2">
      <c r="C324" s="1432"/>
      <c r="F324" s="1458"/>
      <c r="G324" s="1458" t="s">
        <v>151</v>
      </c>
      <c r="H324" s="1461" t="s">
        <v>222</v>
      </c>
      <c r="I324" s="1432"/>
      <c r="J324" s="1426"/>
      <c r="K324" s="1432"/>
      <c r="L324" s="1432"/>
      <c r="M324" s="1432"/>
      <c r="N324" s="1432"/>
      <c r="O324" s="1432"/>
      <c r="P324" s="1432"/>
      <c r="Q324" s="1432"/>
      <c r="R324" s="1432"/>
      <c r="S324" s="1432"/>
      <c r="T324" s="1432"/>
      <c r="U324" s="1432"/>
      <c r="V324" s="1432"/>
      <c r="W324" s="1432"/>
      <c r="X324" s="1432"/>
      <c r="Y324" s="1432"/>
    </row>
    <row r="325" spans="3:25" s="1429" customFormat="1" ht="50" customHeight="1" x14ac:dyDescent="1.2">
      <c r="C325" s="1432"/>
      <c r="F325" s="1458"/>
      <c r="G325" s="1458"/>
      <c r="H325" s="1461"/>
      <c r="I325" s="1432"/>
      <c r="J325" s="1426"/>
      <c r="K325" s="1432"/>
      <c r="L325" s="1432"/>
      <c r="M325" s="1432"/>
      <c r="N325" s="1432"/>
      <c r="O325" s="1432"/>
      <c r="P325" s="1432"/>
      <c r="Q325" s="1432"/>
      <c r="R325" s="1432"/>
      <c r="S325" s="1432"/>
      <c r="T325" s="1432"/>
      <c r="U325" s="1432"/>
      <c r="V325" s="1432"/>
      <c r="W325" s="1432"/>
      <c r="X325" s="1432"/>
      <c r="Y325" s="1432"/>
    </row>
    <row r="326" spans="3:25" s="1429" customFormat="1" ht="100" customHeight="1" x14ac:dyDescent="1.2">
      <c r="C326" s="1432"/>
      <c r="F326" s="1458"/>
      <c r="G326" s="1458" t="s">
        <v>151</v>
      </c>
      <c r="H326" s="1461" t="s">
        <v>251</v>
      </c>
      <c r="I326" s="1432"/>
      <c r="J326" s="1426"/>
      <c r="K326" s="1432"/>
      <c r="L326" s="1432"/>
      <c r="M326" s="1432"/>
      <c r="N326" s="1432"/>
      <c r="O326" s="1432"/>
      <c r="P326" s="1432"/>
      <c r="Q326" s="1432"/>
      <c r="R326" s="1432"/>
      <c r="S326" s="1432"/>
      <c r="T326" s="1432"/>
      <c r="U326" s="1432"/>
      <c r="V326" s="1432"/>
      <c r="W326" s="1432"/>
      <c r="X326" s="1432"/>
      <c r="Y326" s="1432"/>
    </row>
    <row r="327" spans="3:25" s="1429" customFormat="1" ht="100" customHeight="1" x14ac:dyDescent="1.2">
      <c r="C327" s="1432"/>
      <c r="F327" s="1458"/>
      <c r="G327" s="1458"/>
      <c r="H327" s="1461" t="s">
        <v>236</v>
      </c>
      <c r="I327" s="1432"/>
      <c r="J327" s="1426"/>
      <c r="K327" s="1432"/>
      <c r="L327" s="1432"/>
      <c r="M327" s="1432"/>
      <c r="N327" s="1432"/>
      <c r="O327" s="1432"/>
      <c r="P327" s="1432"/>
      <c r="Q327" s="1432"/>
      <c r="R327" s="1432"/>
      <c r="S327" s="1432"/>
      <c r="T327" s="1432"/>
      <c r="U327" s="1432"/>
      <c r="V327" s="1432"/>
      <c r="W327" s="1432"/>
      <c r="X327" s="1432"/>
      <c r="Y327" s="1432"/>
    </row>
    <row r="328" spans="3:25" s="1429" customFormat="1" ht="50" customHeight="1" x14ac:dyDescent="1.2">
      <c r="C328" s="1432"/>
      <c r="F328" s="1458"/>
      <c r="G328" s="1458"/>
      <c r="H328" s="1461"/>
      <c r="I328" s="1432"/>
      <c r="J328" s="1426"/>
      <c r="K328" s="1432"/>
      <c r="L328" s="1432"/>
      <c r="M328" s="1432"/>
      <c r="N328" s="1432"/>
      <c r="O328" s="1432"/>
      <c r="P328" s="1432"/>
      <c r="Q328" s="1432"/>
      <c r="R328" s="1432"/>
      <c r="S328" s="1432"/>
      <c r="T328" s="1432"/>
      <c r="U328" s="1432"/>
      <c r="V328" s="1432"/>
      <c r="W328" s="1432"/>
      <c r="X328" s="1432"/>
      <c r="Y328" s="1432"/>
    </row>
    <row r="329" spans="3:25" s="1429" customFormat="1" ht="100" customHeight="1" x14ac:dyDescent="1.2">
      <c r="C329" s="1432"/>
      <c r="F329" s="1458"/>
      <c r="G329" s="1458" t="s">
        <v>151</v>
      </c>
      <c r="H329" s="1432" t="s">
        <v>282</v>
      </c>
      <c r="I329" s="1432"/>
      <c r="J329" s="1432"/>
      <c r="K329" s="1432"/>
      <c r="L329" s="1432"/>
      <c r="M329" s="1432"/>
      <c r="N329" s="1432"/>
      <c r="O329" s="1432"/>
      <c r="P329" s="1432"/>
      <c r="Q329" s="1432"/>
      <c r="R329" s="1432"/>
      <c r="S329" s="1432"/>
      <c r="T329" s="1432"/>
      <c r="U329" s="1432"/>
      <c r="V329" s="1432"/>
      <c r="W329" s="1432"/>
      <c r="X329" s="1432"/>
      <c r="Y329" s="1432"/>
    </row>
    <row r="330" spans="3:25" s="1429" customFormat="1" ht="100" customHeight="1" x14ac:dyDescent="1.2">
      <c r="C330" s="1432"/>
      <c r="F330" s="1458"/>
      <c r="G330" s="1458"/>
      <c r="H330" s="1432" t="s">
        <v>237</v>
      </c>
      <c r="I330" s="1432"/>
      <c r="J330" s="1432"/>
      <c r="K330" s="1432"/>
      <c r="L330" s="1432"/>
      <c r="M330" s="1432"/>
      <c r="N330" s="1432"/>
      <c r="O330" s="1432"/>
      <c r="P330" s="1432"/>
      <c r="Q330" s="1432"/>
      <c r="R330" s="1432"/>
      <c r="S330" s="1432"/>
      <c r="T330" s="1432"/>
      <c r="U330" s="1432"/>
      <c r="V330" s="1432"/>
      <c r="W330" s="1432"/>
      <c r="X330" s="1432"/>
      <c r="Y330" s="1432"/>
    </row>
    <row r="331" spans="3:25" s="1429" customFormat="1" ht="50" customHeight="1" x14ac:dyDescent="1.2">
      <c r="C331" s="1432"/>
      <c r="F331" s="1458"/>
      <c r="G331" s="1458"/>
      <c r="H331" s="1432"/>
      <c r="I331" s="1432"/>
      <c r="J331" s="1432"/>
      <c r="K331" s="1432"/>
      <c r="L331" s="1432"/>
      <c r="M331" s="1432"/>
      <c r="N331" s="1432"/>
      <c r="O331" s="1432"/>
      <c r="P331" s="1432"/>
      <c r="Q331" s="1432"/>
      <c r="R331" s="1432"/>
      <c r="S331" s="1432"/>
      <c r="T331" s="1432"/>
      <c r="U331" s="1432"/>
      <c r="V331" s="1432"/>
      <c r="W331" s="1432"/>
      <c r="X331" s="1432"/>
      <c r="Y331" s="1432"/>
    </row>
    <row r="332" spans="3:25" s="1429" customFormat="1" ht="100" customHeight="1" x14ac:dyDescent="1.2">
      <c r="C332" s="1432"/>
      <c r="F332" s="1458"/>
      <c r="G332" s="1458" t="s">
        <v>151</v>
      </c>
      <c r="H332" s="1432" t="s">
        <v>252</v>
      </c>
      <c r="I332" s="1432"/>
      <c r="K332" s="1432"/>
      <c r="L332" s="1432"/>
      <c r="M332" s="1432"/>
      <c r="N332" s="1432"/>
      <c r="O332" s="1432"/>
      <c r="P332" s="1432"/>
      <c r="Q332" s="1432"/>
      <c r="R332" s="1432"/>
      <c r="S332" s="1432"/>
      <c r="T332" s="1432"/>
      <c r="U332" s="1432"/>
      <c r="V332" s="1432"/>
      <c r="W332" s="1432"/>
      <c r="X332" s="1432"/>
      <c r="Y332" s="1432"/>
    </row>
    <row r="333" spans="3:25" s="1429" customFormat="1" ht="100" customHeight="1" x14ac:dyDescent="1.2">
      <c r="C333" s="1432"/>
      <c r="F333" s="1458"/>
      <c r="G333" s="1458"/>
      <c r="H333" s="1432" t="s">
        <v>253</v>
      </c>
      <c r="I333" s="1432"/>
      <c r="K333" s="1432"/>
      <c r="L333" s="1432"/>
      <c r="M333" s="1432"/>
      <c r="N333" s="1432"/>
      <c r="O333" s="1432"/>
      <c r="P333" s="1432"/>
      <c r="Q333" s="1432"/>
      <c r="R333" s="1432"/>
      <c r="S333" s="1432"/>
      <c r="T333" s="1432"/>
      <c r="U333" s="1432"/>
      <c r="V333" s="1432"/>
      <c r="W333" s="1432"/>
      <c r="X333" s="1432"/>
      <c r="Y333" s="1432"/>
    </row>
    <row r="334" spans="3:25" s="1429" customFormat="1" ht="50" customHeight="1" x14ac:dyDescent="1.2">
      <c r="C334" s="1432"/>
      <c r="F334" s="1458"/>
      <c r="G334" s="1458"/>
      <c r="H334" s="1432"/>
      <c r="I334" s="1432"/>
      <c r="K334" s="1432"/>
      <c r="L334" s="1432"/>
      <c r="M334" s="1432"/>
      <c r="N334" s="1432"/>
      <c r="O334" s="1432"/>
      <c r="P334" s="1432"/>
      <c r="Q334" s="1432"/>
      <c r="R334" s="1432"/>
      <c r="S334" s="1432"/>
      <c r="T334" s="1432"/>
      <c r="U334" s="1432"/>
      <c r="V334" s="1432"/>
      <c r="W334" s="1432"/>
      <c r="X334" s="1432"/>
      <c r="Y334" s="1432"/>
    </row>
    <row r="335" spans="3:25" s="1429" customFormat="1" ht="100" customHeight="1" x14ac:dyDescent="1.2">
      <c r="C335" s="1432"/>
      <c r="F335" s="1458"/>
      <c r="G335" s="1458" t="s">
        <v>151</v>
      </c>
      <c r="H335" s="1432" t="s">
        <v>283</v>
      </c>
      <c r="I335" s="1432"/>
      <c r="K335" s="1432"/>
      <c r="L335" s="1432"/>
      <c r="M335" s="1432"/>
      <c r="N335" s="1432"/>
      <c r="O335" s="1432"/>
      <c r="P335" s="1432"/>
      <c r="Q335" s="1432"/>
      <c r="R335" s="1432"/>
      <c r="S335" s="1432"/>
      <c r="T335" s="1432"/>
      <c r="U335" s="1432"/>
      <c r="V335" s="1432"/>
      <c r="W335" s="1432"/>
      <c r="X335" s="1432"/>
      <c r="Y335" s="1432"/>
    </row>
    <row r="336" spans="3:25" s="1429" customFormat="1" ht="50" customHeight="1" x14ac:dyDescent="1.2">
      <c r="C336" s="1432"/>
      <c r="F336" s="1458"/>
      <c r="G336" s="1458"/>
      <c r="H336" s="1432"/>
      <c r="I336" s="1432"/>
      <c r="K336" s="1432"/>
      <c r="L336" s="1432"/>
      <c r="M336" s="1432"/>
      <c r="N336" s="1432"/>
      <c r="O336" s="1432"/>
      <c r="P336" s="1432"/>
      <c r="Q336" s="1432"/>
      <c r="R336" s="1432"/>
      <c r="S336" s="1432"/>
      <c r="T336" s="1432"/>
      <c r="U336" s="1432"/>
      <c r="V336" s="1432"/>
      <c r="W336" s="1432"/>
      <c r="X336" s="1432"/>
      <c r="Y336" s="1432"/>
    </row>
    <row r="337" spans="3:59" s="1429" customFormat="1" ht="100" customHeight="1" x14ac:dyDescent="1.2">
      <c r="C337" s="1432"/>
      <c r="F337" s="1458"/>
      <c r="G337" s="1458" t="s">
        <v>151</v>
      </c>
      <c r="H337" s="1432" t="s">
        <v>284</v>
      </c>
      <c r="I337" s="1432"/>
      <c r="K337" s="1432"/>
      <c r="L337" s="1432"/>
      <c r="M337" s="1432"/>
      <c r="N337" s="1432"/>
      <c r="O337" s="1432"/>
      <c r="P337" s="1432"/>
      <c r="Q337" s="1432"/>
      <c r="R337" s="1432"/>
      <c r="S337" s="1432"/>
      <c r="T337" s="1432"/>
      <c r="U337" s="1432"/>
      <c r="V337" s="1432"/>
      <c r="W337" s="1432"/>
      <c r="X337" s="1432"/>
      <c r="Y337" s="1432"/>
    </row>
    <row r="338" spans="3:59" s="1429" customFormat="1" ht="100" customHeight="1" x14ac:dyDescent="1.2">
      <c r="C338" s="1432"/>
      <c r="F338" s="1458"/>
      <c r="G338" s="1458"/>
      <c r="H338" s="1432" t="s">
        <v>238</v>
      </c>
      <c r="I338" s="1432"/>
      <c r="K338" s="1432"/>
      <c r="L338" s="1432"/>
      <c r="M338" s="1432"/>
      <c r="N338" s="1432"/>
      <c r="O338" s="1432"/>
      <c r="P338" s="1432"/>
      <c r="Q338" s="1432"/>
      <c r="R338" s="1432"/>
      <c r="S338" s="1432"/>
      <c r="T338" s="1432"/>
      <c r="U338" s="1432"/>
      <c r="V338" s="1432"/>
      <c r="W338" s="1432"/>
      <c r="X338" s="1432"/>
      <c r="Y338" s="1432"/>
    </row>
    <row r="339" spans="3:59" s="1429" customFormat="1" ht="50" customHeight="1" x14ac:dyDescent="1.2">
      <c r="C339" s="1432"/>
      <c r="F339" s="1458"/>
      <c r="G339" s="1458"/>
      <c r="H339" s="1432"/>
      <c r="I339" s="1432"/>
      <c r="K339" s="1432"/>
      <c r="L339" s="1432"/>
      <c r="M339" s="1432"/>
      <c r="N339" s="1432"/>
      <c r="O339" s="1432"/>
      <c r="P339" s="1432"/>
      <c r="Q339" s="1432"/>
      <c r="R339" s="1432"/>
      <c r="S339" s="1432"/>
      <c r="T339" s="1432"/>
      <c r="U339" s="1432"/>
      <c r="V339" s="1432"/>
      <c r="W339" s="1432"/>
      <c r="X339" s="1432"/>
      <c r="Y339" s="1432"/>
    </row>
    <row r="340" spans="3:59" s="1429" customFormat="1" ht="100" customHeight="1" x14ac:dyDescent="1.2">
      <c r="C340" s="1432"/>
      <c r="F340" s="1458"/>
      <c r="G340" s="1458" t="s">
        <v>151</v>
      </c>
      <c r="H340" s="1432" t="s">
        <v>285</v>
      </c>
      <c r="K340" s="1432"/>
      <c r="L340" s="1432"/>
      <c r="M340" s="1432"/>
      <c r="N340" s="1432"/>
      <c r="O340" s="1432"/>
      <c r="P340" s="1432"/>
      <c r="Q340" s="1432"/>
      <c r="R340" s="1432"/>
      <c r="S340" s="1432"/>
      <c r="T340" s="1432"/>
      <c r="U340" s="1432"/>
      <c r="V340" s="1432"/>
      <c r="W340" s="1432"/>
      <c r="X340" s="1432"/>
      <c r="Y340" s="1432"/>
    </row>
    <row r="341" spans="3:59" s="1429" customFormat="1" ht="50" customHeight="1" x14ac:dyDescent="1.2">
      <c r="C341" s="1432"/>
      <c r="F341" s="1458"/>
      <c r="G341" s="1458"/>
      <c r="H341" s="1432"/>
      <c r="K341" s="1432"/>
      <c r="L341" s="1432"/>
      <c r="M341" s="1432"/>
      <c r="N341" s="1432"/>
      <c r="O341" s="1432"/>
      <c r="P341" s="1432"/>
      <c r="Q341" s="1432"/>
      <c r="R341" s="1432"/>
      <c r="S341" s="1432"/>
      <c r="T341" s="1432"/>
      <c r="U341" s="1432"/>
      <c r="V341" s="1432"/>
      <c r="W341" s="1432"/>
      <c r="X341" s="1432"/>
      <c r="Y341" s="1432"/>
    </row>
    <row r="342" spans="3:59" s="1429" customFormat="1" ht="100" customHeight="1" x14ac:dyDescent="1.2">
      <c r="C342" s="1432"/>
      <c r="F342" s="1458"/>
      <c r="G342" s="1458" t="s">
        <v>151</v>
      </c>
      <c r="H342" s="1432" t="s">
        <v>286</v>
      </c>
      <c r="I342" s="1432"/>
      <c r="K342" s="1432"/>
      <c r="L342" s="1432"/>
      <c r="M342" s="1432"/>
      <c r="N342" s="1432"/>
      <c r="O342" s="1432"/>
      <c r="P342" s="1432"/>
      <c r="Q342" s="1432"/>
      <c r="R342" s="1432"/>
      <c r="S342" s="1432"/>
      <c r="T342" s="1432"/>
      <c r="U342" s="1432"/>
      <c r="V342" s="1432"/>
      <c r="W342" s="1432"/>
      <c r="X342" s="1432"/>
      <c r="Y342" s="1432"/>
    </row>
    <row r="343" spans="3:59" s="358" customFormat="1" ht="50" customHeight="1" x14ac:dyDescent="1">
      <c r="C343" s="356"/>
      <c r="F343" s="1116"/>
      <c r="G343" s="1116"/>
      <c r="H343" s="356"/>
      <c r="I343" s="356"/>
      <c r="J343" s="356"/>
      <c r="K343" s="356"/>
      <c r="L343" s="356"/>
      <c r="M343" s="356"/>
      <c r="N343" s="356"/>
      <c r="O343" s="356"/>
      <c r="P343" s="356"/>
      <c r="Q343" s="356"/>
      <c r="R343" s="356"/>
      <c r="S343" s="356"/>
      <c r="T343" s="356"/>
      <c r="U343" s="356"/>
      <c r="V343" s="356"/>
      <c r="W343" s="356"/>
      <c r="X343" s="356"/>
      <c r="Y343" s="356"/>
    </row>
    <row r="344" spans="3:59" s="1426" customFormat="1" ht="100" customHeight="1" x14ac:dyDescent="1.2">
      <c r="C344" s="1431"/>
      <c r="F344" s="1436" t="s">
        <v>145</v>
      </c>
      <c r="H344" s="1432"/>
      <c r="I344" s="1432"/>
      <c r="J344" s="1432"/>
      <c r="K344" s="1432"/>
      <c r="M344" s="1432"/>
      <c r="N344" s="1462">
        <f>H351+H362+T351+T362+AF351+AF362+AR351+AR362+AX362+AL362</f>
        <v>20000</v>
      </c>
      <c r="P344" s="1432" t="s">
        <v>33</v>
      </c>
      <c r="Q344" s="1432"/>
      <c r="R344" s="1432"/>
      <c r="S344" s="1432"/>
      <c r="T344" s="1462"/>
      <c r="U344" s="1432"/>
      <c r="V344" s="1432"/>
      <c r="W344" s="1432"/>
      <c r="X344" s="1432"/>
      <c r="Y344" s="1432"/>
      <c r="AP344" s="1429"/>
      <c r="AQ344" s="1429"/>
    </row>
    <row r="345" spans="3:59" ht="50" customHeight="1" thickBot="1" x14ac:dyDescent="1.05">
      <c r="AC345" s="408"/>
      <c r="AD345" s="697"/>
      <c r="AE345" s="697"/>
      <c r="AF345" s="697"/>
      <c r="AG345" s="697"/>
      <c r="AH345" s="697"/>
      <c r="AI345" s="697"/>
      <c r="AQ345" s="697"/>
      <c r="AR345" s="697"/>
      <c r="AS345" s="697"/>
      <c r="AT345" s="697"/>
      <c r="AU345" s="372"/>
      <c r="BG345" s="372"/>
    </row>
    <row r="346" spans="3:59" ht="10" customHeight="1" thickTop="1" thickBot="1" x14ac:dyDescent="1.05">
      <c r="E346" s="698"/>
      <c r="F346" s="477"/>
      <c r="G346" s="476"/>
      <c r="H346" s="476"/>
      <c r="I346" s="476"/>
      <c r="J346" s="476"/>
      <c r="K346" s="476"/>
      <c r="L346" s="476"/>
      <c r="M346" s="476"/>
      <c r="N346" s="699"/>
      <c r="O346" s="476"/>
      <c r="P346" s="700"/>
      <c r="Q346" s="476"/>
      <c r="R346" s="477"/>
      <c r="S346" s="476"/>
      <c r="T346" s="476"/>
      <c r="U346" s="476"/>
      <c r="V346" s="476"/>
      <c r="W346" s="476"/>
      <c r="X346" s="699"/>
      <c r="Y346" s="476"/>
      <c r="Z346" s="701"/>
      <c r="AA346" s="476"/>
      <c r="AB346" s="478"/>
      <c r="AC346" s="1371"/>
      <c r="AD346" s="712"/>
      <c r="AE346" s="861"/>
      <c r="AF346" s="1030"/>
      <c r="AG346" s="1030"/>
      <c r="AH346" s="857"/>
      <c r="AI346" s="704"/>
      <c r="AJ346" s="392"/>
      <c r="AK346" s="392"/>
      <c r="AL346" s="392"/>
      <c r="AM346" s="392"/>
      <c r="AN346" s="392"/>
      <c r="AO346" s="392"/>
      <c r="AP346" s="392"/>
      <c r="AQ346" s="705"/>
      <c r="AR346" s="705"/>
      <c r="AS346" s="1030"/>
      <c r="AT346" s="857"/>
      <c r="AU346" s="465"/>
      <c r="AV346" s="476"/>
      <c r="AW346" s="476"/>
      <c r="AX346" s="476"/>
      <c r="AY346" s="476"/>
      <c r="AZ346" s="476"/>
      <c r="BA346" s="476"/>
      <c r="BB346" s="476"/>
      <c r="BC346" s="476"/>
      <c r="BD346" s="476"/>
      <c r="BE346" s="476"/>
      <c r="BF346" s="478"/>
      <c r="BG346" s="471"/>
    </row>
    <row r="347" spans="3:59" ht="100" customHeight="1" thickTop="1" x14ac:dyDescent="1">
      <c r="E347" s="466"/>
      <c r="F347" s="508"/>
      <c r="G347" s="386"/>
      <c r="H347" s="386"/>
      <c r="I347" s="386"/>
      <c r="J347" s="386"/>
      <c r="K347" s="386"/>
      <c r="L347" s="386"/>
      <c r="M347" s="386"/>
      <c r="N347" s="392"/>
      <c r="O347" s="392"/>
      <c r="P347" s="505"/>
      <c r="Q347" s="465"/>
      <c r="R347" s="508"/>
      <c r="S347" s="386"/>
      <c r="T347" s="386"/>
      <c r="U347" s="386"/>
      <c r="V347" s="386"/>
      <c r="W347" s="386"/>
      <c r="X347" s="386"/>
      <c r="Y347" s="386"/>
      <c r="Z347" s="386"/>
      <c r="AA347" s="386"/>
      <c r="AB347" s="505"/>
      <c r="AC347" s="1372"/>
      <c r="AD347" s="709"/>
      <c r="AE347" s="710"/>
      <c r="AF347" s="710"/>
      <c r="AG347" s="710"/>
      <c r="AH347" s="711"/>
      <c r="AI347" s="704"/>
      <c r="AJ347" s="388"/>
      <c r="AK347" s="388"/>
      <c r="AL347" s="388"/>
      <c r="AM347" s="388"/>
      <c r="AN347" s="388"/>
      <c r="AO347" s="388"/>
      <c r="AP347" s="391"/>
      <c r="AQ347" s="712"/>
      <c r="AR347" s="713"/>
      <c r="AS347" s="714"/>
      <c r="AT347" s="715"/>
      <c r="AU347" s="469"/>
      <c r="AV347" s="716"/>
      <c r="AW347" s="716"/>
      <c r="AX347" s="716"/>
      <c r="AY347" s="716"/>
      <c r="AZ347" s="717"/>
      <c r="BA347" s="717"/>
      <c r="BB347" s="716"/>
      <c r="BC347" s="716"/>
      <c r="BD347" s="716"/>
      <c r="BE347" s="716"/>
      <c r="BF347" s="718"/>
      <c r="BG347" s="471"/>
    </row>
    <row r="348" spans="3:59" ht="100" customHeight="1" x14ac:dyDescent="1">
      <c r="E348" s="466"/>
      <c r="F348" s="508"/>
      <c r="G348" s="386"/>
      <c r="H348" s="386"/>
      <c r="I348" s="386"/>
      <c r="J348" s="386"/>
      <c r="K348" s="386"/>
      <c r="L348" s="386"/>
      <c r="M348" s="386"/>
      <c r="N348" s="392"/>
      <c r="O348" s="392"/>
      <c r="P348" s="505"/>
      <c r="Q348" s="465"/>
      <c r="R348" s="508"/>
      <c r="S348" s="386"/>
      <c r="T348" s="386"/>
      <c r="U348" s="386"/>
      <c r="V348" s="386"/>
      <c r="W348" s="386"/>
      <c r="X348" s="386"/>
      <c r="Y348" s="386"/>
      <c r="Z348" s="386"/>
      <c r="AA348" s="386"/>
      <c r="AB348" s="505"/>
      <c r="AC348" s="1372"/>
      <c r="AD348" s="719"/>
      <c r="AE348" s="720"/>
      <c r="AF348" s="720"/>
      <c r="AG348" s="720"/>
      <c r="AH348" s="721"/>
      <c r="AI348" s="704"/>
      <c r="AJ348" s="388"/>
      <c r="AK348" s="388"/>
      <c r="AL348" s="388"/>
      <c r="AM348" s="388"/>
      <c r="AN348" s="388"/>
      <c r="AO348" s="388"/>
      <c r="AP348" s="391"/>
      <c r="AQ348" s="712"/>
      <c r="AR348" s="722"/>
      <c r="AS348" s="723"/>
      <c r="AT348" s="724"/>
      <c r="AU348" s="469"/>
      <c r="AV348" s="386"/>
      <c r="AW348" s="386"/>
      <c r="AX348" s="386"/>
      <c r="AY348" s="386"/>
      <c r="AZ348" s="392"/>
      <c r="BA348" s="392"/>
      <c r="BB348" s="386"/>
      <c r="BC348" s="386"/>
      <c r="BD348" s="386"/>
      <c r="BE348" s="386"/>
      <c r="BF348" s="505"/>
      <c r="BG348" s="471"/>
    </row>
    <row r="349" spans="3:59" ht="100" customHeight="1" x14ac:dyDescent="1">
      <c r="E349" s="466"/>
      <c r="F349" s="1544"/>
      <c r="G349" s="1545"/>
      <c r="H349" s="1545"/>
      <c r="I349" s="1545"/>
      <c r="J349" s="1545"/>
      <c r="K349" s="1545"/>
      <c r="L349" s="1545"/>
      <c r="M349" s="1545"/>
      <c r="N349" s="1560"/>
      <c r="O349" s="1560"/>
      <c r="P349" s="1548"/>
      <c r="Q349" s="1539"/>
      <c r="R349" s="1544"/>
      <c r="S349" s="1545"/>
      <c r="T349" s="1545"/>
      <c r="U349" s="1545"/>
      <c r="V349" s="1545"/>
      <c r="W349" s="1545"/>
      <c r="X349" s="1545"/>
      <c r="Y349" s="1545"/>
      <c r="Z349" s="1545"/>
      <c r="AA349" s="1545"/>
      <c r="AB349" s="1548"/>
      <c r="AC349" s="1373"/>
      <c r="AD349" s="1566"/>
      <c r="AE349" s="1567"/>
      <c r="AF349" s="1567"/>
      <c r="AG349" s="1567"/>
      <c r="AH349" s="1568"/>
      <c r="AI349" s="725"/>
      <c r="AJ349" s="1569"/>
      <c r="AK349" s="1569"/>
      <c r="AL349" s="1569"/>
      <c r="AM349" s="1569"/>
      <c r="AN349" s="1569"/>
      <c r="AO349" s="1569"/>
      <c r="AP349" s="379"/>
      <c r="AQ349" s="726"/>
      <c r="AR349" s="1563"/>
      <c r="AS349" s="1564"/>
      <c r="AT349" s="1565"/>
      <c r="AU349" s="1540"/>
      <c r="AV349" s="1545"/>
      <c r="AW349" s="1545"/>
      <c r="AX349" s="1545"/>
      <c r="AY349" s="1545"/>
      <c r="AZ349" s="1560"/>
      <c r="BA349" s="1560"/>
      <c r="BB349" s="1545"/>
      <c r="BC349" s="1545"/>
      <c r="BD349" s="1545"/>
      <c r="BE349" s="1545"/>
      <c r="BF349" s="505"/>
      <c r="BG349" s="471"/>
    </row>
    <row r="350" spans="3:59" ht="100" customHeight="1" x14ac:dyDescent="1">
      <c r="E350" s="466"/>
      <c r="F350" s="1544"/>
      <c r="G350" s="1545"/>
      <c r="H350" s="727" t="s">
        <v>179</v>
      </c>
      <c r="I350" s="727"/>
      <c r="J350" s="1549"/>
      <c r="K350" s="1549"/>
      <c r="L350" s="1545"/>
      <c r="M350" s="1545"/>
      <c r="N350" s="728" t="s">
        <v>175</v>
      </c>
      <c r="O350" s="728"/>
      <c r="P350" s="1548"/>
      <c r="Q350" s="1539"/>
      <c r="R350" s="1544"/>
      <c r="S350" s="1545"/>
      <c r="T350" s="727" t="s">
        <v>179</v>
      </c>
      <c r="U350" s="1545"/>
      <c r="V350" s="1545"/>
      <c r="W350" s="1545"/>
      <c r="X350" s="1549"/>
      <c r="Y350" s="1549"/>
      <c r="Z350" s="1545"/>
      <c r="AA350" s="1545"/>
      <c r="AB350" s="1548"/>
      <c r="AC350" s="1373"/>
      <c r="AD350" s="2070" t="s">
        <v>138</v>
      </c>
      <c r="AE350" s="2071"/>
      <c r="AF350" s="2071"/>
      <c r="AG350" s="2071"/>
      <c r="AH350" s="2072"/>
      <c r="AI350" s="725"/>
      <c r="AJ350" s="2073" t="s">
        <v>124</v>
      </c>
      <c r="AK350" s="2056"/>
      <c r="AL350" s="2056"/>
      <c r="AM350" s="2056"/>
      <c r="AN350" s="2074"/>
      <c r="AO350" s="1560"/>
      <c r="AP350" s="379" t="s">
        <v>178</v>
      </c>
      <c r="AQ350" s="726"/>
      <c r="AR350" s="2075" t="s">
        <v>139</v>
      </c>
      <c r="AS350" s="2076"/>
      <c r="AT350" s="2077"/>
      <c r="AU350" s="1540"/>
      <c r="AV350" s="1545"/>
      <c r="AW350" s="1545"/>
      <c r="AX350" s="1545"/>
      <c r="AY350" s="1545"/>
      <c r="AZ350" s="728" t="s">
        <v>175</v>
      </c>
      <c r="BA350" s="728"/>
      <c r="BB350" s="1549"/>
      <c r="BC350" s="1549"/>
      <c r="BD350" s="1545"/>
      <c r="BE350" s="1545"/>
      <c r="BF350" s="1548"/>
      <c r="BG350" s="471"/>
    </row>
    <row r="351" spans="3:59" ht="100" customHeight="1" x14ac:dyDescent="1">
      <c r="E351" s="466"/>
      <c r="F351" s="508"/>
      <c r="G351" s="386"/>
      <c r="H351" s="1549">
        <v>2700</v>
      </c>
      <c r="I351" s="1549"/>
      <c r="J351" s="386"/>
      <c r="K351" s="386"/>
      <c r="L351" s="386"/>
      <c r="M351" s="386"/>
      <c r="N351" s="728" t="s">
        <v>127</v>
      </c>
      <c r="O351" s="728"/>
      <c r="P351" s="505"/>
      <c r="Q351" s="465"/>
      <c r="R351" s="508"/>
      <c r="S351" s="386"/>
      <c r="T351" s="1549">
        <v>2700</v>
      </c>
      <c r="U351" s="386"/>
      <c r="V351" s="386"/>
      <c r="W351" s="386"/>
      <c r="X351" s="1549"/>
      <c r="Y351" s="1549"/>
      <c r="Z351" s="386"/>
      <c r="AA351" s="386"/>
      <c r="AB351" s="505"/>
      <c r="AC351" s="1372"/>
      <c r="AD351" s="1566"/>
      <c r="AE351" s="1567"/>
      <c r="AF351" s="737">
        <v>400</v>
      </c>
      <c r="AG351" s="737"/>
      <c r="AH351" s="1568"/>
      <c r="AI351" s="704"/>
      <c r="AJ351" s="388"/>
      <c r="AK351" s="388"/>
      <c r="AL351" s="388"/>
      <c r="AM351" s="388"/>
      <c r="AN351" s="388"/>
      <c r="AO351" s="388"/>
      <c r="AP351" s="379" t="s">
        <v>127</v>
      </c>
      <c r="AQ351" s="726"/>
      <c r="AR351" s="738">
        <v>300</v>
      </c>
      <c r="AS351" s="739"/>
      <c r="AT351" s="740"/>
      <c r="AU351" s="1540"/>
      <c r="AV351" s="386"/>
      <c r="AW351" s="386"/>
      <c r="AX351" s="386"/>
      <c r="AY351" s="386"/>
      <c r="AZ351" s="728" t="s">
        <v>127</v>
      </c>
      <c r="BA351" s="728"/>
      <c r="BB351" s="741"/>
      <c r="BC351" s="741"/>
      <c r="BD351" s="1545"/>
      <c r="BE351" s="1545"/>
      <c r="BF351" s="505"/>
      <c r="BG351" s="471"/>
    </row>
    <row r="352" spans="3:59" ht="100" customHeight="1" x14ac:dyDescent="1">
      <c r="E352" s="466"/>
      <c r="F352" s="508"/>
      <c r="G352" s="386"/>
      <c r="H352" s="386"/>
      <c r="I352" s="386"/>
      <c r="J352" s="386"/>
      <c r="K352" s="386"/>
      <c r="L352" s="386"/>
      <c r="M352" s="386"/>
      <c r="N352" s="392"/>
      <c r="O352" s="392"/>
      <c r="P352" s="505"/>
      <c r="Q352" s="465"/>
      <c r="R352" s="508"/>
      <c r="S352" s="386"/>
      <c r="T352" s="386"/>
      <c r="U352" s="386"/>
      <c r="V352" s="386"/>
      <c r="W352" s="386"/>
      <c r="X352" s="386"/>
      <c r="Y352" s="386"/>
      <c r="Z352" s="386"/>
      <c r="AA352" s="386"/>
      <c r="AB352" s="505"/>
      <c r="AC352" s="1372"/>
      <c r="AD352" s="719"/>
      <c r="AE352" s="720"/>
      <c r="AF352" s="720"/>
      <c r="AG352" s="720"/>
      <c r="AH352" s="721"/>
      <c r="AI352" s="704"/>
      <c r="AJ352" s="388"/>
      <c r="AK352" s="388"/>
      <c r="AL352" s="388"/>
      <c r="AM352" s="388"/>
      <c r="AN352" s="388"/>
      <c r="AO352" s="388"/>
      <c r="AP352" s="391"/>
      <c r="AQ352" s="712"/>
      <c r="AR352" s="722"/>
      <c r="AS352" s="723"/>
      <c r="AT352" s="724"/>
      <c r="AU352" s="469"/>
      <c r="AV352" s="386"/>
      <c r="AW352" s="386"/>
      <c r="AX352" s="386"/>
      <c r="AY352" s="386"/>
      <c r="AZ352" s="392"/>
      <c r="BA352" s="392"/>
      <c r="BB352" s="386"/>
      <c r="BC352" s="386"/>
      <c r="BD352" s="386"/>
      <c r="BE352" s="386"/>
      <c r="BF352" s="505"/>
      <c r="BG352" s="471"/>
    </row>
    <row r="353" spans="3:60" ht="100" customHeight="1" thickBot="1" x14ac:dyDescent="1.05">
      <c r="E353" s="742"/>
      <c r="F353" s="743"/>
      <c r="G353" s="500"/>
      <c r="H353" s="500"/>
      <c r="I353" s="500"/>
      <c r="J353" s="500"/>
      <c r="K353" s="500"/>
      <c r="L353" s="500"/>
      <c r="M353" s="500"/>
      <c r="N353" s="744"/>
      <c r="O353" s="744"/>
      <c r="P353" s="509"/>
      <c r="Q353" s="467"/>
      <c r="R353" s="743"/>
      <c r="S353" s="500"/>
      <c r="T353" s="500"/>
      <c r="U353" s="500"/>
      <c r="V353" s="500"/>
      <c r="W353" s="500"/>
      <c r="X353" s="500"/>
      <c r="Y353" s="500"/>
      <c r="Z353" s="500"/>
      <c r="AA353" s="500"/>
      <c r="AB353" s="509"/>
      <c r="AC353" s="1374"/>
      <c r="AD353" s="745"/>
      <c r="AE353" s="746"/>
      <c r="AF353" s="746"/>
      <c r="AG353" s="746"/>
      <c r="AH353" s="747"/>
      <c r="AI353" s="748"/>
      <c r="AJ353" s="388"/>
      <c r="AK353" s="388"/>
      <c r="AL353" s="388"/>
      <c r="AM353" s="388"/>
      <c r="AN353" s="388"/>
      <c r="AO353" s="388"/>
      <c r="AP353" s="391"/>
      <c r="AQ353" s="749"/>
      <c r="AR353" s="750"/>
      <c r="AS353" s="751"/>
      <c r="AT353" s="752"/>
      <c r="AU353" s="469"/>
      <c r="AV353" s="386"/>
      <c r="AW353" s="386"/>
      <c r="AX353" s="386"/>
      <c r="AY353" s="386"/>
      <c r="AZ353" s="392"/>
      <c r="BA353" s="392"/>
      <c r="BB353" s="386"/>
      <c r="BC353" s="386"/>
      <c r="BD353" s="386"/>
      <c r="BE353" s="386"/>
      <c r="BF353" s="505"/>
      <c r="BG353" s="471"/>
    </row>
    <row r="354" spans="3:60" ht="10" customHeight="1" thickTop="1" thickBot="1" x14ac:dyDescent="1.05">
      <c r="E354" s="477"/>
      <c r="F354" s="476"/>
      <c r="G354" s="476"/>
      <c r="H354" s="476"/>
      <c r="I354" s="476"/>
      <c r="J354" s="476"/>
      <c r="K354" s="476"/>
      <c r="L354" s="476"/>
      <c r="M354" s="476"/>
      <c r="N354" s="476"/>
      <c r="O354" s="476"/>
      <c r="P354" s="476"/>
      <c r="Q354" s="478"/>
      <c r="R354" s="477"/>
      <c r="S354" s="476"/>
      <c r="T354" s="476"/>
      <c r="U354" s="476"/>
      <c r="V354" s="476"/>
      <c r="W354" s="476"/>
      <c r="X354" s="476"/>
      <c r="Y354" s="476"/>
      <c r="Z354" s="476"/>
      <c r="AA354" s="476"/>
      <c r="AB354" s="476"/>
      <c r="AC354" s="1375"/>
      <c r="AD354" s="753"/>
      <c r="AE354" s="754"/>
      <c r="AF354" s="754"/>
      <c r="AG354" s="754"/>
      <c r="AH354" s="755"/>
      <c r="AI354" s="755"/>
      <c r="AJ354" s="388"/>
      <c r="AK354" s="388"/>
      <c r="AL354" s="388"/>
      <c r="AM354" s="388"/>
      <c r="AN354" s="388"/>
      <c r="AO354" s="388"/>
      <c r="AP354" s="392"/>
      <c r="AQ354" s="753"/>
      <c r="AR354" s="754"/>
      <c r="AS354" s="754"/>
      <c r="AT354" s="755"/>
      <c r="AU354" s="469"/>
      <c r="AV354" s="386"/>
      <c r="AW354" s="386"/>
      <c r="AX354" s="386"/>
      <c r="AY354" s="386"/>
      <c r="AZ354" s="392"/>
      <c r="BA354" s="392"/>
      <c r="BB354" s="386"/>
      <c r="BC354" s="386"/>
      <c r="BD354" s="386"/>
      <c r="BE354" s="386"/>
      <c r="BF354" s="505"/>
      <c r="BG354" s="471"/>
    </row>
    <row r="355" spans="3:60" ht="100" customHeight="1" thickTop="1" x14ac:dyDescent="1">
      <c r="D355" s="408"/>
      <c r="E355" s="2079" t="s">
        <v>168</v>
      </c>
      <c r="F355" s="2079"/>
      <c r="G355" s="2079"/>
      <c r="H355" s="2079"/>
      <c r="I355" s="2079"/>
      <c r="J355" s="2079"/>
      <c r="K355" s="2079"/>
      <c r="L355" s="2079"/>
      <c r="M355" s="2079"/>
      <c r="N355" s="2079"/>
      <c r="O355" s="2079"/>
      <c r="P355" s="2080"/>
      <c r="Q355" s="2098" t="s">
        <v>168</v>
      </c>
      <c r="R355" s="2079"/>
      <c r="S355" s="2079"/>
      <c r="T355" s="2079"/>
      <c r="U355" s="2079"/>
      <c r="V355" s="2079"/>
      <c r="W355" s="2079"/>
      <c r="X355" s="2079"/>
      <c r="Y355" s="2079"/>
      <c r="Z355" s="2079"/>
      <c r="AA355" s="2079"/>
      <c r="AB355" s="2080"/>
      <c r="AC355" s="2100" t="s">
        <v>169</v>
      </c>
      <c r="AD355" s="1990"/>
      <c r="AE355" s="1990"/>
      <c r="AF355" s="1990"/>
      <c r="AG355" s="1990"/>
      <c r="AH355" s="1990"/>
      <c r="AI355" s="1990"/>
      <c r="AJ355" s="2085" t="s">
        <v>186</v>
      </c>
      <c r="AK355" s="2085"/>
      <c r="AL355" s="2085"/>
      <c r="AM355" s="2085"/>
      <c r="AN355" s="2085"/>
      <c r="AO355" s="2085"/>
      <c r="AP355" s="2085"/>
      <c r="AQ355" s="2064" t="s">
        <v>170</v>
      </c>
      <c r="AR355" s="2064"/>
      <c r="AS355" s="2064"/>
      <c r="AT355" s="2064"/>
      <c r="AU355" s="758"/>
      <c r="AV355" s="2053" t="s">
        <v>133</v>
      </c>
      <c r="AW355" s="2054"/>
      <c r="AX355" s="2054"/>
      <c r="AY355" s="2054"/>
      <c r="AZ355" s="2054"/>
      <c r="BA355" s="2054"/>
      <c r="BB355" s="2054"/>
      <c r="BC355" s="2054"/>
      <c r="BD355" s="2054"/>
      <c r="BE355" s="2054"/>
      <c r="BF355" s="2055"/>
      <c r="BG355" s="471"/>
    </row>
    <row r="356" spans="3:60" ht="100" customHeight="1" thickBot="1" x14ac:dyDescent="1.05">
      <c r="D356" s="408"/>
      <c r="E356" s="2082"/>
      <c r="F356" s="2082"/>
      <c r="G356" s="2082"/>
      <c r="H356" s="2082"/>
      <c r="I356" s="2082"/>
      <c r="J356" s="2082"/>
      <c r="K356" s="2082"/>
      <c r="L356" s="2082"/>
      <c r="M356" s="2082"/>
      <c r="N356" s="2082"/>
      <c r="O356" s="2082"/>
      <c r="P356" s="2083"/>
      <c r="Q356" s="2099"/>
      <c r="R356" s="2082"/>
      <c r="S356" s="2082"/>
      <c r="T356" s="2082"/>
      <c r="U356" s="2082"/>
      <c r="V356" s="2082"/>
      <c r="W356" s="2082"/>
      <c r="X356" s="2082"/>
      <c r="Y356" s="2082"/>
      <c r="Z356" s="2082"/>
      <c r="AA356" s="2082"/>
      <c r="AB356" s="2083"/>
      <c r="AC356" s="2100"/>
      <c r="AD356" s="1990"/>
      <c r="AE356" s="1990"/>
      <c r="AF356" s="1990"/>
      <c r="AG356" s="1990"/>
      <c r="AH356" s="1990"/>
      <c r="AI356" s="1990"/>
      <c r="AJ356" s="2205"/>
      <c r="AK356" s="2205"/>
      <c r="AL356" s="2205"/>
      <c r="AM356" s="2205"/>
      <c r="AN356" s="2205"/>
      <c r="AO356" s="2205"/>
      <c r="AP356" s="2205"/>
      <c r="AQ356" s="2086"/>
      <c r="AR356" s="2086"/>
      <c r="AS356" s="2086"/>
      <c r="AT356" s="2086"/>
      <c r="AU356" s="758"/>
      <c r="AV356" s="2053"/>
      <c r="AW356" s="2054"/>
      <c r="AX356" s="2054"/>
      <c r="AY356" s="2054"/>
      <c r="AZ356" s="2054"/>
      <c r="BA356" s="2054"/>
      <c r="BB356" s="2054"/>
      <c r="BC356" s="2054"/>
      <c r="BD356" s="2054"/>
      <c r="BE356" s="2054"/>
      <c r="BF356" s="2055"/>
      <c r="BG356" s="471"/>
    </row>
    <row r="357" spans="3:60" ht="10" customHeight="1" thickTop="1" thickBot="1" x14ac:dyDescent="1.05">
      <c r="E357" s="698"/>
      <c r="F357" s="760"/>
      <c r="G357" s="761"/>
      <c r="H357" s="761"/>
      <c r="I357" s="761"/>
      <c r="J357" s="761"/>
      <c r="K357" s="761"/>
      <c r="L357" s="761"/>
      <c r="M357" s="761"/>
      <c r="N357" s="761"/>
      <c r="O357" s="761"/>
      <c r="P357" s="761"/>
      <c r="Q357" s="762"/>
      <c r="R357" s="761"/>
      <c r="S357" s="761"/>
      <c r="T357" s="761"/>
      <c r="U357" s="761"/>
      <c r="V357" s="761"/>
      <c r="W357" s="761"/>
      <c r="X357" s="761"/>
      <c r="Y357" s="761"/>
      <c r="Z357" s="761"/>
      <c r="AA357" s="761"/>
      <c r="AB357" s="761"/>
      <c r="AC357" s="762"/>
      <c r="AD357" s="705"/>
      <c r="AE357" s="1030"/>
      <c r="AF357" s="1030"/>
      <c r="AG357" s="1030"/>
      <c r="AH357" s="857"/>
      <c r="AI357" s="857"/>
      <c r="AJ357" s="1376"/>
      <c r="AK357" s="1376"/>
      <c r="AL357" s="1376"/>
      <c r="AM357" s="1376"/>
      <c r="AN357" s="1376"/>
      <c r="AO357" s="1376"/>
      <c r="AP357" s="1376"/>
      <c r="AQ357" s="766"/>
      <c r="AR357" s="765"/>
      <c r="AS357" s="767"/>
      <c r="AT357" s="768"/>
      <c r="AU357" s="758"/>
      <c r="AV357" s="2053"/>
      <c r="AW357" s="2054"/>
      <c r="AX357" s="2054"/>
      <c r="AY357" s="2054"/>
      <c r="AZ357" s="2054"/>
      <c r="BA357" s="2054"/>
      <c r="BB357" s="2054"/>
      <c r="BC357" s="2054"/>
      <c r="BD357" s="2054"/>
      <c r="BE357" s="2054"/>
      <c r="BF357" s="2055"/>
      <c r="BG357" s="471"/>
    </row>
    <row r="358" spans="3:60" ht="100" customHeight="1" thickTop="1" x14ac:dyDescent="1">
      <c r="E358" s="466"/>
      <c r="F358" s="504"/>
      <c r="G358" s="716"/>
      <c r="H358" s="716"/>
      <c r="I358" s="716"/>
      <c r="J358" s="716"/>
      <c r="K358" s="716"/>
      <c r="L358" s="716"/>
      <c r="M358" s="716"/>
      <c r="N358" s="716"/>
      <c r="O358" s="716"/>
      <c r="P358" s="718"/>
      <c r="Q358" s="769"/>
      <c r="R358" s="504"/>
      <c r="S358" s="716"/>
      <c r="T358" s="716"/>
      <c r="U358" s="716"/>
      <c r="V358" s="716"/>
      <c r="W358" s="716"/>
      <c r="X358" s="716"/>
      <c r="Y358" s="716"/>
      <c r="Z358" s="716"/>
      <c r="AA358" s="716"/>
      <c r="AB358" s="718"/>
      <c r="AC358" s="769"/>
      <c r="AD358" s="709"/>
      <c r="AE358" s="710"/>
      <c r="AF358" s="710"/>
      <c r="AG358" s="710"/>
      <c r="AH358" s="711"/>
      <c r="AI358" s="704"/>
      <c r="AJ358" s="1377"/>
      <c r="AK358" s="1378"/>
      <c r="AL358" s="1378"/>
      <c r="AM358" s="1378"/>
      <c r="AN358" s="1378"/>
      <c r="AO358" s="1378"/>
      <c r="AP358" s="1379"/>
      <c r="AQ358" s="857"/>
      <c r="AR358" s="713"/>
      <c r="AS358" s="714"/>
      <c r="AT358" s="715"/>
      <c r="AU358" s="465"/>
      <c r="AV358" s="508"/>
      <c r="AW358" s="386"/>
      <c r="AX358" s="386"/>
      <c r="AY358" s="386"/>
      <c r="AZ358" s="386"/>
      <c r="BA358" s="386"/>
      <c r="BB358" s="386"/>
      <c r="BC358" s="386"/>
      <c r="BD358" s="386"/>
      <c r="BE358" s="386"/>
      <c r="BF358" s="505"/>
      <c r="BG358" s="471"/>
    </row>
    <row r="359" spans="3:60" ht="100" customHeight="1" x14ac:dyDescent="1">
      <c r="E359" s="466"/>
      <c r="F359" s="508"/>
      <c r="G359" s="386"/>
      <c r="H359" s="386"/>
      <c r="I359" s="386"/>
      <c r="J359" s="386"/>
      <c r="K359" s="386"/>
      <c r="L359" s="386"/>
      <c r="M359" s="386"/>
      <c r="N359" s="598"/>
      <c r="O359" s="598"/>
      <c r="P359" s="770"/>
      <c r="Q359" s="771"/>
      <c r="R359" s="508"/>
      <c r="S359" s="386"/>
      <c r="T359" s="386"/>
      <c r="U359" s="386"/>
      <c r="V359" s="386"/>
      <c r="W359" s="386"/>
      <c r="X359" s="386"/>
      <c r="Y359" s="386"/>
      <c r="Z359" s="772"/>
      <c r="AA359" s="772"/>
      <c r="AB359" s="773"/>
      <c r="AC359" s="1380"/>
      <c r="AD359" s="719"/>
      <c r="AE359" s="720"/>
      <c r="AF359" s="720"/>
      <c r="AG359" s="720"/>
      <c r="AH359" s="721"/>
      <c r="AI359" s="704"/>
      <c r="AJ359" s="1381"/>
      <c r="AK359" s="1382"/>
      <c r="AL359" s="1382"/>
      <c r="AM359" s="1382"/>
      <c r="AN359" s="1382"/>
      <c r="AO359" s="1382"/>
      <c r="AP359" s="1383"/>
      <c r="AQ359" s="704"/>
      <c r="AR359" s="722"/>
      <c r="AS359" s="723"/>
      <c r="AT359" s="724"/>
      <c r="AU359" s="465"/>
      <c r="AV359" s="508"/>
      <c r="AW359" s="386"/>
      <c r="AX359" s="386"/>
      <c r="AY359" s="386"/>
      <c r="AZ359" s="741"/>
      <c r="BA359" s="741"/>
      <c r="BB359" s="386"/>
      <c r="BC359" s="386"/>
      <c r="BD359" s="386"/>
      <c r="BE359" s="386"/>
      <c r="BF359" s="505"/>
      <c r="BG359" s="471"/>
    </row>
    <row r="360" spans="3:60" ht="100" customHeight="1" x14ac:dyDescent="1">
      <c r="E360" s="466"/>
      <c r="F360" s="1544"/>
      <c r="G360" s="1545"/>
      <c r="H360" s="1545"/>
      <c r="I360" s="1545"/>
      <c r="J360" s="386"/>
      <c r="K360" s="386"/>
      <c r="L360" s="386"/>
      <c r="M360" s="386"/>
      <c r="N360" s="598"/>
      <c r="O360" s="598"/>
      <c r="P360" s="770"/>
      <c r="Q360" s="771"/>
      <c r="R360" s="508"/>
      <c r="S360" s="386"/>
      <c r="T360" s="386"/>
      <c r="U360" s="386"/>
      <c r="V360" s="386"/>
      <c r="W360" s="386"/>
      <c r="X360" s="386"/>
      <c r="Y360" s="386"/>
      <c r="Z360" s="772"/>
      <c r="AA360" s="772"/>
      <c r="AB360" s="773"/>
      <c r="AC360" s="1380"/>
      <c r="AD360" s="1566"/>
      <c r="AE360" s="1567"/>
      <c r="AF360" s="1567"/>
      <c r="AG360" s="1567"/>
      <c r="AH360" s="1568"/>
      <c r="AI360" s="725"/>
      <c r="AJ360" s="1381"/>
      <c r="AK360" s="1382"/>
      <c r="AL360" s="1382"/>
      <c r="AM360" s="1382"/>
      <c r="AN360" s="1382"/>
      <c r="AO360" s="1382"/>
      <c r="AP360" s="1384"/>
      <c r="AQ360" s="704"/>
      <c r="AR360" s="1563"/>
      <c r="AS360" s="1564"/>
      <c r="AT360" s="1565"/>
      <c r="AU360" s="465"/>
      <c r="AV360" s="508"/>
      <c r="AW360" s="386"/>
      <c r="AX360" s="386"/>
      <c r="AY360" s="386"/>
      <c r="AZ360" s="1545"/>
      <c r="BA360" s="1545"/>
      <c r="BB360" s="1545"/>
      <c r="BC360" s="1545"/>
      <c r="BD360" s="1545"/>
      <c r="BE360" s="1545"/>
      <c r="BF360" s="1548"/>
      <c r="BG360" s="471"/>
    </row>
    <row r="361" spans="3:60" ht="100" customHeight="1" x14ac:dyDescent="1">
      <c r="E361" s="466"/>
      <c r="F361" s="508"/>
      <c r="G361" s="386"/>
      <c r="H361" s="727" t="s">
        <v>179</v>
      </c>
      <c r="I361" s="727"/>
      <c r="J361" s="1549"/>
      <c r="K361" s="1549"/>
      <c r="L361" s="386"/>
      <c r="M361" s="386"/>
      <c r="N361" s="386"/>
      <c r="O361" s="386"/>
      <c r="P361" s="1543"/>
      <c r="Q361" s="775"/>
      <c r="R361" s="1541"/>
      <c r="S361" s="1542"/>
      <c r="T361" s="727" t="s">
        <v>179</v>
      </c>
      <c r="U361" s="1542"/>
      <c r="V361" s="1542"/>
      <c r="W361" s="1542"/>
      <c r="X361" s="1549"/>
      <c r="Y361" s="1549"/>
      <c r="Z361" s="598"/>
      <c r="AA361" s="598"/>
      <c r="AB361" s="770"/>
      <c r="AC361" s="771"/>
      <c r="AD361" s="2070" t="s">
        <v>138</v>
      </c>
      <c r="AE361" s="2071"/>
      <c r="AF361" s="2071"/>
      <c r="AG361" s="2071"/>
      <c r="AH361" s="2072"/>
      <c r="AI361" s="725"/>
      <c r="AJ361" s="2206" t="s">
        <v>210</v>
      </c>
      <c r="AK361" s="2207"/>
      <c r="AL361" s="2207"/>
      <c r="AM361" s="2207"/>
      <c r="AN361" s="2207"/>
      <c r="AO361" s="1385"/>
      <c r="AP361" s="1384"/>
      <c r="AQ361" s="725"/>
      <c r="AR361" s="2075" t="s">
        <v>139</v>
      </c>
      <c r="AS361" s="2076"/>
      <c r="AT361" s="2077"/>
      <c r="AU361" s="1539"/>
      <c r="AV361" s="778"/>
      <c r="AW361" s="579"/>
      <c r="AX361" s="727" t="s">
        <v>196</v>
      </c>
      <c r="AY361" s="727"/>
      <c r="AZ361" s="579"/>
      <c r="BA361" s="579"/>
      <c r="BB361" s="579"/>
      <c r="BC361" s="579"/>
      <c r="BD361" s="579"/>
      <c r="BE361" s="579"/>
      <c r="BF361" s="779"/>
      <c r="BG361" s="471"/>
      <c r="BH361" s="696"/>
    </row>
    <row r="362" spans="3:60" ht="100" customHeight="1" x14ac:dyDescent="1">
      <c r="E362" s="466"/>
      <c r="F362" s="508"/>
      <c r="G362" s="386"/>
      <c r="H362" s="1549">
        <v>2700</v>
      </c>
      <c r="I362" s="1549"/>
      <c r="J362" s="780"/>
      <c r="K362" s="780"/>
      <c r="L362" s="780"/>
      <c r="M362" s="780"/>
      <c r="N362" s="780"/>
      <c r="O362" s="780"/>
      <c r="P362" s="1543"/>
      <c r="Q362" s="775"/>
      <c r="R362" s="781"/>
      <c r="S362" s="780"/>
      <c r="T362" s="1549">
        <v>2700</v>
      </c>
      <c r="U362" s="780"/>
      <c r="V362" s="780"/>
      <c r="W362" s="780"/>
      <c r="X362" s="780"/>
      <c r="Y362" s="780"/>
      <c r="Z362" s="782"/>
      <c r="AA362" s="782"/>
      <c r="AB362" s="773"/>
      <c r="AC362" s="1380"/>
      <c r="AD362" s="1566"/>
      <c r="AE362" s="1567"/>
      <c r="AF362" s="737">
        <v>400</v>
      </c>
      <c r="AG362" s="737"/>
      <c r="AH362" s="1568"/>
      <c r="AI362" s="704"/>
      <c r="AJ362" s="1593"/>
      <c r="AK362" s="1594"/>
      <c r="AL362" s="1594">
        <v>4700</v>
      </c>
      <c r="AM362" s="1385"/>
      <c r="AN362" s="1385"/>
      <c r="AO362" s="1385"/>
      <c r="AP362" s="1388"/>
      <c r="AQ362" s="725"/>
      <c r="AR362" s="738">
        <v>300</v>
      </c>
      <c r="AS362" s="739"/>
      <c r="AT362" s="740"/>
      <c r="AU362" s="784"/>
      <c r="AV362" s="785"/>
      <c r="AW362" s="786"/>
      <c r="AX362" s="1549">
        <f>AF362+T362</f>
        <v>3100</v>
      </c>
      <c r="AY362" s="786"/>
      <c r="AZ362" s="786"/>
      <c r="BA362" s="786"/>
      <c r="BB362" s="786"/>
      <c r="BC362" s="786"/>
      <c r="BD362" s="786"/>
      <c r="BE362" s="786"/>
      <c r="BF362" s="787"/>
      <c r="BG362" s="471"/>
    </row>
    <row r="363" spans="3:60" ht="100" customHeight="1" x14ac:dyDescent="1">
      <c r="D363" s="475"/>
      <c r="E363" s="465"/>
      <c r="F363" s="508"/>
      <c r="G363" s="386"/>
      <c r="H363" s="386"/>
      <c r="I363" s="386"/>
      <c r="J363" s="386"/>
      <c r="K363" s="386"/>
      <c r="L363" s="386"/>
      <c r="M363" s="386"/>
      <c r="N363" s="598"/>
      <c r="O363" s="598"/>
      <c r="P363" s="770"/>
      <c r="Q363" s="771"/>
      <c r="R363" s="508"/>
      <c r="S363" s="386"/>
      <c r="T363" s="386"/>
      <c r="U363" s="386"/>
      <c r="V363" s="386"/>
      <c r="W363" s="386"/>
      <c r="X363" s="386"/>
      <c r="Y363" s="386"/>
      <c r="Z363" s="772"/>
      <c r="AA363" s="772"/>
      <c r="AB363" s="773"/>
      <c r="AC363" s="1380"/>
      <c r="AD363" s="719"/>
      <c r="AE363" s="720"/>
      <c r="AF363" s="720"/>
      <c r="AG363" s="720"/>
      <c r="AH363" s="721"/>
      <c r="AI363" s="704"/>
      <c r="AJ363" s="1381"/>
      <c r="AK363" s="1382"/>
      <c r="AL363" s="1382"/>
      <c r="AM363" s="1382"/>
      <c r="AN363" s="1382"/>
      <c r="AO363" s="1382"/>
      <c r="AP363" s="1383"/>
      <c r="AQ363" s="704"/>
      <c r="AR363" s="722"/>
      <c r="AS363" s="723"/>
      <c r="AT363" s="724"/>
      <c r="AU363" s="465"/>
      <c r="AV363" s="508"/>
      <c r="AW363" s="386"/>
      <c r="AX363" s="386"/>
      <c r="AY363" s="386"/>
      <c r="AZ363" s="386"/>
      <c r="BA363" s="386"/>
      <c r="BB363" s="386"/>
      <c r="BC363" s="386"/>
      <c r="BD363" s="386"/>
      <c r="BE363" s="386"/>
      <c r="BF363" s="505"/>
      <c r="BG363" s="471"/>
    </row>
    <row r="364" spans="3:60" ht="100" customHeight="1" thickBot="1" x14ac:dyDescent="1.05">
      <c r="D364" s="475"/>
      <c r="E364" s="467"/>
      <c r="F364" s="743"/>
      <c r="G364" s="500"/>
      <c r="H364" s="500"/>
      <c r="I364" s="500"/>
      <c r="J364" s="500"/>
      <c r="K364" s="500"/>
      <c r="L364" s="500"/>
      <c r="M364" s="500"/>
      <c r="N364" s="500"/>
      <c r="O364" s="500"/>
      <c r="P364" s="509"/>
      <c r="Q364" s="467"/>
      <c r="R364" s="743"/>
      <c r="S364" s="500"/>
      <c r="T364" s="500"/>
      <c r="U364" s="500"/>
      <c r="V364" s="500"/>
      <c r="W364" s="500"/>
      <c r="X364" s="500"/>
      <c r="Y364" s="500"/>
      <c r="Z364" s="500"/>
      <c r="AA364" s="500"/>
      <c r="AB364" s="509"/>
      <c r="AC364" s="467"/>
      <c r="AD364" s="745"/>
      <c r="AE364" s="746"/>
      <c r="AF364" s="746"/>
      <c r="AG364" s="746"/>
      <c r="AH364" s="747"/>
      <c r="AI364" s="748"/>
      <c r="AJ364" s="1389"/>
      <c r="AK364" s="1390"/>
      <c r="AL364" s="1390"/>
      <c r="AM364" s="1390"/>
      <c r="AN364" s="1390"/>
      <c r="AO364" s="1390"/>
      <c r="AP364" s="1391"/>
      <c r="AQ364" s="748"/>
      <c r="AR364" s="750"/>
      <c r="AS364" s="751"/>
      <c r="AT364" s="752"/>
      <c r="AU364" s="465"/>
      <c r="AV364" s="508"/>
      <c r="AW364" s="386"/>
      <c r="AX364" s="386"/>
      <c r="AY364" s="386"/>
      <c r="AZ364" s="386"/>
      <c r="BA364" s="386"/>
      <c r="BB364" s="386"/>
      <c r="BC364" s="386"/>
      <c r="BD364" s="386"/>
      <c r="BE364" s="386"/>
      <c r="BF364" s="505"/>
      <c r="BG364" s="471"/>
    </row>
    <row r="365" spans="3:60" ht="10" customHeight="1" thickTop="1" thickBot="1" x14ac:dyDescent="1.05">
      <c r="D365" s="475"/>
      <c r="E365" s="471"/>
      <c r="F365" s="742"/>
      <c r="G365" s="467"/>
      <c r="H365" s="467"/>
      <c r="I365" s="467"/>
      <c r="J365" s="467"/>
      <c r="K365" s="467"/>
      <c r="L365" s="467"/>
      <c r="M365" s="467"/>
      <c r="N365" s="789"/>
      <c r="O365" s="467"/>
      <c r="P365" s="790"/>
      <c r="Q365" s="467"/>
      <c r="R365" s="742"/>
      <c r="S365" s="467"/>
      <c r="T365" s="467"/>
      <c r="U365" s="467"/>
      <c r="V365" s="467"/>
      <c r="W365" s="467"/>
      <c r="X365" s="789"/>
      <c r="Y365" s="467"/>
      <c r="Z365" s="791"/>
      <c r="AA365" s="467"/>
      <c r="AB365" s="788"/>
      <c r="AC365" s="467"/>
      <c r="AD365" s="753"/>
      <c r="AE365" s="754"/>
      <c r="AF365" s="754"/>
      <c r="AG365" s="754"/>
      <c r="AH365" s="754"/>
      <c r="AI365" s="755"/>
      <c r="AJ365" s="1392"/>
      <c r="AK365" s="874"/>
      <c r="AL365" s="753"/>
      <c r="AM365" s="874"/>
      <c r="AN365" s="874"/>
      <c r="AO365" s="903"/>
      <c r="AP365" s="749"/>
      <c r="AQ365" s="754"/>
      <c r="AR365" s="754"/>
      <c r="AS365" s="754"/>
      <c r="AT365" s="755"/>
      <c r="AU365" s="467"/>
      <c r="AV365" s="476"/>
      <c r="AW365" s="476"/>
      <c r="AX365" s="701"/>
      <c r="AY365" s="701"/>
      <c r="AZ365" s="701"/>
      <c r="BA365" s="476"/>
      <c r="BB365" s="476"/>
      <c r="BC365" s="476"/>
      <c r="BD365" s="476"/>
      <c r="BE365" s="476"/>
      <c r="BF365" s="478"/>
      <c r="BG365" s="471"/>
    </row>
    <row r="366" spans="3:60" ht="50" customHeight="1" thickTop="1" x14ac:dyDescent="1">
      <c r="BG366" s="792"/>
    </row>
    <row r="367" spans="3:60" ht="353" customHeight="1" x14ac:dyDescent="1">
      <c r="BG367" s="408"/>
    </row>
    <row r="368" spans="3:60" s="1426" customFormat="1" ht="100" customHeight="1" x14ac:dyDescent="1.2">
      <c r="C368" s="1431"/>
      <c r="F368" s="1436" t="s">
        <v>146</v>
      </c>
      <c r="G368" s="1436"/>
      <c r="N368" s="1430">
        <f>H375+X375+AT387+AL387+X387+H387</f>
        <v>22900</v>
      </c>
      <c r="P368" s="1463" t="s">
        <v>33</v>
      </c>
      <c r="Q368" s="1427"/>
      <c r="R368" s="1438"/>
      <c r="AN368" s="1422"/>
      <c r="AO368" s="1422"/>
      <c r="AP368" s="1427"/>
      <c r="AQ368" s="1427"/>
    </row>
    <row r="369" spans="4:62" ht="50" customHeight="1" thickBot="1" x14ac:dyDescent="1.05">
      <c r="E369" s="408"/>
      <c r="AJ369" s="793"/>
      <c r="AK369" s="793"/>
      <c r="AL369" s="793"/>
      <c r="AM369" s="793"/>
      <c r="AN369" s="793"/>
      <c r="AO369" s="793"/>
      <c r="AP369" s="793"/>
      <c r="AQ369" s="562"/>
      <c r="AR369" s="562"/>
      <c r="AS369" s="562"/>
      <c r="AT369" s="562"/>
      <c r="AU369" s="562"/>
      <c r="AV369" s="562"/>
      <c r="AW369" s="562"/>
      <c r="AX369" s="562"/>
      <c r="AY369" s="562"/>
      <c r="AZ369" s="562"/>
      <c r="BA369" s="562"/>
      <c r="BB369" s="562"/>
      <c r="BC369" s="562"/>
      <c r="BD369" s="562"/>
      <c r="BE369" s="562"/>
      <c r="BF369" s="562"/>
      <c r="BG369" s="408"/>
      <c r="BH369" s="961"/>
      <c r="BI369" s="961"/>
      <c r="BJ369" s="961"/>
    </row>
    <row r="370" spans="4:62" ht="10" customHeight="1" thickTop="1" thickBot="1" x14ac:dyDescent="1.05">
      <c r="D370" s="794"/>
      <c r="E370" s="511"/>
      <c r="F370" s="575"/>
      <c r="G370" s="561"/>
      <c r="H370" s="561"/>
      <c r="I370" s="561"/>
      <c r="J370" s="561"/>
      <c r="K370" s="561"/>
      <c r="L370" s="561"/>
      <c r="M370" s="561"/>
      <c r="N370" s="561"/>
      <c r="O370" s="561"/>
      <c r="P370" s="561"/>
      <c r="Q370" s="561"/>
      <c r="R370" s="561"/>
      <c r="S370" s="561"/>
      <c r="T370" s="576"/>
      <c r="U370" s="962"/>
      <c r="V370" s="753"/>
      <c r="W370" s="754"/>
      <c r="X370" s="754"/>
      <c r="Y370" s="754"/>
      <c r="Z370" s="754"/>
      <c r="AA370" s="754"/>
      <c r="AB370" s="754"/>
      <c r="AC370" s="754"/>
      <c r="AD370" s="754"/>
      <c r="AE370" s="754"/>
      <c r="AF370" s="754"/>
      <c r="AG370" s="754"/>
      <c r="AH370" s="755"/>
      <c r="AI370" s="903"/>
      <c r="AJ370" s="388"/>
      <c r="AK370" s="388"/>
      <c r="AL370" s="388"/>
      <c r="AM370" s="388"/>
      <c r="AN370" s="388"/>
      <c r="AO370" s="388"/>
      <c r="AP370" s="796"/>
      <c r="AQ370" s="547"/>
      <c r="AR370" s="514"/>
      <c r="AS370" s="514"/>
      <c r="AT370" s="514"/>
      <c r="AU370" s="514"/>
      <c r="AV370" s="547"/>
      <c r="AW370" s="547"/>
      <c r="AX370" s="547"/>
      <c r="AY370" s="547"/>
      <c r="AZ370" s="547"/>
      <c r="BA370" s="547"/>
      <c r="BB370" s="547"/>
      <c r="BC370" s="547"/>
      <c r="BD370" s="547"/>
      <c r="BE370" s="547"/>
      <c r="BF370" s="560"/>
      <c r="BG370" s="577"/>
      <c r="BH370" s="696"/>
      <c r="BI370" s="696"/>
      <c r="BJ370" s="696"/>
    </row>
    <row r="371" spans="4:62" ht="100" customHeight="1" thickTop="1" x14ac:dyDescent="1">
      <c r="D371" s="794"/>
      <c r="E371" s="547"/>
      <c r="F371" s="568"/>
      <c r="G371" s="386"/>
      <c r="H371" s="386"/>
      <c r="I371" s="386"/>
      <c r="J371" s="386"/>
      <c r="K371" s="386"/>
      <c r="L371" s="386"/>
      <c r="M371" s="386"/>
      <c r="N371" s="392"/>
      <c r="O371" s="392"/>
      <c r="P371" s="386"/>
      <c r="Q371" s="386"/>
      <c r="R371" s="386"/>
      <c r="S371" s="386"/>
      <c r="T371" s="546"/>
      <c r="U371" s="970"/>
      <c r="V371" s="797"/>
      <c r="W371" s="797"/>
      <c r="X371" s="797"/>
      <c r="Y371" s="797"/>
      <c r="Z371" s="797"/>
      <c r="AA371" s="797"/>
      <c r="AB371" s="797"/>
      <c r="AC371" s="797"/>
      <c r="AD371" s="797"/>
      <c r="AE371" s="797"/>
      <c r="AF371" s="797"/>
      <c r="AG371" s="797"/>
      <c r="AH371" s="720"/>
      <c r="AI371" s="798"/>
      <c r="AJ371" s="388"/>
      <c r="AK371" s="388"/>
      <c r="AL371" s="388"/>
      <c r="AM371" s="388"/>
      <c r="AN371" s="392"/>
      <c r="AO371" s="799"/>
      <c r="AP371" s="796"/>
      <c r="AQ371" s="547"/>
      <c r="AR371" s="563"/>
      <c r="AS371" s="564"/>
      <c r="AT371" s="564"/>
      <c r="AU371" s="564"/>
      <c r="AV371" s="564"/>
      <c r="AW371" s="564"/>
      <c r="AX371" s="564"/>
      <c r="AY371" s="564"/>
      <c r="AZ371" s="800"/>
      <c r="BA371" s="800"/>
      <c r="BB371" s="564"/>
      <c r="BC371" s="564"/>
      <c r="BD371" s="564"/>
      <c r="BE371" s="564"/>
      <c r="BF371" s="531"/>
      <c r="BG371" s="578"/>
    </row>
    <row r="372" spans="4:62" ht="100" customHeight="1" x14ac:dyDescent="1">
      <c r="D372" s="794"/>
      <c r="E372" s="514"/>
      <c r="F372" s="568"/>
      <c r="G372" s="386"/>
      <c r="H372" s="386"/>
      <c r="I372" s="386"/>
      <c r="J372" s="386"/>
      <c r="K372" s="386"/>
      <c r="L372" s="386"/>
      <c r="M372" s="386"/>
      <c r="N372" s="392"/>
      <c r="O372" s="392"/>
      <c r="P372" s="386"/>
      <c r="Q372" s="386"/>
      <c r="R372" s="386"/>
      <c r="S372" s="386"/>
      <c r="T372" s="546"/>
      <c r="U372" s="1014"/>
      <c r="V372" s="797"/>
      <c r="W372" s="797"/>
      <c r="X372" s="797"/>
      <c r="Y372" s="797"/>
      <c r="Z372" s="797"/>
      <c r="AA372" s="797"/>
      <c r="AB372" s="797"/>
      <c r="AC372" s="797"/>
      <c r="AD372" s="797"/>
      <c r="AE372" s="797"/>
      <c r="AF372" s="797"/>
      <c r="AG372" s="797"/>
      <c r="AH372" s="720"/>
      <c r="AI372" s="798"/>
      <c r="AJ372" s="388"/>
      <c r="AK372" s="388"/>
      <c r="AL372" s="388"/>
      <c r="AM372" s="388"/>
      <c r="AN372" s="392"/>
      <c r="AO372" s="799"/>
      <c r="AP372" s="796"/>
      <c r="AQ372" s="547"/>
      <c r="AR372" s="568"/>
      <c r="AS372" s="386"/>
      <c r="AT372" s="386"/>
      <c r="AU372" s="386"/>
      <c r="AV372" s="386"/>
      <c r="AW372" s="386"/>
      <c r="AX372" s="386"/>
      <c r="AY372" s="386"/>
      <c r="AZ372" s="392"/>
      <c r="BA372" s="392"/>
      <c r="BB372" s="386"/>
      <c r="BC372" s="386"/>
      <c r="BD372" s="386"/>
      <c r="BE372" s="386"/>
      <c r="BF372" s="546"/>
      <c r="BG372" s="578"/>
    </row>
    <row r="373" spans="4:62" ht="100" customHeight="1" x14ac:dyDescent="1">
      <c r="D373" s="794"/>
      <c r="E373" s="514"/>
      <c r="F373" s="1551"/>
      <c r="G373" s="1545"/>
      <c r="H373" s="1545"/>
      <c r="I373" s="1545"/>
      <c r="J373" s="1545"/>
      <c r="K373" s="1545"/>
      <c r="L373" s="1545"/>
      <c r="M373" s="1545"/>
      <c r="N373" s="1560"/>
      <c r="O373" s="1560"/>
      <c r="P373" s="1545"/>
      <c r="Q373" s="1545"/>
      <c r="R373" s="1545"/>
      <c r="S373" s="1545"/>
      <c r="T373" s="1577"/>
      <c r="U373" s="1017"/>
      <c r="V373" s="801"/>
      <c r="W373" s="801"/>
      <c r="X373" s="801"/>
      <c r="Y373" s="801"/>
      <c r="Z373" s="801"/>
      <c r="AA373" s="801"/>
      <c r="AB373" s="801"/>
      <c r="AC373" s="801"/>
      <c r="AD373" s="801"/>
      <c r="AE373" s="801"/>
      <c r="AF373" s="801"/>
      <c r="AG373" s="801"/>
      <c r="AH373" s="1567"/>
      <c r="AI373" s="802"/>
      <c r="AJ373" s="1569"/>
      <c r="AK373" s="1569"/>
      <c r="AL373" s="1569"/>
      <c r="AM373" s="1569"/>
      <c r="AN373" s="1560"/>
      <c r="AO373" s="803"/>
      <c r="AP373" s="804"/>
      <c r="AQ373" s="805"/>
      <c r="AR373" s="1551"/>
      <c r="AS373" s="1545"/>
      <c r="AT373" s="1545"/>
      <c r="AU373" s="1545"/>
      <c r="AV373" s="1545"/>
      <c r="AW373" s="1545"/>
      <c r="AX373" s="1545"/>
      <c r="AY373" s="1545"/>
      <c r="AZ373" s="1560"/>
      <c r="BA373" s="1560"/>
      <c r="BB373" s="1545"/>
      <c r="BC373" s="1545"/>
      <c r="BD373" s="1545"/>
      <c r="BE373" s="1545"/>
      <c r="BF373" s="546"/>
      <c r="BG373" s="578"/>
    </row>
    <row r="374" spans="4:62" ht="100" customHeight="1" x14ac:dyDescent="1">
      <c r="D374" s="794"/>
      <c r="E374" s="514"/>
      <c r="F374" s="1551"/>
      <c r="G374" s="1545"/>
      <c r="H374" s="727" t="s">
        <v>179</v>
      </c>
      <c r="I374" s="727"/>
      <c r="J374" s="1549"/>
      <c r="K374" s="1549"/>
      <c r="L374" s="1545"/>
      <c r="M374" s="1545"/>
      <c r="N374" s="728" t="s">
        <v>175</v>
      </c>
      <c r="O374" s="728"/>
      <c r="P374" s="1545"/>
      <c r="Q374" s="1545"/>
      <c r="R374" s="1545"/>
      <c r="S374" s="1545"/>
      <c r="T374" s="1577"/>
      <c r="U374" s="1017"/>
      <c r="V374" s="801"/>
      <c r="W374" s="801"/>
      <c r="X374" s="801" t="s">
        <v>138</v>
      </c>
      <c r="Y374" s="806"/>
      <c r="Z374" s="806"/>
      <c r="AA374" s="806"/>
      <c r="AB374" s="806"/>
      <c r="AC374" s="806"/>
      <c r="AD374" s="806"/>
      <c r="AE374" s="806"/>
      <c r="AF374" s="806"/>
      <c r="AG374" s="801"/>
      <c r="AH374" s="1567"/>
      <c r="AI374" s="802"/>
      <c r="AJ374" s="2073" t="s">
        <v>124</v>
      </c>
      <c r="AK374" s="2056"/>
      <c r="AL374" s="2056"/>
      <c r="AM374" s="2056"/>
      <c r="AN374" s="2056"/>
      <c r="AO374" s="803"/>
      <c r="AP374" s="804" t="s">
        <v>178</v>
      </c>
      <c r="AQ374" s="805"/>
      <c r="AR374" s="1551"/>
      <c r="AS374" s="1545"/>
      <c r="AT374" s="1545"/>
      <c r="AU374" s="1545"/>
      <c r="AV374" s="1545"/>
      <c r="AW374" s="1545"/>
      <c r="AX374" s="1545"/>
      <c r="AY374" s="1545"/>
      <c r="AZ374" s="728" t="s">
        <v>175</v>
      </c>
      <c r="BA374" s="728"/>
      <c r="BB374" s="1549"/>
      <c r="BC374" s="1549"/>
      <c r="BD374" s="1545"/>
      <c r="BE374" s="1545"/>
      <c r="BF374" s="1577"/>
      <c r="BG374" s="578"/>
    </row>
    <row r="375" spans="4:62" ht="100" customHeight="1" x14ac:dyDescent="1">
      <c r="D375" s="794"/>
      <c r="E375" s="514"/>
      <c r="F375" s="568"/>
      <c r="G375" s="386"/>
      <c r="H375" s="1549">
        <v>3500</v>
      </c>
      <c r="I375" s="1549"/>
      <c r="J375" s="386"/>
      <c r="K375" s="386"/>
      <c r="L375" s="386"/>
      <c r="M375" s="386"/>
      <c r="N375" s="728" t="s">
        <v>127</v>
      </c>
      <c r="O375" s="728"/>
      <c r="P375" s="386"/>
      <c r="Q375" s="386"/>
      <c r="R375" s="386"/>
      <c r="S375" s="386"/>
      <c r="T375" s="546"/>
      <c r="U375" s="1014"/>
      <c r="V375" s="797"/>
      <c r="W375" s="797"/>
      <c r="X375" s="1393">
        <v>2100</v>
      </c>
      <c r="Y375" s="808"/>
      <c r="Z375" s="809"/>
      <c r="AA375" s="809"/>
      <c r="AB375" s="809"/>
      <c r="AC375" s="809"/>
      <c r="AD375" s="809"/>
      <c r="AE375" s="809"/>
      <c r="AF375" s="809"/>
      <c r="AG375" s="810"/>
      <c r="AH375" s="720"/>
      <c r="AI375" s="798"/>
      <c r="AJ375" s="388"/>
      <c r="AK375" s="388"/>
      <c r="AL375" s="392"/>
      <c r="AM375" s="392"/>
      <c r="AN375" s="392"/>
      <c r="AO375" s="799"/>
      <c r="AP375" s="804" t="s">
        <v>127</v>
      </c>
      <c r="AQ375" s="805"/>
      <c r="AR375" s="568"/>
      <c r="AS375" s="386"/>
      <c r="AT375" s="386"/>
      <c r="AU375" s="386"/>
      <c r="AV375" s="386"/>
      <c r="AW375" s="386"/>
      <c r="AX375" s="386"/>
      <c r="AY375" s="386"/>
      <c r="AZ375" s="728" t="s">
        <v>127</v>
      </c>
      <c r="BA375" s="728"/>
      <c r="BB375" s="1549"/>
      <c r="BC375" s="1549"/>
      <c r="BD375" s="386"/>
      <c r="BE375" s="386"/>
      <c r="BF375" s="546"/>
      <c r="BG375" s="578"/>
    </row>
    <row r="376" spans="4:62" ht="100" customHeight="1" x14ac:dyDescent="1">
      <c r="D376" s="794"/>
      <c r="E376" s="514"/>
      <c r="F376" s="568"/>
      <c r="G376" s="386"/>
      <c r="H376" s="386"/>
      <c r="I376" s="386"/>
      <c r="J376" s="386"/>
      <c r="K376" s="386"/>
      <c r="L376" s="386"/>
      <c r="M376" s="386"/>
      <c r="N376" s="392"/>
      <c r="O376" s="392"/>
      <c r="P376" s="386"/>
      <c r="Q376" s="386"/>
      <c r="R376" s="386"/>
      <c r="S376" s="386"/>
      <c r="T376" s="546"/>
      <c r="U376" s="1014"/>
      <c r="V376" s="797"/>
      <c r="W376" s="797"/>
      <c r="X376" s="797"/>
      <c r="Y376" s="797"/>
      <c r="Z376" s="797"/>
      <c r="AA376" s="797"/>
      <c r="AB376" s="797"/>
      <c r="AC376" s="797"/>
      <c r="AD376" s="797"/>
      <c r="AE376" s="797"/>
      <c r="AF376" s="797"/>
      <c r="AG376" s="797"/>
      <c r="AH376" s="720"/>
      <c r="AI376" s="798"/>
      <c r="AJ376" s="388"/>
      <c r="AK376" s="388"/>
      <c r="AL376" s="388"/>
      <c r="AM376" s="388"/>
      <c r="AN376" s="392"/>
      <c r="AO376" s="799"/>
      <c r="AP376" s="796"/>
      <c r="AQ376" s="547"/>
      <c r="AR376" s="568"/>
      <c r="AS376" s="386"/>
      <c r="AT376" s="386"/>
      <c r="AU376" s="386"/>
      <c r="AV376" s="386"/>
      <c r="AW376" s="386"/>
      <c r="AX376" s="386"/>
      <c r="AY376" s="386"/>
      <c r="AZ376" s="392"/>
      <c r="BA376" s="392"/>
      <c r="BB376" s="386"/>
      <c r="BC376" s="386"/>
      <c r="BD376" s="386"/>
      <c r="BE376" s="386"/>
      <c r="BF376" s="546"/>
      <c r="BG376" s="578"/>
    </row>
    <row r="377" spans="4:62" ht="100" customHeight="1" thickBot="1" x14ac:dyDescent="1.05">
      <c r="D377" s="794"/>
      <c r="E377" s="514"/>
      <c r="F377" s="569"/>
      <c r="G377" s="570"/>
      <c r="H377" s="570"/>
      <c r="I377" s="570"/>
      <c r="J377" s="570"/>
      <c r="K377" s="570"/>
      <c r="L377" s="570"/>
      <c r="M377" s="570"/>
      <c r="N377" s="811"/>
      <c r="O377" s="811"/>
      <c r="P377" s="570"/>
      <c r="Q377" s="570"/>
      <c r="R377" s="570"/>
      <c r="S377" s="570"/>
      <c r="T377" s="626"/>
      <c r="U377" s="1014"/>
      <c r="V377" s="720"/>
      <c r="W377" s="720"/>
      <c r="X377" s="720"/>
      <c r="Y377" s="720"/>
      <c r="Z377" s="720"/>
      <c r="AA377" s="720"/>
      <c r="AB377" s="720"/>
      <c r="AC377" s="720"/>
      <c r="AD377" s="720"/>
      <c r="AE377" s="720"/>
      <c r="AF377" s="720"/>
      <c r="AG377" s="720"/>
      <c r="AH377" s="720"/>
      <c r="AI377" s="798"/>
      <c r="AJ377" s="388"/>
      <c r="AK377" s="388"/>
      <c r="AL377" s="388"/>
      <c r="AM377" s="388"/>
      <c r="AN377" s="392"/>
      <c r="AO377" s="799"/>
      <c r="AP377" s="392"/>
      <c r="AQ377" s="578"/>
      <c r="AR377" s="568"/>
      <c r="AS377" s="386"/>
      <c r="AT377" s="386"/>
      <c r="AU377" s="386"/>
      <c r="AV377" s="386"/>
      <c r="AW377" s="386"/>
      <c r="AX377" s="386"/>
      <c r="AY377" s="386"/>
      <c r="AZ377" s="392"/>
      <c r="BA377" s="392"/>
      <c r="BB377" s="386"/>
      <c r="BC377" s="386"/>
      <c r="BD377" s="386"/>
      <c r="BE377" s="386"/>
      <c r="BF377" s="546"/>
      <c r="BG377" s="578"/>
    </row>
    <row r="378" spans="4:62" ht="10" customHeight="1" thickTop="1" thickBot="1" x14ac:dyDescent="1.05">
      <c r="D378" s="794"/>
      <c r="E378" s="519"/>
      <c r="F378" s="519"/>
      <c r="G378" s="519"/>
      <c r="H378" s="519"/>
      <c r="I378" s="519"/>
      <c r="J378" s="519"/>
      <c r="K378" s="519"/>
      <c r="L378" s="519"/>
      <c r="M378" s="519"/>
      <c r="N378" s="519"/>
      <c r="O378" s="519"/>
      <c r="P378" s="519"/>
      <c r="Q378" s="519"/>
      <c r="R378" s="519"/>
      <c r="S378" s="519"/>
      <c r="T378" s="519"/>
      <c r="U378" s="1005"/>
      <c r="V378" s="753"/>
      <c r="W378" s="754"/>
      <c r="X378" s="754"/>
      <c r="Y378" s="754"/>
      <c r="Z378" s="754"/>
      <c r="AA378" s="754"/>
      <c r="AB378" s="754"/>
      <c r="AC378" s="754"/>
      <c r="AD378" s="754"/>
      <c r="AE378" s="754"/>
      <c r="AF378" s="754"/>
      <c r="AG378" s="754"/>
      <c r="AH378" s="755"/>
      <c r="AI378" s="903"/>
      <c r="AJ378" s="813"/>
      <c r="AK378" s="814"/>
      <c r="AL378" s="814"/>
      <c r="AM378" s="814"/>
      <c r="AN378" s="814"/>
      <c r="AO378" s="814"/>
      <c r="AP378" s="815"/>
      <c r="AQ378" s="623"/>
      <c r="AR378" s="568"/>
      <c r="AS378" s="386"/>
      <c r="AT378" s="386"/>
      <c r="AU378" s="386"/>
      <c r="AV378" s="386"/>
      <c r="AW378" s="386"/>
      <c r="AX378" s="386"/>
      <c r="AY378" s="386"/>
      <c r="AZ378" s="392"/>
      <c r="BA378" s="392"/>
      <c r="BB378" s="386"/>
      <c r="BC378" s="386"/>
      <c r="BD378" s="386"/>
      <c r="BE378" s="386"/>
      <c r="BF378" s="546"/>
      <c r="BG378" s="578"/>
    </row>
    <row r="379" spans="4:62" ht="10" customHeight="1" thickTop="1" thickBot="1" x14ac:dyDescent="1.05">
      <c r="D379" s="408"/>
      <c r="E379" s="512"/>
      <c r="F379" s="547"/>
      <c r="G379" s="547"/>
      <c r="H379" s="547"/>
      <c r="I379" s="547"/>
      <c r="J379" s="547"/>
      <c r="K379" s="547"/>
      <c r="L379" s="547"/>
      <c r="M379" s="547"/>
      <c r="N379" s="547"/>
      <c r="O379" s="547"/>
      <c r="P379" s="547"/>
      <c r="Q379" s="547"/>
      <c r="R379" s="547"/>
      <c r="S379" s="547"/>
      <c r="T379" s="547"/>
      <c r="U379" s="1005"/>
      <c r="V379" s="753"/>
      <c r="W379" s="754"/>
      <c r="X379" s="754"/>
      <c r="Y379" s="754"/>
      <c r="Z379" s="754"/>
      <c r="AA379" s="754"/>
      <c r="AB379" s="754"/>
      <c r="AC379" s="754"/>
      <c r="AD379" s="754"/>
      <c r="AE379" s="754"/>
      <c r="AF379" s="754"/>
      <c r="AG379" s="754"/>
      <c r="AH379" s="754"/>
      <c r="AI379" s="748"/>
      <c r="AJ379" s="1394"/>
      <c r="AK379" s="1046"/>
      <c r="AL379" s="1046"/>
      <c r="AM379" s="1046"/>
      <c r="AN379" s="1046"/>
      <c r="AO379" s="1046"/>
      <c r="AP379" s="1395"/>
      <c r="AQ379" s="547"/>
      <c r="AR379" s="568"/>
      <c r="AS379" s="386"/>
      <c r="AT379" s="386"/>
      <c r="AU379" s="386"/>
      <c r="AV379" s="386"/>
      <c r="AW379" s="386"/>
      <c r="AX379" s="386"/>
      <c r="AY379" s="386"/>
      <c r="AZ379" s="392"/>
      <c r="BA379" s="392"/>
      <c r="BB379" s="386"/>
      <c r="BC379" s="386"/>
      <c r="BD379" s="386"/>
      <c r="BE379" s="386"/>
      <c r="BF379" s="546"/>
      <c r="BG379" s="578"/>
    </row>
    <row r="380" spans="4:62" ht="100" customHeight="1" thickTop="1" x14ac:dyDescent="1">
      <c r="D380" s="408"/>
      <c r="E380" s="1396"/>
      <c r="F380" s="2057" t="s">
        <v>168</v>
      </c>
      <c r="G380" s="2058"/>
      <c r="H380" s="2058"/>
      <c r="I380" s="2058"/>
      <c r="J380" s="2058"/>
      <c r="K380" s="2058"/>
      <c r="L380" s="2058"/>
      <c r="M380" s="2058"/>
      <c r="N380" s="2058"/>
      <c r="O380" s="2058"/>
      <c r="P380" s="2058"/>
      <c r="Q380" s="2058"/>
      <c r="R380" s="2058"/>
      <c r="S380" s="2058"/>
      <c r="T380" s="2059"/>
      <c r="U380" s="817"/>
      <c r="V380" s="2063" t="s">
        <v>171</v>
      </c>
      <c r="W380" s="2064"/>
      <c r="X380" s="2064"/>
      <c r="Y380" s="2064"/>
      <c r="Z380" s="2064"/>
      <c r="AA380" s="2064"/>
      <c r="AB380" s="2064"/>
      <c r="AC380" s="2064"/>
      <c r="AD380" s="2064"/>
      <c r="AE380" s="2064"/>
      <c r="AF380" s="2064"/>
      <c r="AG380" s="2064"/>
      <c r="AH380" s="2065"/>
      <c r="AI380" s="818"/>
      <c r="AJ380" s="2085" t="s">
        <v>186</v>
      </c>
      <c r="AK380" s="2085"/>
      <c r="AL380" s="2085"/>
      <c r="AM380" s="2085"/>
      <c r="AN380" s="2085"/>
      <c r="AO380" s="2085"/>
      <c r="AP380" s="2208"/>
      <c r="AQ380" s="819"/>
      <c r="AR380" s="2068" t="s">
        <v>133</v>
      </c>
      <c r="AS380" s="2054"/>
      <c r="AT380" s="2054"/>
      <c r="AU380" s="2054"/>
      <c r="AV380" s="2054"/>
      <c r="AW380" s="2054"/>
      <c r="AX380" s="2054"/>
      <c r="AY380" s="2054"/>
      <c r="AZ380" s="2054"/>
      <c r="BA380" s="2054"/>
      <c r="BB380" s="2054"/>
      <c r="BC380" s="2054"/>
      <c r="BD380" s="2054"/>
      <c r="BE380" s="2054"/>
      <c r="BF380" s="2069"/>
      <c r="BG380" s="560"/>
    </row>
    <row r="381" spans="4:62" ht="100" customHeight="1" thickBot="1" x14ac:dyDescent="1.05">
      <c r="D381" s="408"/>
      <c r="E381" s="1397"/>
      <c r="F381" s="2060"/>
      <c r="G381" s="2061"/>
      <c r="H381" s="2061"/>
      <c r="I381" s="2061"/>
      <c r="J381" s="2061"/>
      <c r="K381" s="2061"/>
      <c r="L381" s="2061"/>
      <c r="M381" s="2061"/>
      <c r="N381" s="2061"/>
      <c r="O381" s="2061"/>
      <c r="P381" s="2061"/>
      <c r="Q381" s="2061"/>
      <c r="R381" s="2061"/>
      <c r="S381" s="2061"/>
      <c r="T381" s="2062"/>
      <c r="U381" s="1538"/>
      <c r="V381" s="2124"/>
      <c r="W381" s="2086"/>
      <c r="X381" s="2086"/>
      <c r="Y381" s="2086"/>
      <c r="Z381" s="2086"/>
      <c r="AA381" s="2086"/>
      <c r="AB381" s="2086"/>
      <c r="AC381" s="2086"/>
      <c r="AD381" s="2086"/>
      <c r="AE381" s="2086"/>
      <c r="AF381" s="2086"/>
      <c r="AG381" s="2086"/>
      <c r="AH381" s="2091"/>
      <c r="AI381" s="1561"/>
      <c r="AJ381" s="2205"/>
      <c r="AK381" s="2205"/>
      <c r="AL381" s="2205"/>
      <c r="AM381" s="2205"/>
      <c r="AN381" s="2205"/>
      <c r="AO381" s="2205"/>
      <c r="AP381" s="2209"/>
      <c r="AQ381" s="822"/>
      <c r="AR381" s="2068"/>
      <c r="AS381" s="2054"/>
      <c r="AT381" s="2054"/>
      <c r="AU381" s="2054"/>
      <c r="AV381" s="2054"/>
      <c r="AW381" s="2054"/>
      <c r="AX381" s="2054"/>
      <c r="AY381" s="2054"/>
      <c r="AZ381" s="2054"/>
      <c r="BA381" s="2054"/>
      <c r="BB381" s="2054"/>
      <c r="BC381" s="2054"/>
      <c r="BD381" s="2054"/>
      <c r="BE381" s="2054"/>
      <c r="BF381" s="2069"/>
      <c r="BG381" s="560"/>
      <c r="BH381" s="961"/>
      <c r="BI381" s="961"/>
      <c r="BJ381" s="961"/>
    </row>
    <row r="382" spans="4:62" ht="10" customHeight="1" thickTop="1" thickBot="1" x14ac:dyDescent="1.05">
      <c r="E382" s="577"/>
      <c r="F382" s="823"/>
      <c r="G382" s="824"/>
      <c r="H382" s="824"/>
      <c r="I382" s="824"/>
      <c r="J382" s="824"/>
      <c r="K382" s="824"/>
      <c r="L382" s="824"/>
      <c r="M382" s="824"/>
      <c r="N382" s="824"/>
      <c r="O382" s="824"/>
      <c r="P382" s="824"/>
      <c r="Q382" s="824"/>
      <c r="R382" s="824"/>
      <c r="S382" s="824"/>
      <c r="T382" s="824"/>
      <c r="U382" s="1398"/>
      <c r="V382" s="753"/>
      <c r="W382" s="754"/>
      <c r="X382" s="754"/>
      <c r="Y382" s="754"/>
      <c r="Z382" s="754"/>
      <c r="AA382" s="754"/>
      <c r="AB382" s="754"/>
      <c r="AC382" s="754"/>
      <c r="AD382" s="754"/>
      <c r="AE382" s="754"/>
      <c r="AF382" s="754"/>
      <c r="AG382" s="754"/>
      <c r="AH382" s="755"/>
      <c r="AI382" s="903"/>
      <c r="AJ382" s="1376"/>
      <c r="AK382" s="1376"/>
      <c r="AL382" s="1376"/>
      <c r="AM382" s="1376"/>
      <c r="AN382" s="1376"/>
      <c r="AO382" s="1376"/>
      <c r="AP382" s="1376"/>
      <c r="AQ382" s="828"/>
      <c r="AR382" s="1558"/>
      <c r="AS382" s="1558"/>
      <c r="AT382" s="1558"/>
      <c r="AU382" s="1558"/>
      <c r="AV382" s="1558"/>
      <c r="AW382" s="1558"/>
      <c r="AX382" s="1558"/>
      <c r="AY382" s="1558"/>
      <c r="AZ382" s="1558"/>
      <c r="BA382" s="1558"/>
      <c r="BB382" s="1558"/>
      <c r="BC382" s="1558"/>
      <c r="BD382" s="1558"/>
      <c r="BE382" s="1558"/>
      <c r="BF382" s="1558"/>
      <c r="BG382" s="578"/>
      <c r="BH382" s="961"/>
      <c r="BI382" s="961"/>
      <c r="BJ382" s="961"/>
    </row>
    <row r="383" spans="4:62" ht="10" customHeight="1" thickTop="1" x14ac:dyDescent="1">
      <c r="E383" s="578"/>
      <c r="F383" s="564"/>
      <c r="G383" s="564"/>
      <c r="H383" s="564"/>
      <c r="I383" s="564"/>
      <c r="J383" s="564"/>
      <c r="K383" s="564"/>
      <c r="L383" s="564"/>
      <c r="M383" s="564"/>
      <c r="N383" s="564"/>
      <c r="O383" s="564"/>
      <c r="P383" s="564"/>
      <c r="Q383" s="564"/>
      <c r="R383" s="564"/>
      <c r="S383" s="564"/>
      <c r="T383" s="531"/>
      <c r="U383" s="1399"/>
      <c r="V383" s="797"/>
      <c r="W383" s="797"/>
      <c r="X383" s="797"/>
      <c r="Y383" s="797"/>
      <c r="Z383" s="797"/>
      <c r="AA383" s="797"/>
      <c r="AB383" s="797"/>
      <c r="AC383" s="797"/>
      <c r="AD383" s="797"/>
      <c r="AE383" s="797"/>
      <c r="AF383" s="797"/>
      <c r="AG383" s="797"/>
      <c r="AH383" s="720"/>
      <c r="AI383" s="798"/>
      <c r="AJ383" s="1377"/>
      <c r="AK383" s="1378"/>
      <c r="AL383" s="1378"/>
      <c r="AM383" s="1378"/>
      <c r="AN383" s="1378"/>
      <c r="AO383" s="1378"/>
      <c r="AP383" s="1379"/>
      <c r="AQ383" s="577"/>
      <c r="AR383" s="568"/>
      <c r="AS383" s="386"/>
      <c r="AT383" s="386"/>
      <c r="AU383" s="386"/>
      <c r="AV383" s="386"/>
      <c r="AW383" s="386"/>
      <c r="AX383" s="386"/>
      <c r="AY383" s="386"/>
      <c r="AZ383" s="386"/>
      <c r="BA383" s="386"/>
      <c r="BB383" s="386"/>
      <c r="BC383" s="386"/>
      <c r="BD383" s="386"/>
      <c r="BE383" s="386"/>
      <c r="BF383" s="546"/>
      <c r="BG383" s="578"/>
      <c r="BH383" s="696"/>
      <c r="BI383" s="696"/>
      <c r="BJ383" s="696"/>
    </row>
    <row r="384" spans="4:62" ht="100" customHeight="1" x14ac:dyDescent="1">
      <c r="E384" s="578"/>
      <c r="F384" s="386"/>
      <c r="G384" s="386"/>
      <c r="H384" s="386"/>
      <c r="I384" s="386"/>
      <c r="J384" s="386"/>
      <c r="K384" s="386"/>
      <c r="L384" s="386"/>
      <c r="M384" s="386"/>
      <c r="N384" s="598"/>
      <c r="O384" s="598"/>
      <c r="P384" s="598"/>
      <c r="Q384" s="598"/>
      <c r="R384" s="386"/>
      <c r="S384" s="386"/>
      <c r="T384" s="546"/>
      <c r="U384" s="1014"/>
      <c r="V384" s="797"/>
      <c r="W384" s="797"/>
      <c r="X384" s="797"/>
      <c r="Y384" s="797"/>
      <c r="Z384" s="797"/>
      <c r="AA384" s="797"/>
      <c r="AB384" s="797"/>
      <c r="AC384" s="797"/>
      <c r="AD384" s="797"/>
      <c r="AE384" s="797"/>
      <c r="AF384" s="797"/>
      <c r="AG384" s="797"/>
      <c r="AH384" s="720"/>
      <c r="AI384" s="798"/>
      <c r="AJ384" s="1381"/>
      <c r="AK384" s="1382"/>
      <c r="AL384" s="1382"/>
      <c r="AM384" s="1382"/>
      <c r="AN384" s="1382"/>
      <c r="AO384" s="1382"/>
      <c r="AP384" s="1383"/>
      <c r="AQ384" s="547"/>
      <c r="AR384" s="568"/>
      <c r="AS384" s="386"/>
      <c r="AT384" s="386"/>
      <c r="AU384" s="386"/>
      <c r="AV384" s="386"/>
      <c r="AW384" s="386"/>
      <c r="AX384" s="386"/>
      <c r="AY384" s="386"/>
      <c r="AZ384" s="598"/>
      <c r="BA384" s="598"/>
      <c r="BB384" s="598"/>
      <c r="BC384" s="598"/>
      <c r="BD384" s="386"/>
      <c r="BE384" s="386"/>
      <c r="BF384" s="546"/>
      <c r="BG384" s="578"/>
    </row>
    <row r="385" spans="3:60" ht="100" customHeight="1" x14ac:dyDescent="1">
      <c r="E385" s="578"/>
      <c r="F385" s="1545"/>
      <c r="G385" s="1545"/>
      <c r="H385" s="1545"/>
      <c r="I385" s="1545"/>
      <c r="J385" s="386"/>
      <c r="K385" s="386"/>
      <c r="L385" s="386"/>
      <c r="M385" s="386"/>
      <c r="N385" s="598"/>
      <c r="O385" s="598"/>
      <c r="P385" s="598"/>
      <c r="Q385" s="598"/>
      <c r="R385" s="386"/>
      <c r="S385" s="386"/>
      <c r="T385" s="546"/>
      <c r="U385" s="1014"/>
      <c r="V385" s="801"/>
      <c r="W385" s="801"/>
      <c r="X385" s="801"/>
      <c r="Y385" s="801"/>
      <c r="Z385" s="801"/>
      <c r="AA385" s="801"/>
      <c r="AB385" s="801"/>
      <c r="AC385" s="801"/>
      <c r="AD385" s="801"/>
      <c r="AE385" s="801"/>
      <c r="AF385" s="801"/>
      <c r="AG385" s="801"/>
      <c r="AH385" s="1567"/>
      <c r="AI385" s="802"/>
      <c r="AJ385" s="1381"/>
      <c r="AK385" s="1382"/>
      <c r="AL385" s="1382"/>
      <c r="AM385" s="1382"/>
      <c r="AN385" s="1382"/>
      <c r="AO385" s="1382"/>
      <c r="AP385" s="1384"/>
      <c r="AQ385" s="547"/>
      <c r="AR385" s="1551"/>
      <c r="AS385" s="1545"/>
      <c r="AT385" s="1545"/>
      <c r="AU385" s="1545"/>
      <c r="AV385" s="386"/>
      <c r="AW385" s="386"/>
      <c r="AX385" s="579"/>
      <c r="AY385" s="579"/>
      <c r="AZ385" s="579"/>
      <c r="BA385" s="579"/>
      <c r="BB385" s="579"/>
      <c r="BC385" s="579"/>
      <c r="BD385" s="579"/>
      <c r="BE385" s="579"/>
      <c r="BF385" s="546"/>
      <c r="BG385" s="578"/>
    </row>
    <row r="386" spans="3:60" ht="100" customHeight="1" x14ac:dyDescent="1">
      <c r="E386" s="578"/>
      <c r="F386" s="1545"/>
      <c r="G386" s="1545"/>
      <c r="H386" s="727" t="s">
        <v>179</v>
      </c>
      <c r="I386" s="727"/>
      <c r="J386" s="1549"/>
      <c r="K386" s="1549"/>
      <c r="L386" s="1542"/>
      <c r="M386" s="1542"/>
      <c r="N386" s="1542"/>
      <c r="O386" s="1542"/>
      <c r="P386" s="1542"/>
      <c r="Q386" s="1542"/>
      <c r="R386" s="1542"/>
      <c r="S386" s="1542"/>
      <c r="T386" s="833"/>
      <c r="U386" s="1400"/>
      <c r="V386" s="801"/>
      <c r="W386" s="801"/>
      <c r="X386" s="801" t="s">
        <v>138</v>
      </c>
      <c r="Y386" s="806"/>
      <c r="Z386" s="806"/>
      <c r="AA386" s="806"/>
      <c r="AB386" s="806"/>
      <c r="AC386" s="806"/>
      <c r="AD386" s="806"/>
      <c r="AE386" s="806"/>
      <c r="AF386" s="806"/>
      <c r="AG386" s="801"/>
      <c r="AH386" s="1567"/>
      <c r="AI386" s="802"/>
      <c r="AJ386" s="1381"/>
      <c r="AK386" s="1401" t="s">
        <v>210</v>
      </c>
      <c r="AL386" s="1385"/>
      <c r="AM386" s="1385"/>
      <c r="AN386" s="1385"/>
      <c r="AO386" s="1385"/>
      <c r="AP386" s="1384"/>
      <c r="AQ386" s="840"/>
      <c r="AR386" s="1551"/>
      <c r="AS386" s="1545"/>
      <c r="AT386" s="727" t="s">
        <v>196</v>
      </c>
      <c r="AU386" s="1545"/>
      <c r="AV386" s="1542"/>
      <c r="AW386" s="1542"/>
      <c r="AX386" s="1542"/>
      <c r="AY386" s="1542"/>
      <c r="AZ386" s="598"/>
      <c r="BA386" s="598"/>
      <c r="BB386" s="1549"/>
      <c r="BC386" s="1549"/>
      <c r="BD386" s="1542"/>
      <c r="BE386" s="1542"/>
      <c r="BF386" s="833"/>
      <c r="BG386" s="578"/>
    </row>
    <row r="387" spans="3:60" ht="100" customHeight="1" x14ac:dyDescent="1">
      <c r="E387" s="578"/>
      <c r="F387" s="386"/>
      <c r="G387" s="386"/>
      <c r="H387" s="1549">
        <v>3500</v>
      </c>
      <c r="I387" s="1549"/>
      <c r="J387" s="780"/>
      <c r="K387" s="780"/>
      <c r="L387" s="780"/>
      <c r="M387" s="780"/>
      <c r="N387" s="780"/>
      <c r="O387" s="780"/>
      <c r="P387" s="1542"/>
      <c r="Q387" s="1542"/>
      <c r="R387" s="780"/>
      <c r="S387" s="780"/>
      <c r="T387" s="841"/>
      <c r="U387" s="1402"/>
      <c r="V387" s="797"/>
      <c r="W387" s="797"/>
      <c r="X387" s="1393">
        <v>2100</v>
      </c>
      <c r="Y387" s="808"/>
      <c r="Z387" s="809"/>
      <c r="AA387" s="809"/>
      <c r="AB387" s="809"/>
      <c r="AC387" s="809"/>
      <c r="AD387" s="809"/>
      <c r="AE387" s="809"/>
      <c r="AF387" s="809"/>
      <c r="AG387" s="810"/>
      <c r="AH387" s="720"/>
      <c r="AI387" s="798"/>
      <c r="AJ387" s="1593"/>
      <c r="AK387" s="1594"/>
      <c r="AL387" s="1594">
        <v>4700</v>
      </c>
      <c r="AM387" s="1385"/>
      <c r="AN387" s="1385"/>
      <c r="AO387" s="1385"/>
      <c r="AP387" s="1388"/>
      <c r="AQ387" s="547"/>
      <c r="AR387" s="568"/>
      <c r="AS387" s="386"/>
      <c r="AT387" s="741">
        <f>H375+H387</f>
        <v>7000</v>
      </c>
      <c r="AU387" s="386"/>
      <c r="AV387" s="780"/>
      <c r="AW387" s="780"/>
      <c r="AX387" s="780"/>
      <c r="AY387" s="780"/>
      <c r="AZ387" s="780"/>
      <c r="BA387" s="780"/>
      <c r="BB387" s="1549"/>
      <c r="BC387" s="1549"/>
      <c r="BD387" s="780"/>
      <c r="BE387" s="780"/>
      <c r="BF387" s="841"/>
      <c r="BG387" s="578"/>
    </row>
    <row r="388" spans="3:60" ht="100" customHeight="1" x14ac:dyDescent="1">
      <c r="E388" s="578"/>
      <c r="F388" s="386"/>
      <c r="G388" s="386"/>
      <c r="H388" s="386"/>
      <c r="I388" s="386"/>
      <c r="J388" s="386"/>
      <c r="K388" s="386"/>
      <c r="L388" s="386"/>
      <c r="M388" s="386"/>
      <c r="N388" s="598"/>
      <c r="O388" s="598"/>
      <c r="P388" s="598"/>
      <c r="Q388" s="598"/>
      <c r="R388" s="386"/>
      <c r="S388" s="386"/>
      <c r="T388" s="546"/>
      <c r="U388" s="1014"/>
      <c r="V388" s="797"/>
      <c r="W388" s="797"/>
      <c r="X388" s="797"/>
      <c r="Y388" s="797"/>
      <c r="Z388" s="797"/>
      <c r="AA388" s="797"/>
      <c r="AB388" s="797"/>
      <c r="AC388" s="797"/>
      <c r="AD388" s="797"/>
      <c r="AE388" s="797"/>
      <c r="AF388" s="797"/>
      <c r="AG388" s="797"/>
      <c r="AH388" s="720"/>
      <c r="AI388" s="798"/>
      <c r="AJ388" s="1381"/>
      <c r="AK388" s="1382"/>
      <c r="AL388" s="1382"/>
      <c r="AM388" s="1382"/>
      <c r="AN388" s="1382"/>
      <c r="AO388" s="1382"/>
      <c r="AP388" s="1383"/>
      <c r="AQ388" s="547"/>
      <c r="AR388" s="568"/>
      <c r="AS388" s="386"/>
      <c r="AT388" s="386"/>
      <c r="AU388" s="386"/>
      <c r="AV388" s="386"/>
      <c r="AW388" s="386"/>
      <c r="AX388" s="386"/>
      <c r="AY388" s="386"/>
      <c r="AZ388" s="598"/>
      <c r="BA388" s="598"/>
      <c r="BB388" s="598"/>
      <c r="BC388" s="598"/>
      <c r="BD388" s="386"/>
      <c r="BE388" s="386"/>
      <c r="BF388" s="546"/>
      <c r="BG388" s="578"/>
    </row>
    <row r="389" spans="3:60" ht="100" customHeight="1" thickBot="1" x14ac:dyDescent="1.05">
      <c r="E389" s="578"/>
      <c r="F389" s="570"/>
      <c r="G389" s="570"/>
      <c r="H389" s="570"/>
      <c r="I389" s="570"/>
      <c r="J389" s="570"/>
      <c r="K389" s="570"/>
      <c r="L389" s="570"/>
      <c r="M389" s="570"/>
      <c r="N389" s="570"/>
      <c r="O389" s="570"/>
      <c r="P389" s="570"/>
      <c r="Q389" s="570"/>
      <c r="R389" s="570"/>
      <c r="S389" s="570"/>
      <c r="T389" s="626"/>
      <c r="U389" s="1005"/>
      <c r="V389" s="746"/>
      <c r="W389" s="746"/>
      <c r="X389" s="746"/>
      <c r="Y389" s="746"/>
      <c r="Z389" s="746"/>
      <c r="AA389" s="746"/>
      <c r="AB389" s="746"/>
      <c r="AC389" s="746"/>
      <c r="AD389" s="746"/>
      <c r="AE389" s="746"/>
      <c r="AF389" s="746"/>
      <c r="AG389" s="746"/>
      <c r="AH389" s="746"/>
      <c r="AI389" s="798"/>
      <c r="AJ389" s="1389"/>
      <c r="AK389" s="1390"/>
      <c r="AL389" s="1390"/>
      <c r="AM389" s="1390"/>
      <c r="AN389" s="1390"/>
      <c r="AO389" s="1390"/>
      <c r="AP389" s="1391"/>
      <c r="AQ389" s="547"/>
      <c r="AR389" s="569"/>
      <c r="AS389" s="570"/>
      <c r="AT389" s="570"/>
      <c r="AU389" s="570"/>
      <c r="AV389" s="570"/>
      <c r="AW389" s="570"/>
      <c r="AX389" s="570"/>
      <c r="AY389" s="570"/>
      <c r="AZ389" s="570"/>
      <c r="BA389" s="570"/>
      <c r="BB389" s="570"/>
      <c r="BC389" s="570"/>
      <c r="BD389" s="570"/>
      <c r="BE389" s="570"/>
      <c r="BF389" s="626"/>
      <c r="BG389" s="578"/>
    </row>
    <row r="390" spans="3:60" ht="10" customHeight="1" thickTop="1" thickBot="1" x14ac:dyDescent="1.05">
      <c r="E390" s="623"/>
      <c r="F390" s="561"/>
      <c r="G390" s="561"/>
      <c r="H390" s="561"/>
      <c r="I390" s="561"/>
      <c r="J390" s="561"/>
      <c r="K390" s="561"/>
      <c r="L390" s="561"/>
      <c r="M390" s="561"/>
      <c r="N390" s="561"/>
      <c r="O390" s="561"/>
      <c r="P390" s="561"/>
      <c r="Q390" s="561"/>
      <c r="R390" s="561"/>
      <c r="S390" s="561"/>
      <c r="T390" s="561"/>
      <c r="U390" s="1403"/>
      <c r="V390" s="754"/>
      <c r="W390" s="754"/>
      <c r="X390" s="754"/>
      <c r="Y390" s="754"/>
      <c r="Z390" s="754"/>
      <c r="AA390" s="754"/>
      <c r="AB390" s="754"/>
      <c r="AC390" s="754"/>
      <c r="AD390" s="754"/>
      <c r="AE390" s="754"/>
      <c r="AF390" s="754"/>
      <c r="AG390" s="754"/>
      <c r="AH390" s="755"/>
      <c r="AI390" s="812"/>
      <c r="AJ390" s="1392"/>
      <c r="AK390" s="874"/>
      <c r="AL390" s="753"/>
      <c r="AM390" s="874"/>
      <c r="AN390" s="874"/>
      <c r="AO390" s="903"/>
      <c r="AP390" s="749"/>
      <c r="AQ390" s="577"/>
      <c r="AR390" s="575"/>
      <c r="AS390" s="561"/>
      <c r="AT390" s="561"/>
      <c r="AU390" s="561"/>
      <c r="AV390" s="561"/>
      <c r="AW390" s="561"/>
      <c r="AX390" s="561"/>
      <c r="AY390" s="561"/>
      <c r="AZ390" s="561"/>
      <c r="BA390" s="561"/>
      <c r="BB390" s="561"/>
      <c r="BC390" s="561"/>
      <c r="BD390" s="561"/>
      <c r="BE390" s="561"/>
      <c r="BF390" s="576"/>
      <c r="BG390" s="623"/>
    </row>
    <row r="391" spans="3:60" ht="100" customHeight="1" thickTop="1" x14ac:dyDescent="1">
      <c r="V391" s="1404"/>
      <c r="W391" s="1404"/>
      <c r="X391" s="1404"/>
      <c r="Y391" s="1404"/>
      <c r="Z391" s="1404"/>
      <c r="AA391" s="1404"/>
      <c r="AB391" s="1404"/>
      <c r="AC391" s="1404"/>
      <c r="AD391" s="1404"/>
      <c r="AE391" s="1404"/>
      <c r="AF391" s="1404"/>
      <c r="AG391" s="1404"/>
      <c r="AH391" s="1404"/>
      <c r="AI391" s="356"/>
      <c r="AQ391" s="521"/>
      <c r="BH391" s="408"/>
    </row>
    <row r="392" spans="3:60" s="1426" customFormat="1" ht="100" customHeight="1" x14ac:dyDescent="1.2">
      <c r="C392" s="1431"/>
      <c r="F392" s="1436" t="s">
        <v>147</v>
      </c>
      <c r="G392" s="1436"/>
      <c r="N392" s="1430">
        <f>H410+AB399+AT399+AT410+AL410+AB410</f>
        <v>20100</v>
      </c>
      <c r="P392" s="1463" t="s">
        <v>33</v>
      </c>
      <c r="Q392" s="1427"/>
      <c r="R392" s="1438"/>
      <c r="S392" s="1446"/>
      <c r="T392" s="1431"/>
      <c r="U392" s="1431"/>
      <c r="AH392" s="1449"/>
      <c r="AN392" s="1422"/>
      <c r="AO392" s="1422"/>
      <c r="AP392" s="1423"/>
      <c r="AQ392" s="1423"/>
      <c r="AR392" s="1424"/>
      <c r="AS392" s="1424"/>
    </row>
    <row r="393" spans="3:60" ht="100" customHeight="1" thickBot="1" x14ac:dyDescent="1.05">
      <c r="E393" s="851"/>
      <c r="F393" s="851"/>
      <c r="G393" s="851"/>
      <c r="AH393" s="408"/>
      <c r="AI393" s="408"/>
      <c r="AJ393" s="408"/>
      <c r="AK393" s="793"/>
      <c r="AL393" s="793"/>
      <c r="AM393" s="793"/>
      <c r="AN393" s="793"/>
      <c r="AO393" s="793"/>
      <c r="AP393" s="793"/>
      <c r="AQ393" s="408"/>
    </row>
    <row r="394" spans="3:60" ht="10" customHeight="1" thickTop="1" thickBot="1" x14ac:dyDescent="1.05">
      <c r="D394" s="408"/>
      <c r="E394" s="630"/>
      <c r="F394" s="638"/>
      <c r="G394" s="639"/>
      <c r="H394" s="632"/>
      <c r="I394" s="632"/>
      <c r="J394" s="632"/>
      <c r="K394" s="632"/>
      <c r="L394" s="632"/>
      <c r="M394" s="632"/>
      <c r="N394" s="632"/>
      <c r="O394" s="632"/>
      <c r="P394" s="632"/>
      <c r="Q394" s="632"/>
      <c r="R394" s="632"/>
      <c r="S394" s="632"/>
      <c r="T394" s="632"/>
      <c r="U394" s="632"/>
      <c r="V394" s="632"/>
      <c r="W394" s="632"/>
      <c r="X394" s="632"/>
      <c r="Y394" s="852"/>
      <c r="Z394" s="1405"/>
      <c r="AA394" s="1405"/>
      <c r="AB394" s="1405"/>
      <c r="AC394" s="1405"/>
      <c r="AD394" s="1405"/>
      <c r="AE394" s="1405"/>
      <c r="AF394" s="1405"/>
      <c r="AG394" s="1405"/>
      <c r="AH394" s="1405"/>
      <c r="AI394" s="854"/>
      <c r="AJ394" s="855"/>
      <c r="AK394" s="388"/>
      <c r="AL394" s="388"/>
      <c r="AM394" s="388"/>
      <c r="AN394" s="388"/>
      <c r="AO394" s="388"/>
      <c r="AP394" s="856"/>
      <c r="AQ394" s="857"/>
      <c r="AR394" s="753"/>
      <c r="AS394" s="754"/>
      <c r="AT394" s="754"/>
      <c r="AU394" s="754"/>
      <c r="AV394" s="754"/>
      <c r="AW394" s="754"/>
      <c r="AX394" s="754"/>
      <c r="AY394" s="754"/>
      <c r="AZ394" s="754"/>
      <c r="BA394" s="754"/>
      <c r="BB394" s="754"/>
      <c r="BC394" s="754"/>
      <c r="BD394" s="754"/>
      <c r="BE394" s="754"/>
      <c r="BF394" s="755"/>
      <c r="BG394" s="705"/>
    </row>
    <row r="395" spans="3:60" ht="100" customHeight="1" thickTop="1" x14ac:dyDescent="1">
      <c r="D395" s="408"/>
      <c r="E395" s="635"/>
      <c r="F395" s="858"/>
      <c r="G395" s="667"/>
      <c r="H395" s="667"/>
      <c r="I395" s="667"/>
      <c r="J395" s="667"/>
      <c r="K395" s="667"/>
      <c r="L395" s="667"/>
      <c r="M395" s="667"/>
      <c r="N395" s="859"/>
      <c r="O395" s="859"/>
      <c r="P395" s="667"/>
      <c r="Q395" s="667"/>
      <c r="R395" s="667"/>
      <c r="S395" s="667"/>
      <c r="T395" s="667"/>
      <c r="U395" s="667"/>
      <c r="V395" s="667"/>
      <c r="W395" s="667"/>
      <c r="X395" s="669"/>
      <c r="Y395" s="1406"/>
      <c r="Z395" s="723"/>
      <c r="AA395" s="723"/>
      <c r="AB395" s="723"/>
      <c r="AC395" s="723"/>
      <c r="AD395" s="723"/>
      <c r="AE395" s="723"/>
      <c r="AF395" s="723"/>
      <c r="AG395" s="723"/>
      <c r="AH395" s="830"/>
      <c r="AI395" s="798"/>
      <c r="AJ395" s="388"/>
      <c r="AK395" s="388"/>
      <c r="AL395" s="388"/>
      <c r="AM395" s="388"/>
      <c r="AN395" s="388"/>
      <c r="AO395" s="388"/>
      <c r="AP395" s="860"/>
      <c r="AQ395" s="798"/>
      <c r="AR395" s="719"/>
      <c r="AS395" s="720"/>
      <c r="AT395" s="720"/>
      <c r="AU395" s="720"/>
      <c r="AV395" s="720"/>
      <c r="AW395" s="720"/>
      <c r="AX395" s="720"/>
      <c r="AY395" s="720"/>
      <c r="AZ395" s="392"/>
      <c r="BA395" s="392"/>
      <c r="BB395" s="720"/>
      <c r="BC395" s="720"/>
      <c r="BD395" s="720"/>
      <c r="BE395" s="720"/>
      <c r="BF395" s="721"/>
      <c r="BG395" s="703"/>
    </row>
    <row r="396" spans="3:60" ht="100" customHeight="1" x14ac:dyDescent="1">
      <c r="D396" s="408"/>
      <c r="E396" s="635"/>
      <c r="F396" s="664"/>
      <c r="G396" s="386"/>
      <c r="H396" s="386"/>
      <c r="I396" s="386"/>
      <c r="J396" s="386"/>
      <c r="K396" s="386"/>
      <c r="L396" s="386"/>
      <c r="M396" s="386"/>
      <c r="N396" s="392"/>
      <c r="O396" s="392"/>
      <c r="P396" s="386"/>
      <c r="Q396" s="386"/>
      <c r="R396" s="386"/>
      <c r="S396" s="386"/>
      <c r="T396" s="386"/>
      <c r="U396" s="386"/>
      <c r="V396" s="386"/>
      <c r="W396" s="386"/>
      <c r="X396" s="674"/>
      <c r="Y396" s="1406"/>
      <c r="Z396" s="838"/>
      <c r="AA396" s="838"/>
      <c r="AB396" s="838"/>
      <c r="AC396" s="838"/>
      <c r="AD396" s="838"/>
      <c r="AE396" s="838"/>
      <c r="AF396" s="838"/>
      <c r="AG396" s="838"/>
      <c r="AH396" s="723"/>
      <c r="AI396" s="798"/>
      <c r="AJ396" s="388"/>
      <c r="AK396" s="388"/>
      <c r="AL396" s="388"/>
      <c r="AM396" s="388"/>
      <c r="AN396" s="388"/>
      <c r="AO396" s="388"/>
      <c r="AP396" s="860"/>
      <c r="AQ396" s="798"/>
      <c r="AR396" s="719"/>
      <c r="AS396" s="720"/>
      <c r="AT396" s="720"/>
      <c r="AU396" s="720"/>
      <c r="AV396" s="720"/>
      <c r="AW396" s="720"/>
      <c r="AX396" s="720"/>
      <c r="AY396" s="720"/>
      <c r="AZ396" s="392"/>
      <c r="BA396" s="392"/>
      <c r="BB396" s="720"/>
      <c r="BC396" s="720"/>
      <c r="BD396" s="720"/>
      <c r="BE396" s="720"/>
      <c r="BF396" s="721"/>
      <c r="BG396" s="703"/>
    </row>
    <row r="397" spans="3:60" ht="100" customHeight="1" x14ac:dyDescent="1">
      <c r="D397" s="408"/>
      <c r="E397" s="635"/>
      <c r="F397" s="1555"/>
      <c r="G397" s="1545"/>
      <c r="H397" s="1545"/>
      <c r="I397" s="1545"/>
      <c r="J397" s="1545"/>
      <c r="K397" s="1545"/>
      <c r="L397" s="1545"/>
      <c r="M397" s="1545"/>
      <c r="N397" s="1560"/>
      <c r="O397" s="1560"/>
      <c r="P397" s="1545"/>
      <c r="Q397" s="1545"/>
      <c r="R397" s="1545"/>
      <c r="S397" s="1545"/>
      <c r="T397" s="1545"/>
      <c r="U397" s="1545"/>
      <c r="V397" s="1545"/>
      <c r="W397" s="1545"/>
      <c r="X397" s="1557"/>
      <c r="Y397" s="1407"/>
      <c r="Z397" s="1573"/>
      <c r="AA397" s="1573"/>
      <c r="AB397" s="1573"/>
      <c r="AC397" s="1573"/>
      <c r="AD397" s="1573"/>
      <c r="AE397" s="1573"/>
      <c r="AF397" s="1573"/>
      <c r="AG397" s="1573"/>
      <c r="AH397" s="1564"/>
      <c r="AI397" s="802"/>
      <c r="AJ397" s="1569"/>
      <c r="AK397" s="1569"/>
      <c r="AL397" s="1569"/>
      <c r="AM397" s="1569"/>
      <c r="AN397" s="1569"/>
      <c r="AO397" s="1569"/>
      <c r="AP397" s="866"/>
      <c r="AQ397" s="802"/>
      <c r="AR397" s="1566"/>
      <c r="AS397" s="1567"/>
      <c r="AT397" s="1567"/>
      <c r="AU397" s="1567"/>
      <c r="AV397" s="1567"/>
      <c r="AW397" s="1567"/>
      <c r="AX397" s="1567"/>
      <c r="AY397" s="1567"/>
      <c r="AZ397" s="1560"/>
      <c r="BA397" s="1560"/>
      <c r="BB397" s="1567"/>
      <c r="BC397" s="1567"/>
      <c r="BD397" s="1567"/>
      <c r="BE397" s="1567"/>
      <c r="BF397" s="721"/>
      <c r="BG397" s="703"/>
    </row>
    <row r="398" spans="3:60" ht="100" customHeight="1" x14ac:dyDescent="1">
      <c r="D398" s="408"/>
      <c r="E398" s="635"/>
      <c r="F398" s="1555"/>
      <c r="G398" s="1545"/>
      <c r="H398" s="727"/>
      <c r="I398" s="727"/>
      <c r="J398" s="1545"/>
      <c r="K398" s="1545"/>
      <c r="L398" s="1549"/>
      <c r="M398" s="1549"/>
      <c r="N398" s="728" t="s">
        <v>175</v>
      </c>
      <c r="O398" s="728"/>
      <c r="P398" s="1545"/>
      <c r="Q398" s="1545"/>
      <c r="R398" s="1545"/>
      <c r="S398" s="1545"/>
      <c r="T398" s="1545"/>
      <c r="U398" s="1545"/>
      <c r="V398" s="1545"/>
      <c r="W398" s="1545"/>
      <c r="X398" s="1557"/>
      <c r="Y398" s="1407"/>
      <c r="Z398" s="1573"/>
      <c r="AA398" s="1573"/>
      <c r="AB398" s="868" t="s">
        <v>139</v>
      </c>
      <c r="AC398" s="868"/>
      <c r="AD398" s="868"/>
      <c r="AE398" s="868"/>
      <c r="AF398" s="868"/>
      <c r="AG398" s="1573"/>
      <c r="AH398" s="1564"/>
      <c r="AI398" s="802"/>
      <c r="AJ398" s="2073" t="s">
        <v>124</v>
      </c>
      <c r="AK398" s="2056"/>
      <c r="AL398" s="2056"/>
      <c r="AM398" s="2056"/>
      <c r="AN398" s="2056"/>
      <c r="AO398" s="1569"/>
      <c r="AP398" s="866" t="s">
        <v>178</v>
      </c>
      <c r="AQ398" s="802"/>
      <c r="AR398" s="1566"/>
      <c r="AS398" s="1567"/>
      <c r="AT398" s="1567" t="s">
        <v>138</v>
      </c>
      <c r="AU398" s="870"/>
      <c r="AV398" s="870"/>
      <c r="AW398" s="870"/>
      <c r="AX398" s="1567"/>
      <c r="AY398" s="1567"/>
      <c r="AZ398" s="728" t="s">
        <v>175</v>
      </c>
      <c r="BA398" s="728"/>
      <c r="BB398" s="737"/>
      <c r="BC398" s="737"/>
      <c r="BD398" s="1567"/>
      <c r="BE398" s="1567"/>
      <c r="BF398" s="1568"/>
      <c r="BG398" s="703"/>
    </row>
    <row r="399" spans="3:60" ht="100" customHeight="1" x14ac:dyDescent="1">
      <c r="D399" s="408"/>
      <c r="E399" s="635"/>
      <c r="F399" s="664"/>
      <c r="G399" s="386"/>
      <c r="H399" s="1549"/>
      <c r="I399" s="1549"/>
      <c r="J399" s="386"/>
      <c r="K399" s="386"/>
      <c r="L399" s="386"/>
      <c r="M399" s="386"/>
      <c r="N399" s="728" t="s">
        <v>127</v>
      </c>
      <c r="O399" s="728"/>
      <c r="P399" s="386"/>
      <c r="Q399" s="386"/>
      <c r="R399" s="386"/>
      <c r="S399" s="386"/>
      <c r="T399" s="386"/>
      <c r="U399" s="386"/>
      <c r="V399" s="386"/>
      <c r="W399" s="386"/>
      <c r="X399" s="674"/>
      <c r="Y399" s="1406"/>
      <c r="Z399" s="838"/>
      <c r="AA399" s="838"/>
      <c r="AB399" s="1408">
        <v>800</v>
      </c>
      <c r="AC399" s="838"/>
      <c r="AD399" s="838"/>
      <c r="AE399" s="838"/>
      <c r="AF399" s="838"/>
      <c r="AG399" s="838"/>
      <c r="AH399" s="723"/>
      <c r="AI399" s="798"/>
      <c r="AJ399" s="388"/>
      <c r="AK399" s="388"/>
      <c r="AL399" s="388"/>
      <c r="AM399" s="388"/>
      <c r="AN399" s="388"/>
      <c r="AO399" s="388"/>
      <c r="AP399" s="866" t="s">
        <v>127</v>
      </c>
      <c r="AQ399" s="802"/>
      <c r="AR399" s="719"/>
      <c r="AS399" s="720"/>
      <c r="AT399" s="737">
        <v>2000</v>
      </c>
      <c r="AU399" s="872"/>
      <c r="AV399" s="870"/>
      <c r="AW399" s="870"/>
      <c r="AX399" s="720"/>
      <c r="AY399" s="720"/>
      <c r="AZ399" s="728" t="s">
        <v>127</v>
      </c>
      <c r="BA399" s="728"/>
      <c r="BB399" s="720"/>
      <c r="BC399" s="720"/>
      <c r="BD399" s="720"/>
      <c r="BE399" s="720"/>
      <c r="BF399" s="721"/>
      <c r="BG399" s="703"/>
    </row>
    <row r="400" spans="3:60" ht="100" customHeight="1" x14ac:dyDescent="1">
      <c r="D400" s="408"/>
      <c r="E400" s="635"/>
      <c r="F400" s="664"/>
      <c r="G400" s="386"/>
      <c r="H400" s="386"/>
      <c r="I400" s="386"/>
      <c r="J400" s="386"/>
      <c r="K400" s="386"/>
      <c r="L400" s="386"/>
      <c r="M400" s="386"/>
      <c r="N400" s="392"/>
      <c r="O400" s="392"/>
      <c r="P400" s="386"/>
      <c r="Q400" s="386"/>
      <c r="R400" s="386"/>
      <c r="S400" s="386"/>
      <c r="T400" s="386"/>
      <c r="U400" s="386"/>
      <c r="V400" s="386"/>
      <c r="W400" s="386"/>
      <c r="X400" s="674"/>
      <c r="Y400" s="1406"/>
      <c r="Z400" s="838"/>
      <c r="AA400" s="838"/>
      <c r="AB400" s="838"/>
      <c r="AC400" s="838"/>
      <c r="AD400" s="838"/>
      <c r="AE400" s="838"/>
      <c r="AF400" s="838"/>
      <c r="AG400" s="838"/>
      <c r="AH400" s="723"/>
      <c r="AI400" s="798"/>
      <c r="AJ400" s="388"/>
      <c r="AK400" s="388"/>
      <c r="AL400" s="388"/>
      <c r="AM400" s="388"/>
      <c r="AN400" s="388"/>
      <c r="AO400" s="388"/>
      <c r="AP400" s="860"/>
      <c r="AQ400" s="798"/>
      <c r="AR400" s="719"/>
      <c r="AS400" s="720"/>
      <c r="AT400" s="720"/>
      <c r="AU400" s="720"/>
      <c r="AV400" s="720"/>
      <c r="AW400" s="720"/>
      <c r="AX400" s="720"/>
      <c r="AY400" s="720"/>
      <c r="AZ400" s="392"/>
      <c r="BA400" s="392"/>
      <c r="BB400" s="720"/>
      <c r="BC400" s="720"/>
      <c r="BD400" s="720"/>
      <c r="BE400" s="720"/>
      <c r="BF400" s="721"/>
      <c r="BG400" s="703"/>
    </row>
    <row r="401" spans="4:59" ht="100" customHeight="1" thickBot="1" x14ac:dyDescent="1.05">
      <c r="D401" s="408"/>
      <c r="E401" s="635"/>
      <c r="F401" s="664"/>
      <c r="G401" s="386"/>
      <c r="H401" s="386"/>
      <c r="I401" s="386"/>
      <c r="J401" s="386"/>
      <c r="K401" s="386"/>
      <c r="L401" s="386"/>
      <c r="M401" s="386"/>
      <c r="N401" s="392"/>
      <c r="O401" s="392"/>
      <c r="P401" s="386"/>
      <c r="Q401" s="386"/>
      <c r="R401" s="386"/>
      <c r="S401" s="386"/>
      <c r="T401" s="386"/>
      <c r="U401" s="386"/>
      <c r="V401" s="386"/>
      <c r="W401" s="386"/>
      <c r="X401" s="674"/>
      <c r="Y401" s="1406"/>
      <c r="Z401" s="723"/>
      <c r="AA401" s="723"/>
      <c r="AB401" s="723"/>
      <c r="AC401" s="723"/>
      <c r="AD401" s="723"/>
      <c r="AE401" s="723"/>
      <c r="AF401" s="723"/>
      <c r="AG401" s="723"/>
      <c r="AH401" s="723"/>
      <c r="AI401" s="798"/>
      <c r="AJ401" s="388"/>
      <c r="AK401" s="388"/>
      <c r="AL401" s="388"/>
      <c r="AM401" s="388"/>
      <c r="AN401" s="388"/>
      <c r="AO401" s="388"/>
      <c r="AP401" s="860"/>
      <c r="AQ401" s="798"/>
      <c r="AR401" s="745"/>
      <c r="AS401" s="746"/>
      <c r="AT401" s="746"/>
      <c r="AU401" s="746"/>
      <c r="AV401" s="746"/>
      <c r="AW401" s="746"/>
      <c r="AX401" s="746"/>
      <c r="AY401" s="746"/>
      <c r="AZ401" s="873"/>
      <c r="BA401" s="873"/>
      <c r="BB401" s="746"/>
      <c r="BC401" s="746"/>
      <c r="BD401" s="746"/>
      <c r="BE401" s="746"/>
      <c r="BF401" s="747"/>
      <c r="BG401" s="703"/>
    </row>
    <row r="402" spans="4:59" ht="10" customHeight="1" thickTop="1" thickBot="1" x14ac:dyDescent="1.05">
      <c r="D402" s="408"/>
      <c r="E402" s="635"/>
      <c r="F402" s="664"/>
      <c r="G402" s="386"/>
      <c r="H402" s="386"/>
      <c r="I402" s="386"/>
      <c r="J402" s="386"/>
      <c r="K402" s="386"/>
      <c r="L402" s="386"/>
      <c r="M402" s="386"/>
      <c r="N402" s="392"/>
      <c r="O402" s="392"/>
      <c r="P402" s="386"/>
      <c r="Q402" s="386"/>
      <c r="R402" s="386"/>
      <c r="S402" s="386"/>
      <c r="T402" s="386"/>
      <c r="U402" s="386"/>
      <c r="V402" s="386"/>
      <c r="W402" s="386"/>
      <c r="X402" s="674"/>
      <c r="Y402" s="652"/>
      <c r="Z402" s="753"/>
      <c r="AA402" s="754"/>
      <c r="AB402" s="754"/>
      <c r="AC402" s="754"/>
      <c r="AD402" s="754"/>
      <c r="AE402" s="754"/>
      <c r="AF402" s="754"/>
      <c r="AG402" s="754"/>
      <c r="AH402" s="755"/>
      <c r="AI402" s="812"/>
      <c r="AJ402" s="813"/>
      <c r="AK402" s="814"/>
      <c r="AL402" s="814"/>
      <c r="AM402" s="814"/>
      <c r="AN402" s="814"/>
      <c r="AO402" s="814"/>
      <c r="AP402" s="814"/>
      <c r="AQ402" s="749"/>
      <c r="AR402" s="874"/>
      <c r="AS402" s="874"/>
      <c r="AT402" s="874"/>
      <c r="AU402" s="874"/>
      <c r="AV402" s="754"/>
      <c r="AW402" s="754"/>
      <c r="AX402" s="754"/>
      <c r="AY402" s="754"/>
      <c r="AZ402" s="754"/>
      <c r="BA402" s="754"/>
      <c r="BB402" s="754"/>
      <c r="BC402" s="754"/>
      <c r="BD402" s="754"/>
      <c r="BE402" s="754"/>
      <c r="BF402" s="754"/>
      <c r="BG402" s="703"/>
    </row>
    <row r="403" spans="4:59" ht="100" customHeight="1" thickTop="1" x14ac:dyDescent="1">
      <c r="D403" s="408"/>
      <c r="E403" s="663"/>
      <c r="F403" s="2087" t="s">
        <v>133</v>
      </c>
      <c r="G403" s="2054"/>
      <c r="H403" s="2054"/>
      <c r="I403" s="2054"/>
      <c r="J403" s="2054"/>
      <c r="K403" s="2054"/>
      <c r="L403" s="2054"/>
      <c r="M403" s="2054"/>
      <c r="N403" s="2054"/>
      <c r="O403" s="2054"/>
      <c r="P403" s="2054"/>
      <c r="Q403" s="2054"/>
      <c r="R403" s="2054"/>
      <c r="S403" s="2054"/>
      <c r="T403" s="2054"/>
      <c r="U403" s="2054"/>
      <c r="V403" s="2054"/>
      <c r="W403" s="2054"/>
      <c r="X403" s="2088"/>
      <c r="Y403" s="875"/>
      <c r="Z403" s="2089" t="s">
        <v>168</v>
      </c>
      <c r="AA403" s="2064"/>
      <c r="AB403" s="2064"/>
      <c r="AC403" s="2064"/>
      <c r="AD403" s="2064"/>
      <c r="AE403" s="2064"/>
      <c r="AF403" s="2064"/>
      <c r="AG403" s="2064"/>
      <c r="AH403" s="2065"/>
      <c r="AI403" s="2092" t="s">
        <v>186</v>
      </c>
      <c r="AJ403" s="2066"/>
      <c r="AK403" s="2066"/>
      <c r="AL403" s="2066"/>
      <c r="AM403" s="2066"/>
      <c r="AN403" s="2066"/>
      <c r="AO403" s="2066"/>
      <c r="AP403" s="2066"/>
      <c r="AQ403" s="2064" t="s">
        <v>171</v>
      </c>
      <c r="AR403" s="2064"/>
      <c r="AS403" s="2064"/>
      <c r="AT403" s="2064"/>
      <c r="AU403" s="2064"/>
      <c r="AV403" s="2064"/>
      <c r="AW403" s="2064"/>
      <c r="AX403" s="2064"/>
      <c r="AY403" s="2064"/>
      <c r="AZ403" s="2064"/>
      <c r="BA403" s="2064"/>
      <c r="BB403" s="2064"/>
      <c r="BC403" s="2064"/>
      <c r="BD403" s="2064"/>
      <c r="BE403" s="2064"/>
      <c r="BF403" s="2064"/>
      <c r="BG403" s="2065"/>
    </row>
    <row r="404" spans="4:59" ht="100" customHeight="1" thickBot="1" x14ac:dyDescent="1.05">
      <c r="D404" s="408"/>
      <c r="E404" s="635"/>
      <c r="F404" s="2087"/>
      <c r="G404" s="2054"/>
      <c r="H404" s="2054"/>
      <c r="I404" s="2054"/>
      <c r="J404" s="2054"/>
      <c r="K404" s="2054"/>
      <c r="L404" s="2054"/>
      <c r="M404" s="2054"/>
      <c r="N404" s="2054"/>
      <c r="O404" s="2054"/>
      <c r="P404" s="2054"/>
      <c r="Q404" s="2054"/>
      <c r="R404" s="2054"/>
      <c r="S404" s="2054"/>
      <c r="T404" s="2054"/>
      <c r="U404" s="2054"/>
      <c r="V404" s="2054"/>
      <c r="W404" s="2054"/>
      <c r="X404" s="2088"/>
      <c r="Y404" s="875"/>
      <c r="Z404" s="2090"/>
      <c r="AA404" s="2086"/>
      <c r="AB404" s="2086"/>
      <c r="AC404" s="2086"/>
      <c r="AD404" s="2086"/>
      <c r="AE404" s="2086"/>
      <c r="AF404" s="2086"/>
      <c r="AG404" s="2086"/>
      <c r="AH404" s="2091"/>
      <c r="AI404" s="2211"/>
      <c r="AJ404" s="2205"/>
      <c r="AK404" s="2205"/>
      <c r="AL404" s="2205"/>
      <c r="AM404" s="2205"/>
      <c r="AN404" s="2205"/>
      <c r="AO404" s="2205"/>
      <c r="AP404" s="2205"/>
      <c r="AQ404" s="2086"/>
      <c r="AR404" s="2086"/>
      <c r="AS404" s="2086"/>
      <c r="AT404" s="2086"/>
      <c r="AU404" s="2086"/>
      <c r="AV404" s="2086"/>
      <c r="AW404" s="2086"/>
      <c r="AX404" s="2086"/>
      <c r="AY404" s="2086"/>
      <c r="AZ404" s="2086"/>
      <c r="BA404" s="2086"/>
      <c r="BB404" s="2086"/>
      <c r="BC404" s="2086"/>
      <c r="BD404" s="2086"/>
      <c r="BE404" s="2086"/>
      <c r="BF404" s="2086"/>
      <c r="BG404" s="2091"/>
    </row>
    <row r="405" spans="4:59" ht="10" customHeight="1" thickTop="1" thickBot="1" x14ac:dyDescent="1.05">
      <c r="D405" s="408"/>
      <c r="E405" s="635"/>
      <c r="F405" s="1558"/>
      <c r="G405" s="1558"/>
      <c r="H405" s="1558"/>
      <c r="I405" s="1558"/>
      <c r="J405" s="1558"/>
      <c r="K405" s="1558"/>
      <c r="L405" s="1558"/>
      <c r="M405" s="1558"/>
      <c r="N405" s="1558"/>
      <c r="O405" s="1558"/>
      <c r="P405" s="1558"/>
      <c r="Q405" s="1558"/>
      <c r="R405" s="1558"/>
      <c r="S405" s="1558"/>
      <c r="T405" s="1558"/>
      <c r="U405" s="1558"/>
      <c r="V405" s="1558"/>
      <c r="W405" s="1558"/>
      <c r="X405" s="1570"/>
      <c r="Y405" s="1409"/>
      <c r="Z405" s="766"/>
      <c r="AA405" s="766"/>
      <c r="AB405" s="766"/>
      <c r="AC405" s="766"/>
      <c r="AD405" s="766"/>
      <c r="AE405" s="766"/>
      <c r="AF405" s="766"/>
      <c r="AG405" s="766"/>
      <c r="AH405" s="766"/>
      <c r="AI405" s="795"/>
      <c r="AJ405" s="1376"/>
      <c r="AK405" s="1376"/>
      <c r="AL405" s="1376"/>
      <c r="AM405" s="1376"/>
      <c r="AN405" s="1376"/>
      <c r="AO405" s="1376"/>
      <c r="AP405" s="1376"/>
      <c r="AQ405" s="878"/>
      <c r="AR405" s="766"/>
      <c r="AS405" s="766"/>
      <c r="AT405" s="766"/>
      <c r="AU405" s="878"/>
      <c r="AV405" s="766"/>
      <c r="AW405" s="766"/>
      <c r="AX405" s="766"/>
      <c r="AY405" s="766"/>
      <c r="AZ405" s="766"/>
      <c r="BA405" s="766"/>
      <c r="BB405" s="766"/>
      <c r="BC405" s="766"/>
      <c r="BD405" s="766"/>
      <c r="BE405" s="766"/>
      <c r="BF405" s="766"/>
      <c r="BG405" s="903"/>
    </row>
    <row r="406" spans="4:59" ht="100" customHeight="1" thickTop="1" x14ac:dyDescent="1">
      <c r="D406" s="408"/>
      <c r="E406" s="635"/>
      <c r="F406" s="386"/>
      <c r="G406" s="386"/>
      <c r="H406" s="386"/>
      <c r="I406" s="386"/>
      <c r="J406" s="386"/>
      <c r="K406" s="386"/>
      <c r="L406" s="386"/>
      <c r="M406" s="386"/>
      <c r="N406" s="386"/>
      <c r="O406" s="386"/>
      <c r="P406" s="386"/>
      <c r="Q406" s="386"/>
      <c r="R406" s="386"/>
      <c r="S406" s="386"/>
      <c r="T406" s="386"/>
      <c r="U406" s="386"/>
      <c r="V406" s="386"/>
      <c r="W406" s="386"/>
      <c r="X406" s="674"/>
      <c r="Y406" s="1410"/>
      <c r="Z406" s="723"/>
      <c r="AA406" s="723"/>
      <c r="AB406" s="723"/>
      <c r="AC406" s="723"/>
      <c r="AD406" s="723"/>
      <c r="AE406" s="723"/>
      <c r="AF406" s="723"/>
      <c r="AG406" s="723"/>
      <c r="AH406" s="830"/>
      <c r="AI406" s="798"/>
      <c r="AJ406" s="1377"/>
      <c r="AK406" s="1378"/>
      <c r="AL406" s="1378"/>
      <c r="AM406" s="1378"/>
      <c r="AN406" s="1378"/>
      <c r="AO406" s="1378"/>
      <c r="AP406" s="1379"/>
      <c r="AQ406" s="795"/>
      <c r="AR406" s="720"/>
      <c r="AS406" s="720"/>
      <c r="AT406" s="720"/>
      <c r="AU406" s="720"/>
      <c r="AV406" s="720"/>
      <c r="AW406" s="720"/>
      <c r="AX406" s="720"/>
      <c r="AY406" s="720"/>
      <c r="AZ406" s="720"/>
      <c r="BA406" s="720"/>
      <c r="BB406" s="720"/>
      <c r="BC406" s="720"/>
      <c r="BD406" s="720"/>
      <c r="BE406" s="720"/>
      <c r="BF406" s="711"/>
      <c r="BG406" s="795"/>
    </row>
    <row r="407" spans="4:59" ht="100" customHeight="1" x14ac:dyDescent="1">
      <c r="D407" s="408"/>
      <c r="E407" s="635"/>
      <c r="F407" s="664"/>
      <c r="G407" s="386"/>
      <c r="H407" s="386"/>
      <c r="I407" s="386"/>
      <c r="J407" s="386"/>
      <c r="K407" s="386"/>
      <c r="L407" s="386"/>
      <c r="M407" s="386"/>
      <c r="N407" s="598"/>
      <c r="O407" s="598"/>
      <c r="P407" s="598"/>
      <c r="Q407" s="598"/>
      <c r="R407" s="386"/>
      <c r="S407" s="386"/>
      <c r="T407" s="386"/>
      <c r="U407" s="386"/>
      <c r="V407" s="386"/>
      <c r="W407" s="386"/>
      <c r="X407" s="674"/>
      <c r="Y407" s="1410"/>
      <c r="Z407" s="838"/>
      <c r="AA407" s="838"/>
      <c r="AB407" s="838"/>
      <c r="AC407" s="838"/>
      <c r="AD407" s="838"/>
      <c r="AE407" s="838"/>
      <c r="AF407" s="838"/>
      <c r="AG407" s="838"/>
      <c r="AH407" s="723"/>
      <c r="AI407" s="798"/>
      <c r="AJ407" s="1381"/>
      <c r="AK407" s="1382"/>
      <c r="AL407" s="1382"/>
      <c r="AM407" s="1382"/>
      <c r="AN407" s="1382"/>
      <c r="AO407" s="1382"/>
      <c r="AP407" s="1383"/>
      <c r="AQ407" s="798"/>
      <c r="AR407" s="720"/>
      <c r="AS407" s="720"/>
      <c r="AT407" s="720"/>
      <c r="AU407" s="720"/>
      <c r="AV407" s="720"/>
      <c r="AW407" s="720"/>
      <c r="AX407" s="720"/>
      <c r="AY407" s="720"/>
      <c r="AZ407" s="720"/>
      <c r="BA407" s="720"/>
      <c r="BB407" s="720"/>
      <c r="BC407" s="720"/>
      <c r="BD407" s="720"/>
      <c r="BE407" s="720"/>
      <c r="BF407" s="721"/>
      <c r="BG407" s="798"/>
    </row>
    <row r="408" spans="4:59" ht="100" customHeight="1" x14ac:dyDescent="1">
      <c r="D408" s="408"/>
      <c r="E408" s="635"/>
      <c r="F408" s="1555"/>
      <c r="G408" s="1545"/>
      <c r="H408" s="1545"/>
      <c r="I408" s="1545"/>
      <c r="J408" s="386"/>
      <c r="K408" s="386"/>
      <c r="L408" s="598"/>
      <c r="M408" s="598"/>
      <c r="N408" s="598"/>
      <c r="O408" s="598"/>
      <c r="P408" s="598"/>
      <c r="Q408" s="598"/>
      <c r="R408" s="386"/>
      <c r="S408" s="386"/>
      <c r="T408" s="386"/>
      <c r="U408" s="386"/>
      <c r="V408" s="386"/>
      <c r="W408" s="386"/>
      <c r="X408" s="674"/>
      <c r="Y408" s="1410"/>
      <c r="Z408" s="1573"/>
      <c r="AA408" s="1573"/>
      <c r="AB408" s="1573"/>
      <c r="AC408" s="1573"/>
      <c r="AD408" s="1573"/>
      <c r="AE408" s="1573"/>
      <c r="AF408" s="1573"/>
      <c r="AG408" s="1573"/>
      <c r="AH408" s="1564"/>
      <c r="AI408" s="802"/>
      <c r="AJ408" s="1381"/>
      <c r="AK408" s="1382"/>
      <c r="AL408" s="1382"/>
      <c r="AM408" s="1382"/>
      <c r="AN408" s="1382"/>
      <c r="AO408" s="1382"/>
      <c r="AP408" s="1384"/>
      <c r="AQ408" s="802"/>
      <c r="AR408" s="1567"/>
      <c r="AS408" s="1567"/>
      <c r="AT408" s="1567"/>
      <c r="AU408" s="1567"/>
      <c r="AV408" s="1567"/>
      <c r="AW408" s="1567"/>
      <c r="AX408" s="1567"/>
      <c r="AY408" s="1567"/>
      <c r="AZ408" s="1567"/>
      <c r="BA408" s="1567"/>
      <c r="BB408" s="1567"/>
      <c r="BC408" s="1567"/>
      <c r="BD408" s="1567"/>
      <c r="BE408" s="1567"/>
      <c r="BF408" s="721"/>
      <c r="BG408" s="798"/>
    </row>
    <row r="409" spans="4:59" ht="100" customHeight="1" x14ac:dyDescent="1">
      <c r="D409" s="408"/>
      <c r="E409" s="635"/>
      <c r="F409" s="1555"/>
      <c r="G409" s="1545"/>
      <c r="H409" s="727" t="s">
        <v>196</v>
      </c>
      <c r="I409" s="727"/>
      <c r="J409" s="1542"/>
      <c r="K409" s="1542"/>
      <c r="L409" s="598"/>
      <c r="M409" s="598"/>
      <c r="N409" s="1542"/>
      <c r="O409" s="1542"/>
      <c r="P409" s="1542"/>
      <c r="Q409" s="1542"/>
      <c r="R409" s="1542"/>
      <c r="S409" s="1542"/>
      <c r="T409" s="1542"/>
      <c r="U409" s="1542"/>
      <c r="V409" s="1542"/>
      <c r="W409" s="1542"/>
      <c r="X409" s="1556"/>
      <c r="Y409" s="1409"/>
      <c r="Z409" s="1573"/>
      <c r="AA409" s="1573"/>
      <c r="AB409" s="868" t="s">
        <v>139</v>
      </c>
      <c r="AC409" s="868"/>
      <c r="AD409" s="868"/>
      <c r="AE409" s="868"/>
      <c r="AF409" s="868"/>
      <c r="AG409" s="1573"/>
      <c r="AH409" s="1564"/>
      <c r="AI409" s="802"/>
      <c r="AJ409" s="1381"/>
      <c r="AK409" s="1401" t="s">
        <v>210</v>
      </c>
      <c r="AL409" s="1385"/>
      <c r="AM409" s="1385"/>
      <c r="AN409" s="1385"/>
      <c r="AO409" s="1385"/>
      <c r="AP409" s="1384"/>
      <c r="AQ409" s="802"/>
      <c r="AR409" s="1567"/>
      <c r="AS409" s="870" t="s">
        <v>138</v>
      </c>
      <c r="AT409" s="1567"/>
      <c r="AU409" s="870"/>
      <c r="AV409" s="870"/>
      <c r="AW409" s="1567"/>
      <c r="AX409" s="1567"/>
      <c r="AY409" s="1567"/>
      <c r="AZ409" s="1567"/>
      <c r="BA409" s="1567"/>
      <c r="BB409" s="1567"/>
      <c r="BC409" s="737"/>
      <c r="BD409" s="1567"/>
      <c r="BE409" s="1567"/>
      <c r="BF409" s="1568"/>
      <c r="BG409" s="798"/>
    </row>
    <row r="410" spans="4:59" ht="100" customHeight="1" x14ac:dyDescent="1">
      <c r="D410" s="408"/>
      <c r="E410" s="635"/>
      <c r="F410" s="664"/>
      <c r="G410" s="386"/>
      <c r="H410" s="1549">
        <f>4900+4900</f>
        <v>9800</v>
      </c>
      <c r="I410" s="1549"/>
      <c r="J410" s="780"/>
      <c r="K410" s="780"/>
      <c r="L410" s="780"/>
      <c r="M410" s="780"/>
      <c r="N410" s="780"/>
      <c r="O410" s="780"/>
      <c r="P410" s="1542"/>
      <c r="Q410" s="1542"/>
      <c r="R410" s="780"/>
      <c r="S410" s="780"/>
      <c r="T410" s="780"/>
      <c r="U410" s="780"/>
      <c r="V410" s="780"/>
      <c r="W410" s="780"/>
      <c r="X410" s="891"/>
      <c r="Y410" s="1411"/>
      <c r="Z410" s="838"/>
      <c r="AA410" s="838"/>
      <c r="AB410" s="1408">
        <v>800</v>
      </c>
      <c r="AC410" s="838"/>
      <c r="AD410" s="838"/>
      <c r="AE410" s="838"/>
      <c r="AF410" s="838"/>
      <c r="AG410" s="838"/>
      <c r="AH410" s="723"/>
      <c r="AI410" s="798"/>
      <c r="AJ410" s="1593"/>
      <c r="AK410" s="1594"/>
      <c r="AL410" s="1594">
        <v>4700</v>
      </c>
      <c r="AM410" s="1385"/>
      <c r="AN410" s="1385"/>
      <c r="AO410" s="1385"/>
      <c r="AP410" s="1388"/>
      <c r="AQ410" s="798"/>
      <c r="AR410" s="720"/>
      <c r="AS410" s="872">
        <v>2000</v>
      </c>
      <c r="AT410" s="737">
        <v>2000</v>
      </c>
      <c r="AU410" s="870"/>
      <c r="AV410" s="870"/>
      <c r="AW410" s="720"/>
      <c r="AX410" s="720"/>
      <c r="AY410" s="720"/>
      <c r="AZ410" s="720"/>
      <c r="BA410" s="720"/>
      <c r="BB410" s="720"/>
      <c r="BC410" s="720"/>
      <c r="BD410" s="720"/>
      <c r="BE410" s="720"/>
      <c r="BF410" s="721"/>
      <c r="BG410" s="798"/>
    </row>
    <row r="411" spans="4:59" ht="100" customHeight="1" x14ac:dyDescent="1">
      <c r="D411" s="408"/>
      <c r="E411" s="635"/>
      <c r="F411" s="664"/>
      <c r="G411" s="386"/>
      <c r="H411" s="386"/>
      <c r="I411" s="386"/>
      <c r="J411" s="386"/>
      <c r="K411" s="386"/>
      <c r="L411" s="386"/>
      <c r="M411" s="386"/>
      <c r="N411" s="598"/>
      <c r="O411" s="598"/>
      <c r="P411" s="598"/>
      <c r="Q411" s="598"/>
      <c r="R411" s="386"/>
      <c r="S411" s="386"/>
      <c r="T411" s="386"/>
      <c r="U411" s="386"/>
      <c r="V411" s="386"/>
      <c r="W411" s="386"/>
      <c r="X411" s="674"/>
      <c r="Y411" s="1410"/>
      <c r="Z411" s="838"/>
      <c r="AA411" s="838"/>
      <c r="AB411" s="838"/>
      <c r="AC411" s="838"/>
      <c r="AD411" s="838"/>
      <c r="AE411" s="838"/>
      <c r="AF411" s="838"/>
      <c r="AG411" s="838"/>
      <c r="AH411" s="723"/>
      <c r="AI411" s="798"/>
      <c r="AJ411" s="1381"/>
      <c r="AK411" s="1382"/>
      <c r="AL411" s="1382"/>
      <c r="AM411" s="1382"/>
      <c r="AN411" s="1382"/>
      <c r="AO411" s="1382"/>
      <c r="AP411" s="1383"/>
      <c r="AQ411" s="798"/>
      <c r="AR411" s="720"/>
      <c r="AS411" s="720"/>
      <c r="AT411" s="720"/>
      <c r="AU411" s="720"/>
      <c r="AV411" s="720"/>
      <c r="AW411" s="720"/>
      <c r="AX411" s="720"/>
      <c r="AY411" s="720"/>
      <c r="AZ411" s="720"/>
      <c r="BA411" s="720"/>
      <c r="BB411" s="720"/>
      <c r="BC411" s="720"/>
      <c r="BD411" s="720"/>
      <c r="BE411" s="720"/>
      <c r="BF411" s="721"/>
      <c r="BG411" s="798"/>
    </row>
    <row r="412" spans="4:59" ht="100" customHeight="1" thickBot="1" x14ac:dyDescent="1.05">
      <c r="D412" s="408"/>
      <c r="E412" s="899"/>
      <c r="F412" s="676"/>
      <c r="G412" s="658"/>
      <c r="H412" s="658"/>
      <c r="I412" s="658"/>
      <c r="J412" s="658"/>
      <c r="K412" s="658"/>
      <c r="L412" s="658"/>
      <c r="M412" s="658"/>
      <c r="N412" s="658"/>
      <c r="O412" s="658"/>
      <c r="P412" s="658"/>
      <c r="Q412" s="658"/>
      <c r="R412" s="658"/>
      <c r="S412" s="658"/>
      <c r="T412" s="658"/>
      <c r="U412" s="658"/>
      <c r="V412" s="658"/>
      <c r="W412" s="658"/>
      <c r="X412" s="678"/>
      <c r="Y412" s="1410"/>
      <c r="Z412" s="723"/>
      <c r="AA412" s="723"/>
      <c r="AB412" s="723"/>
      <c r="AC412" s="723"/>
      <c r="AD412" s="723"/>
      <c r="AE412" s="723"/>
      <c r="AF412" s="723"/>
      <c r="AG412" s="723"/>
      <c r="AH412" s="723"/>
      <c r="AI412" s="798"/>
      <c r="AJ412" s="1389"/>
      <c r="AK412" s="1390"/>
      <c r="AL412" s="1390"/>
      <c r="AM412" s="1390"/>
      <c r="AN412" s="1390"/>
      <c r="AO412" s="1390"/>
      <c r="AP412" s="1391"/>
      <c r="AQ412" s="812"/>
      <c r="AR412" s="746"/>
      <c r="AS412" s="746"/>
      <c r="AT412" s="746"/>
      <c r="AU412" s="746"/>
      <c r="AV412" s="746"/>
      <c r="AW412" s="746"/>
      <c r="AX412" s="746"/>
      <c r="AY412" s="746"/>
      <c r="AZ412" s="746"/>
      <c r="BA412" s="746"/>
      <c r="BB412" s="746"/>
      <c r="BC412" s="746"/>
      <c r="BD412" s="746"/>
      <c r="BE412" s="746"/>
      <c r="BF412" s="747"/>
      <c r="BG412" s="798"/>
    </row>
    <row r="413" spans="4:59" ht="10" customHeight="1" thickTop="1" thickBot="1" x14ac:dyDescent="1.05">
      <c r="D413" s="408"/>
      <c r="E413" s="638"/>
      <c r="F413" s="631"/>
      <c r="G413" s="632"/>
      <c r="H413" s="632"/>
      <c r="I413" s="632"/>
      <c r="J413" s="632"/>
      <c r="K413" s="632"/>
      <c r="L413" s="632"/>
      <c r="M413" s="632"/>
      <c r="N413" s="632"/>
      <c r="O413" s="632"/>
      <c r="P413" s="632"/>
      <c r="Q413" s="632"/>
      <c r="R413" s="632"/>
      <c r="S413" s="632"/>
      <c r="T413" s="632"/>
      <c r="U413" s="632"/>
      <c r="V413" s="632"/>
      <c r="W413" s="632"/>
      <c r="X413" s="632"/>
      <c r="Y413" s="1412"/>
      <c r="Z413" s="754"/>
      <c r="AA413" s="754"/>
      <c r="AB413" s="754"/>
      <c r="AC413" s="754"/>
      <c r="AD413" s="754"/>
      <c r="AE413" s="754"/>
      <c r="AF413" s="754"/>
      <c r="AG413" s="754"/>
      <c r="AH413" s="754"/>
      <c r="AI413" s="812"/>
      <c r="AJ413" s="1392"/>
      <c r="AK413" s="874"/>
      <c r="AL413" s="753"/>
      <c r="AM413" s="874"/>
      <c r="AN413" s="874"/>
      <c r="AO413" s="903"/>
      <c r="AP413" s="749"/>
      <c r="AQ413" s="874"/>
      <c r="AR413" s="874"/>
      <c r="AS413" s="874"/>
      <c r="AT413" s="874"/>
      <c r="AU413" s="874"/>
      <c r="AV413" s="874"/>
      <c r="AW413" s="874"/>
      <c r="AX413" s="874"/>
      <c r="AY413" s="874"/>
      <c r="AZ413" s="874"/>
      <c r="BA413" s="874"/>
      <c r="BB413" s="874"/>
      <c r="BC413" s="874"/>
      <c r="BD413" s="874"/>
      <c r="BE413" s="874"/>
      <c r="BF413" s="748"/>
      <c r="BG413" s="812"/>
    </row>
    <row r="414" spans="4:59" ht="100" customHeight="1" thickTop="1" x14ac:dyDescent="1">
      <c r="E414" s="408"/>
      <c r="AO414" s="408"/>
      <c r="BG414" s="408"/>
    </row>
    <row r="417" spans="3:60" s="1426" customFormat="1" ht="190" customHeight="1" x14ac:dyDescent="1.2">
      <c r="C417" s="1431"/>
      <c r="F417" s="1457" t="s">
        <v>219</v>
      </c>
      <c r="G417" s="1457"/>
      <c r="H417" s="1460"/>
      <c r="I417" s="1435"/>
      <c r="J417" s="1435"/>
      <c r="K417" s="1435"/>
      <c r="L417" s="1435"/>
      <c r="M417" s="1435"/>
      <c r="N417" s="1435"/>
      <c r="O417" s="1435"/>
      <c r="P417" s="1435"/>
      <c r="Q417" s="1435"/>
      <c r="R417" s="1435"/>
      <c r="S417" s="1435"/>
      <c r="T417" s="1435"/>
      <c r="U417" s="1435"/>
      <c r="V417" s="1435"/>
      <c r="W417" s="1435"/>
      <c r="X417" s="1435"/>
      <c r="Y417" s="1435"/>
      <c r="Z417" s="1435"/>
      <c r="AA417" s="1435"/>
      <c r="AB417" s="1435"/>
      <c r="AC417" s="1435"/>
      <c r="AD417" s="1435"/>
      <c r="AE417" s="1435"/>
      <c r="AF417" s="1435"/>
      <c r="AG417" s="1435"/>
      <c r="AH417" s="1435"/>
      <c r="AI417" s="1435"/>
      <c r="AJ417" s="1435"/>
      <c r="AK417" s="1435"/>
      <c r="AL417" s="1435"/>
      <c r="AM417" s="1435"/>
      <c r="AN417" s="1435"/>
      <c r="AO417" s="1435"/>
      <c r="AP417" s="1435"/>
      <c r="AQ417" s="1435"/>
      <c r="AR417" s="1435"/>
      <c r="AS417" s="1435"/>
      <c r="AT417" s="1435"/>
      <c r="AU417" s="1435"/>
      <c r="AV417" s="1435"/>
      <c r="AW417" s="1435"/>
      <c r="AX417" s="1435"/>
      <c r="AY417" s="1435"/>
      <c r="AZ417" s="1435"/>
      <c r="BA417" s="1435"/>
      <c r="BB417" s="1435"/>
      <c r="BC417" s="1435"/>
      <c r="BD417" s="1435"/>
      <c r="BE417" s="1435"/>
      <c r="BF417" s="1435"/>
      <c r="BG417" s="1435"/>
      <c r="BH417" s="1435"/>
    </row>
    <row r="418" spans="3:60" s="1426" customFormat="1" ht="100" customHeight="1" x14ac:dyDescent="1.2">
      <c r="C418" s="1431"/>
      <c r="F418" s="1429" t="s">
        <v>220</v>
      </c>
      <c r="G418" s="1429"/>
      <c r="H418" s="1429"/>
      <c r="I418" s="1429"/>
      <c r="J418" s="1429"/>
      <c r="K418" s="1429"/>
      <c r="L418" s="1429"/>
      <c r="M418" s="1429"/>
      <c r="N418" s="1429"/>
      <c r="O418" s="1429"/>
      <c r="P418" s="1429"/>
      <c r="Q418" s="1429"/>
      <c r="R418" s="1429"/>
      <c r="S418" s="1429"/>
      <c r="T418" s="1429"/>
      <c r="U418" s="1429"/>
      <c r="V418" s="1429"/>
      <c r="W418" s="1429"/>
      <c r="X418" s="1429"/>
      <c r="Y418" s="1429"/>
      <c r="Z418" s="1429"/>
      <c r="BF418" s="1431"/>
    </row>
    <row r="419" spans="3:60" ht="100" customHeight="1" thickBot="1" x14ac:dyDescent="1.05">
      <c r="AJ419" s="793"/>
      <c r="AK419" s="793"/>
      <c r="AL419" s="793"/>
      <c r="AM419" s="793"/>
      <c r="AN419" s="793"/>
      <c r="AO419" s="793"/>
      <c r="AP419" s="793"/>
      <c r="BG419" s="408"/>
    </row>
    <row r="420" spans="3:60" ht="10" customHeight="1" thickTop="1" thickBot="1" x14ac:dyDescent="1.05">
      <c r="E420" s="577"/>
      <c r="F420" s="512"/>
      <c r="G420" s="513"/>
      <c r="H420" s="513"/>
      <c r="I420" s="513"/>
      <c r="J420" s="513"/>
      <c r="K420" s="513"/>
      <c r="L420" s="513"/>
      <c r="M420" s="513"/>
      <c r="N420" s="513"/>
      <c r="O420" s="513"/>
      <c r="P420" s="513"/>
      <c r="Q420" s="513"/>
      <c r="R420" s="513"/>
      <c r="S420" s="513"/>
      <c r="T420" s="513"/>
      <c r="U420" s="513"/>
      <c r="V420" s="513"/>
      <c r="W420" s="513"/>
      <c r="X420" s="513"/>
      <c r="Y420" s="513"/>
      <c r="Z420" s="513"/>
      <c r="AA420" s="513"/>
      <c r="AB420" s="513"/>
      <c r="AC420" s="513"/>
      <c r="AD420" s="513"/>
      <c r="AE420" s="513"/>
      <c r="AF420" s="513"/>
      <c r="AG420" s="513"/>
      <c r="AH420" s="511"/>
      <c r="AI420" s="577"/>
      <c r="AJ420" s="388"/>
      <c r="AK420" s="388"/>
      <c r="AL420" s="388"/>
      <c r="AM420" s="388"/>
      <c r="AN420" s="388"/>
      <c r="AO420" s="388"/>
      <c r="AP420" s="388"/>
      <c r="AQ420" s="575"/>
      <c r="AR420" s="575"/>
      <c r="AS420" s="561"/>
      <c r="AT420" s="561"/>
      <c r="AU420" s="575"/>
      <c r="AV420" s="561"/>
      <c r="AW420" s="561"/>
      <c r="AX420" s="561"/>
      <c r="AY420" s="561"/>
      <c r="AZ420" s="575"/>
      <c r="BA420" s="561"/>
      <c r="BB420" s="561"/>
      <c r="BC420" s="561"/>
      <c r="BD420" s="574"/>
      <c r="BE420" s="575"/>
      <c r="BF420" s="575"/>
      <c r="BG420" s="576"/>
      <c r="BH420" s="356"/>
    </row>
    <row r="421" spans="3:60" ht="100" customHeight="1" thickTop="1" thickBot="1" x14ac:dyDescent="1.05">
      <c r="E421" s="578"/>
      <c r="F421" s="568"/>
      <c r="G421" s="386"/>
      <c r="H421" s="386"/>
      <c r="I421" s="386"/>
      <c r="J421" s="386"/>
      <c r="K421" s="386"/>
      <c r="L421" s="386"/>
      <c r="M421" s="386"/>
      <c r="N421" s="392"/>
      <c r="O421" s="392"/>
      <c r="P421" s="386"/>
      <c r="Q421" s="386"/>
      <c r="R421" s="386"/>
      <c r="S421" s="386"/>
      <c r="T421" s="386"/>
      <c r="U421" s="386"/>
      <c r="V421" s="720"/>
      <c r="W421" s="720"/>
      <c r="X421" s="720"/>
      <c r="Y421" s="720"/>
      <c r="Z421" s="720"/>
      <c r="AA421" s="720"/>
      <c r="AB421" s="720"/>
      <c r="AC421" s="720"/>
      <c r="AD421" s="720"/>
      <c r="AE421" s="720"/>
      <c r="AF421" s="720"/>
      <c r="AG421" s="720"/>
      <c r="AH421" s="1036"/>
      <c r="AI421" s="578"/>
      <c r="AJ421" s="388"/>
      <c r="AK421" s="388"/>
      <c r="AL421" s="392"/>
      <c r="AM421" s="392"/>
      <c r="AN421" s="392"/>
      <c r="AO421" s="799"/>
      <c r="AP421" s="796"/>
      <c r="AQ421" s="577"/>
      <c r="AR421" s="386"/>
      <c r="AS421" s="386"/>
      <c r="AT421" s="386"/>
      <c r="AU421" s="386"/>
      <c r="AV421" s="386"/>
      <c r="AW421" s="386"/>
      <c r="AX421" s="386"/>
      <c r="AY421" s="386"/>
      <c r="AZ421" s="392"/>
      <c r="BA421" s="392"/>
      <c r="BB421" s="2212" t="s">
        <v>208</v>
      </c>
      <c r="BC421" s="386"/>
      <c r="BD421" s="1944"/>
      <c r="BE421" s="1944"/>
      <c r="BF421" s="2131"/>
      <c r="BG421" s="560"/>
      <c r="BH421" s="356"/>
    </row>
    <row r="422" spans="3:60" ht="100" customHeight="1" thickTop="1" x14ac:dyDescent="1">
      <c r="E422" s="578"/>
      <c r="F422" s="568"/>
      <c r="G422" s="386"/>
      <c r="H422" s="386"/>
      <c r="I422" s="386"/>
      <c r="J422" s="386"/>
      <c r="K422" s="386"/>
      <c r="L422" s="386"/>
      <c r="M422" s="386"/>
      <c r="N422" s="392"/>
      <c r="O422" s="392"/>
      <c r="P422" s="386"/>
      <c r="Q422" s="386"/>
      <c r="R422" s="386"/>
      <c r="S422" s="386"/>
      <c r="T422" s="386"/>
      <c r="U422" s="386"/>
      <c r="V422" s="720"/>
      <c r="W422" s="720"/>
      <c r="X422" s="720"/>
      <c r="Y422" s="720"/>
      <c r="Z422" s="720"/>
      <c r="AA422" s="720"/>
      <c r="AB422" s="720"/>
      <c r="AC422" s="720"/>
      <c r="AD422" s="720"/>
      <c r="AE422" s="720"/>
      <c r="AF422" s="720"/>
      <c r="AG422" s="720"/>
      <c r="AH422" s="1036"/>
      <c r="AI422" s="578"/>
      <c r="AJ422" s="388"/>
      <c r="AK422" s="388"/>
      <c r="AL422" s="392"/>
      <c r="AM422" s="392"/>
      <c r="AN422" s="392"/>
      <c r="AO422" s="799"/>
      <c r="AP422" s="796"/>
      <c r="AQ422" s="577"/>
      <c r="AR422" s="1545"/>
      <c r="AS422" s="1545"/>
      <c r="AT422" s="1545"/>
      <c r="AU422" s="1545"/>
      <c r="AV422" s="1545"/>
      <c r="AW422" s="1545"/>
      <c r="AX422" s="1545"/>
      <c r="AY422" s="1545"/>
      <c r="AZ422" s="392"/>
      <c r="BA422" s="392"/>
      <c r="BB422" s="2213"/>
      <c r="BC422" s="386"/>
      <c r="BD422" s="1867"/>
      <c r="BE422" s="1867"/>
      <c r="BF422" s="1920"/>
      <c r="BG422" s="1413"/>
      <c r="BH422" s="356"/>
    </row>
    <row r="423" spans="3:60" ht="100" customHeight="1" x14ac:dyDescent="1">
      <c r="E423" s="578"/>
      <c r="F423" s="1551"/>
      <c r="G423" s="1545"/>
      <c r="H423" s="1545"/>
      <c r="I423" s="1545"/>
      <c r="J423" s="1545"/>
      <c r="K423" s="1545"/>
      <c r="L423" s="1545"/>
      <c r="M423" s="1545"/>
      <c r="N423" s="1560"/>
      <c r="O423" s="1560"/>
      <c r="P423" s="1545"/>
      <c r="Q423" s="1545"/>
      <c r="R423" s="1545"/>
      <c r="S423" s="1545"/>
      <c r="T423" s="1545"/>
      <c r="U423" s="1545"/>
      <c r="V423" s="1567"/>
      <c r="W423" s="1567"/>
      <c r="X423" s="1567"/>
      <c r="Y423" s="1567"/>
      <c r="Z423" s="1567"/>
      <c r="AA423" s="1567"/>
      <c r="AB423" s="1567"/>
      <c r="AC423" s="1567"/>
      <c r="AD423" s="1567"/>
      <c r="AE423" s="1567"/>
      <c r="AF423" s="1567"/>
      <c r="AG423" s="1567"/>
      <c r="AH423" s="1040"/>
      <c r="AI423" s="1041"/>
      <c r="AJ423" s="1569"/>
      <c r="AK423" s="1569"/>
      <c r="AL423" s="1560"/>
      <c r="AM423" s="1560"/>
      <c r="AN423" s="1560"/>
      <c r="AO423" s="803"/>
      <c r="AP423" s="804"/>
      <c r="AQ423" s="578"/>
      <c r="AR423" s="1545"/>
      <c r="AS423" s="1545"/>
      <c r="AT423" s="1545"/>
      <c r="AU423" s="1545"/>
      <c r="AV423" s="1545"/>
      <c r="AW423" s="1545"/>
      <c r="AX423" s="1545"/>
      <c r="AY423" s="1545"/>
      <c r="AZ423" s="1414"/>
      <c r="BA423" s="1414"/>
      <c r="BB423" s="2213"/>
      <c r="BC423" s="579"/>
      <c r="BD423" s="1867"/>
      <c r="BE423" s="1867"/>
      <c r="BF423" s="1920"/>
      <c r="BG423" s="588"/>
      <c r="BH423" s="573"/>
    </row>
    <row r="424" spans="3:60" ht="100" customHeight="1" thickBot="1" x14ac:dyDescent="1.05">
      <c r="E424" s="578"/>
      <c r="F424" s="1551"/>
      <c r="G424" s="1545"/>
      <c r="H424" s="1545"/>
      <c r="I424" s="1545"/>
      <c r="J424" s="1549"/>
      <c r="K424" s="1549"/>
      <c r="L424" s="1545"/>
      <c r="M424" s="1545"/>
      <c r="N424" s="728" t="s">
        <v>175</v>
      </c>
      <c r="O424" s="728"/>
      <c r="P424" s="1545"/>
      <c r="Q424" s="1545"/>
      <c r="R424" s="1545"/>
      <c r="S424" s="1545"/>
      <c r="T424" s="1545"/>
      <c r="U424" s="1545"/>
      <c r="V424" s="1567"/>
      <c r="W424" s="1567"/>
      <c r="X424" s="2071"/>
      <c r="Y424" s="2071"/>
      <c r="Z424" s="2071"/>
      <c r="AA424" s="2071"/>
      <c r="AB424" s="2071"/>
      <c r="AC424" s="2071"/>
      <c r="AD424" s="2071"/>
      <c r="AE424" s="2071"/>
      <c r="AF424" s="2071"/>
      <c r="AG424" s="1567"/>
      <c r="AH424" s="1040"/>
      <c r="AI424" s="1041"/>
      <c r="AJ424" s="2112" t="s">
        <v>124</v>
      </c>
      <c r="AK424" s="2056"/>
      <c r="AL424" s="2056"/>
      <c r="AM424" s="2056"/>
      <c r="AN424" s="2056"/>
      <c r="AO424" s="803"/>
      <c r="AP424" s="804" t="s">
        <v>178</v>
      </c>
      <c r="AQ424" s="578"/>
      <c r="AR424" s="1545"/>
      <c r="AS424" s="1545"/>
      <c r="AT424" s="1545"/>
      <c r="AU424" s="1545"/>
      <c r="AV424" s="1545"/>
      <c r="AW424" s="1545"/>
      <c r="AX424" s="1545"/>
      <c r="AY424" s="1545"/>
      <c r="AZ424" s="1414"/>
      <c r="BA424" s="1414"/>
      <c r="BB424" s="2213"/>
      <c r="BC424" s="579"/>
      <c r="BD424" s="1867"/>
      <c r="BE424" s="1867"/>
      <c r="BF424" s="1920"/>
      <c r="BG424" s="1415"/>
      <c r="BH424" s="573"/>
    </row>
    <row r="425" spans="3:60" ht="100" customHeight="1" thickTop="1" x14ac:dyDescent="1">
      <c r="E425" s="578"/>
      <c r="F425" s="568"/>
      <c r="G425" s="386"/>
      <c r="H425" s="386"/>
      <c r="I425" s="386"/>
      <c r="J425" s="386"/>
      <c r="K425" s="386"/>
      <c r="L425" s="386"/>
      <c r="M425" s="386"/>
      <c r="N425" s="728" t="s">
        <v>127</v>
      </c>
      <c r="O425" s="728"/>
      <c r="P425" s="386"/>
      <c r="Q425" s="386"/>
      <c r="R425" s="386"/>
      <c r="S425" s="386"/>
      <c r="T425" s="386"/>
      <c r="U425" s="386"/>
      <c r="V425" s="720"/>
      <c r="W425" s="720"/>
      <c r="X425" s="2113"/>
      <c r="Y425" s="2113"/>
      <c r="Z425" s="2113"/>
      <c r="AA425" s="2113"/>
      <c r="AB425" s="2113"/>
      <c r="AC425" s="2113"/>
      <c r="AD425" s="2113"/>
      <c r="AE425" s="2113"/>
      <c r="AF425" s="2113"/>
      <c r="AG425" s="1575"/>
      <c r="AH425" s="1036"/>
      <c r="AI425" s="578"/>
      <c r="AJ425" s="388"/>
      <c r="AK425" s="388"/>
      <c r="AL425" s="392"/>
      <c r="AM425" s="392"/>
      <c r="AN425" s="392"/>
      <c r="AO425" s="799"/>
      <c r="AP425" s="804" t="s">
        <v>127</v>
      </c>
      <c r="AQ425" s="578"/>
      <c r="AR425" s="1545"/>
      <c r="AS425" s="1545"/>
      <c r="AT425" s="1545"/>
      <c r="AU425" s="1545"/>
      <c r="AV425" s="1545"/>
      <c r="AW425" s="1545"/>
      <c r="AX425" s="1545"/>
      <c r="AY425" s="1545"/>
      <c r="AZ425" s="1560" t="s">
        <v>175</v>
      </c>
      <c r="BA425" s="1560"/>
      <c r="BB425" s="2213"/>
      <c r="BC425" s="579"/>
      <c r="BD425" s="1867"/>
      <c r="BE425" s="1867"/>
      <c r="BF425" s="1920"/>
      <c r="BG425" s="588"/>
      <c r="BH425" s="1370"/>
    </row>
    <row r="426" spans="3:60" ht="100" customHeight="1" thickBot="1" x14ac:dyDescent="1.05">
      <c r="E426" s="578"/>
      <c r="F426" s="568"/>
      <c r="G426" s="386"/>
      <c r="H426" s="386"/>
      <c r="I426" s="386"/>
      <c r="J426" s="386"/>
      <c r="K426" s="386"/>
      <c r="L426" s="386"/>
      <c r="M426" s="386"/>
      <c r="N426" s="392"/>
      <c r="O426" s="392"/>
      <c r="P426" s="386"/>
      <c r="Q426" s="386"/>
      <c r="R426" s="386"/>
      <c r="S426" s="386"/>
      <c r="T426" s="386"/>
      <c r="U426" s="386"/>
      <c r="V426" s="720"/>
      <c r="W426" s="720"/>
      <c r="X426" s="720"/>
      <c r="Y426" s="720"/>
      <c r="Z426" s="720"/>
      <c r="AA426" s="720"/>
      <c r="AB426" s="720"/>
      <c r="AC426" s="720"/>
      <c r="AD426" s="720"/>
      <c r="AE426" s="720"/>
      <c r="AF426" s="720"/>
      <c r="AG426" s="720"/>
      <c r="AH426" s="1036"/>
      <c r="AI426" s="578"/>
      <c r="AJ426" s="388"/>
      <c r="AK426" s="388"/>
      <c r="AL426" s="388"/>
      <c r="AM426" s="388"/>
      <c r="AN426" s="388"/>
      <c r="AO426" s="388"/>
      <c r="AP426" s="995"/>
      <c r="AQ426" s="623"/>
      <c r="AR426" s="386"/>
      <c r="AS426" s="386"/>
      <c r="AT426" s="386"/>
      <c r="AU426" s="386"/>
      <c r="AV426" s="386"/>
      <c r="AW426" s="386"/>
      <c r="AX426" s="386"/>
      <c r="AY426" s="386"/>
      <c r="AZ426" s="1560" t="s">
        <v>127</v>
      </c>
      <c r="BA426" s="1560"/>
      <c r="BB426" s="2213"/>
      <c r="BC426" s="579"/>
      <c r="BD426" s="1867"/>
      <c r="BE426" s="1867"/>
      <c r="BF426" s="1920"/>
      <c r="BG426" s="1041"/>
      <c r="BH426" s="1370"/>
    </row>
    <row r="427" spans="3:60" ht="100" customHeight="1" thickTop="1" thickBot="1" x14ac:dyDescent="1.05">
      <c r="E427" s="578"/>
      <c r="F427" s="568"/>
      <c r="G427" s="386"/>
      <c r="H427" s="386"/>
      <c r="I427" s="386"/>
      <c r="J427" s="386"/>
      <c r="K427" s="386"/>
      <c r="L427" s="386"/>
      <c r="M427" s="386"/>
      <c r="N427" s="392"/>
      <c r="O427" s="392"/>
      <c r="P427" s="386"/>
      <c r="Q427" s="386"/>
      <c r="R427" s="386"/>
      <c r="S427" s="386"/>
      <c r="T427" s="386"/>
      <c r="U427" s="386"/>
      <c r="V427" s="720"/>
      <c r="W427" s="720"/>
      <c r="X427" s="720"/>
      <c r="Y427" s="720"/>
      <c r="Z427" s="720"/>
      <c r="AA427" s="720"/>
      <c r="AB427" s="720"/>
      <c r="AC427" s="720"/>
      <c r="AD427" s="720"/>
      <c r="AE427" s="720"/>
      <c r="AF427" s="720"/>
      <c r="AG427" s="720"/>
      <c r="AH427" s="720"/>
      <c r="AI427" s="574"/>
      <c r="AJ427" s="388"/>
      <c r="AK427" s="388"/>
      <c r="AL427" s="388"/>
      <c r="AM427" s="388"/>
      <c r="AN427" s="388"/>
      <c r="AO427" s="388"/>
      <c r="AP427" s="995"/>
      <c r="AQ427" s="578"/>
      <c r="AR427" s="386"/>
      <c r="AS427" s="386"/>
      <c r="AT427" s="386"/>
      <c r="AU427" s="386"/>
      <c r="AV427" s="386"/>
      <c r="AW427" s="386"/>
      <c r="AX427" s="386"/>
      <c r="AY427" s="386"/>
      <c r="AZ427" s="392"/>
      <c r="BA427" s="392"/>
      <c r="BB427" s="2213"/>
      <c r="BC427" s="579"/>
      <c r="BD427" s="1867"/>
      <c r="BE427" s="1867"/>
      <c r="BF427" s="1920"/>
      <c r="BG427" s="1416"/>
      <c r="BH427" s="356"/>
    </row>
    <row r="428" spans="3:60" ht="100" customHeight="1" thickTop="1" thickBot="1" x14ac:dyDescent="1.05">
      <c r="E428" s="578"/>
      <c r="F428" s="386"/>
      <c r="G428" s="386"/>
      <c r="H428" s="386"/>
      <c r="I428" s="386"/>
      <c r="J428" s="386"/>
      <c r="K428" s="386"/>
      <c r="L428" s="386"/>
      <c r="M428" s="386"/>
      <c r="N428" s="392"/>
      <c r="O428" s="392"/>
      <c r="P428" s="386"/>
      <c r="Q428" s="386"/>
      <c r="R428" s="386"/>
      <c r="S428" s="386"/>
      <c r="T428" s="386"/>
      <c r="U428" s="386"/>
      <c r="V428" s="720"/>
      <c r="W428" s="720"/>
      <c r="X428" s="720"/>
      <c r="Y428" s="720"/>
      <c r="Z428" s="720"/>
      <c r="AA428" s="720"/>
      <c r="AB428" s="720"/>
      <c r="AC428" s="720"/>
      <c r="AD428" s="720"/>
      <c r="AE428" s="720"/>
      <c r="AF428" s="720"/>
      <c r="AG428" s="720"/>
      <c r="AH428" s="720"/>
      <c r="AI428" s="577"/>
      <c r="AJ428" s="1046"/>
      <c r="AK428" s="1046"/>
      <c r="AL428" s="1046"/>
      <c r="AM428" s="1046"/>
      <c r="AN428" s="1046"/>
      <c r="AO428" s="1046"/>
      <c r="AP428" s="1395"/>
      <c r="AQ428" s="578"/>
      <c r="AR428" s="386"/>
      <c r="AS428" s="386"/>
      <c r="AT428" s="386"/>
      <c r="AU428" s="386"/>
      <c r="AV428" s="386"/>
      <c r="AW428" s="386"/>
      <c r="AX428" s="386"/>
      <c r="AY428" s="386"/>
      <c r="AZ428" s="392"/>
      <c r="BA428" s="392"/>
      <c r="BB428" s="2213"/>
      <c r="BC428" s="579"/>
      <c r="BD428" s="1545"/>
      <c r="BE428" s="1545"/>
      <c r="BF428" s="1577"/>
      <c r="BG428" s="1416"/>
      <c r="BH428" s="1370"/>
    </row>
    <row r="429" spans="3:60" ht="100" customHeight="1" thickTop="1" x14ac:dyDescent="1">
      <c r="E429" s="578"/>
      <c r="F429" s="2068" t="s">
        <v>133</v>
      </c>
      <c r="G429" s="2054"/>
      <c r="H429" s="2054"/>
      <c r="I429" s="2054"/>
      <c r="J429" s="2054"/>
      <c r="K429" s="2054"/>
      <c r="L429" s="2054"/>
      <c r="M429" s="2054"/>
      <c r="N429" s="2054"/>
      <c r="O429" s="2054"/>
      <c r="P429" s="2054"/>
      <c r="Q429" s="2054"/>
      <c r="R429" s="2054"/>
      <c r="S429" s="2054"/>
      <c r="T429" s="2054"/>
      <c r="U429" s="2054"/>
      <c r="V429" s="2054"/>
      <c r="W429" s="2054"/>
      <c r="X429" s="2054"/>
      <c r="Y429" s="2054"/>
      <c r="Z429" s="2054"/>
      <c r="AA429" s="2054"/>
      <c r="AB429" s="2054"/>
      <c r="AC429" s="2054"/>
      <c r="AD429" s="2054"/>
      <c r="AE429" s="2054"/>
      <c r="AF429" s="2054"/>
      <c r="AG429" s="2054"/>
      <c r="AH429" s="2069"/>
      <c r="AI429" s="578"/>
      <c r="AJ429" s="2114" t="s">
        <v>186</v>
      </c>
      <c r="AK429" s="2085"/>
      <c r="AL429" s="2085"/>
      <c r="AM429" s="2085"/>
      <c r="AN429" s="2085"/>
      <c r="AO429" s="2085"/>
      <c r="AP429" s="2208"/>
      <c r="AQ429" s="1417"/>
      <c r="AR429" s="1917" t="s">
        <v>209</v>
      </c>
      <c r="AS429" s="1990"/>
      <c r="AT429" s="1990"/>
      <c r="AU429" s="1990"/>
      <c r="AV429" s="1990"/>
      <c r="AW429" s="1990"/>
      <c r="AX429" s="1990"/>
      <c r="AY429" s="1990"/>
      <c r="AZ429" s="1990"/>
      <c r="BA429" s="2210"/>
      <c r="BB429" s="2213"/>
      <c r="BC429" s="579"/>
      <c r="BD429" s="1867"/>
      <c r="BE429" s="1867"/>
      <c r="BF429" s="1920"/>
      <c r="BG429" s="588"/>
      <c r="BH429" s="1370"/>
    </row>
    <row r="430" spans="3:60" ht="100" customHeight="1" thickBot="1" x14ac:dyDescent="1.05">
      <c r="E430" s="578"/>
      <c r="F430" s="2068"/>
      <c r="G430" s="2054"/>
      <c r="H430" s="2054"/>
      <c r="I430" s="2054"/>
      <c r="J430" s="2054"/>
      <c r="K430" s="2054"/>
      <c r="L430" s="2054"/>
      <c r="M430" s="2054"/>
      <c r="N430" s="2054"/>
      <c r="O430" s="2054"/>
      <c r="P430" s="2054"/>
      <c r="Q430" s="2054"/>
      <c r="R430" s="2054"/>
      <c r="S430" s="2054"/>
      <c r="T430" s="2054"/>
      <c r="U430" s="2054"/>
      <c r="V430" s="2054"/>
      <c r="W430" s="2054"/>
      <c r="X430" s="2054"/>
      <c r="Y430" s="2054"/>
      <c r="Z430" s="2054"/>
      <c r="AA430" s="2054"/>
      <c r="AB430" s="2054"/>
      <c r="AC430" s="2054"/>
      <c r="AD430" s="2054"/>
      <c r="AE430" s="2054"/>
      <c r="AF430" s="2054"/>
      <c r="AG430" s="2054"/>
      <c r="AH430" s="2069"/>
      <c r="AI430" s="1048"/>
      <c r="AJ430" s="2115"/>
      <c r="AK430" s="2066"/>
      <c r="AL430" s="2066"/>
      <c r="AM430" s="2066"/>
      <c r="AN430" s="2066"/>
      <c r="AO430" s="2066"/>
      <c r="AP430" s="2067"/>
      <c r="AQ430" s="1008"/>
      <c r="AR430" s="1917"/>
      <c r="AS430" s="1990"/>
      <c r="AT430" s="1990"/>
      <c r="AU430" s="1990"/>
      <c r="AV430" s="1990"/>
      <c r="AW430" s="1990"/>
      <c r="AX430" s="1990"/>
      <c r="AY430" s="1990"/>
      <c r="AZ430" s="1990"/>
      <c r="BA430" s="2210"/>
      <c r="BB430" s="2213"/>
      <c r="BC430" s="579"/>
      <c r="BD430" s="1867"/>
      <c r="BE430" s="1867"/>
      <c r="BF430" s="1920"/>
      <c r="BG430" s="588"/>
      <c r="BH430" s="573"/>
    </row>
    <row r="431" spans="3:60" ht="10" customHeight="1" thickTop="1" thickBot="1" x14ac:dyDescent="1.05">
      <c r="E431" s="578"/>
      <c r="F431" s="1558"/>
      <c r="G431" s="1558"/>
      <c r="H431" s="1558"/>
      <c r="I431" s="1558"/>
      <c r="J431" s="1558"/>
      <c r="K431" s="1558"/>
      <c r="L431" s="1558"/>
      <c r="M431" s="1558"/>
      <c r="N431" s="1558"/>
      <c r="O431" s="1558"/>
      <c r="P431" s="1558"/>
      <c r="Q431" s="1558"/>
      <c r="R431" s="1558"/>
      <c r="S431" s="1558"/>
      <c r="T431" s="1558"/>
      <c r="U431" s="1558"/>
      <c r="V431" s="1558"/>
      <c r="W431" s="1558"/>
      <c r="X431" s="1558"/>
      <c r="Y431" s="1558"/>
      <c r="Z431" s="1558"/>
      <c r="AA431" s="1558"/>
      <c r="AB431" s="1558"/>
      <c r="AC431" s="1558"/>
      <c r="AD431" s="1558"/>
      <c r="AE431" s="1558"/>
      <c r="AF431" s="1558"/>
      <c r="AG431" s="1558"/>
      <c r="AH431" s="1558"/>
      <c r="AI431" s="606"/>
      <c r="AJ431" s="1049"/>
      <c r="AK431" s="1049"/>
      <c r="AL431" s="1049"/>
      <c r="AM431" s="1049"/>
      <c r="AN431" s="1049"/>
      <c r="AO431" s="1049"/>
      <c r="AP431" s="1022"/>
      <c r="AQ431" s="574"/>
      <c r="AR431" s="386"/>
      <c r="AS431" s="386"/>
      <c r="AT431" s="386"/>
      <c r="AU431" s="386"/>
      <c r="AV431" s="386"/>
      <c r="AW431" s="386"/>
      <c r="AX431" s="386"/>
      <c r="AY431" s="386"/>
      <c r="AZ431" s="386"/>
      <c r="BA431" s="386"/>
      <c r="BB431" s="2213"/>
      <c r="BC431" s="579"/>
      <c r="BD431" s="579"/>
      <c r="BE431" s="579"/>
      <c r="BF431" s="581"/>
      <c r="BG431" s="565"/>
      <c r="BH431" s="1370"/>
    </row>
    <row r="432" spans="3:60" ht="100" customHeight="1" thickTop="1" thickBot="1" x14ac:dyDescent="1.05">
      <c r="E432" s="578"/>
      <c r="F432" s="386"/>
      <c r="G432" s="386"/>
      <c r="H432" s="386"/>
      <c r="I432" s="386"/>
      <c r="J432" s="386"/>
      <c r="K432" s="386"/>
      <c r="L432" s="386"/>
      <c r="M432" s="386"/>
      <c r="N432" s="386"/>
      <c r="O432" s="386"/>
      <c r="P432" s="386"/>
      <c r="Q432" s="386"/>
      <c r="R432" s="386"/>
      <c r="S432" s="386"/>
      <c r="T432" s="386"/>
      <c r="U432" s="386"/>
      <c r="V432" s="720"/>
      <c r="W432" s="720"/>
      <c r="X432" s="720"/>
      <c r="Y432" s="720"/>
      <c r="Z432" s="720"/>
      <c r="AA432" s="720"/>
      <c r="AB432" s="720"/>
      <c r="AC432" s="720"/>
      <c r="AD432" s="720"/>
      <c r="AE432" s="720"/>
      <c r="AF432" s="720"/>
      <c r="AG432" s="720"/>
      <c r="AH432" s="720"/>
      <c r="AI432" s="574"/>
      <c r="AJ432" s="1015"/>
      <c r="AK432" s="1015"/>
      <c r="AL432" s="1015"/>
      <c r="AM432" s="1015"/>
      <c r="AN432" s="1015"/>
      <c r="AO432" s="1015"/>
      <c r="AP432" s="1016"/>
      <c r="AQ432" s="577"/>
      <c r="AR432" s="386"/>
      <c r="AS432" s="386"/>
      <c r="AT432" s="386"/>
      <c r="AU432" s="386"/>
      <c r="AV432" s="386"/>
      <c r="AW432" s="386"/>
      <c r="AX432" s="386"/>
      <c r="AY432" s="386"/>
      <c r="AZ432" s="386"/>
      <c r="BA432" s="386"/>
      <c r="BB432" s="2213"/>
      <c r="BC432" s="579"/>
      <c r="BD432" s="1867"/>
      <c r="BE432" s="1867"/>
      <c r="BF432" s="1920"/>
      <c r="BG432" s="1418"/>
      <c r="BH432" s="1370"/>
    </row>
    <row r="433" spans="4:60" ht="100" customHeight="1" thickTop="1" x14ac:dyDescent="1">
      <c r="E433" s="578"/>
      <c r="F433" s="568"/>
      <c r="G433" s="386"/>
      <c r="H433" s="1050" t="s">
        <v>27</v>
      </c>
      <c r="I433" s="1050"/>
      <c r="J433" s="386"/>
      <c r="K433" s="386"/>
      <c r="L433" s="386"/>
      <c r="M433" s="386"/>
      <c r="N433" s="598"/>
      <c r="O433" s="598"/>
      <c r="P433" s="598"/>
      <c r="Q433" s="598"/>
      <c r="R433" s="598"/>
      <c r="S433" s="598"/>
      <c r="T433" s="386"/>
      <c r="U433" s="386"/>
      <c r="V433" s="720"/>
      <c r="W433" s="720"/>
      <c r="X433" s="720"/>
      <c r="Y433" s="720"/>
      <c r="Z433" s="720"/>
      <c r="AA433" s="720"/>
      <c r="AB433" s="720"/>
      <c r="AC433" s="720"/>
      <c r="AD433" s="720"/>
      <c r="AE433" s="720"/>
      <c r="AF433" s="1051"/>
      <c r="AG433" s="1051"/>
      <c r="AH433" s="1052"/>
      <c r="AI433" s="1048"/>
      <c r="AJ433" s="1015"/>
      <c r="AK433" s="1015"/>
      <c r="AL433" s="1015"/>
      <c r="AM433" s="1015"/>
      <c r="AN433" s="1015"/>
      <c r="AO433" s="1015"/>
      <c r="AP433" s="1016"/>
      <c r="AQ433" s="578"/>
      <c r="AR433" s="1545"/>
      <c r="AS433" s="1545"/>
      <c r="AT433" s="1545"/>
      <c r="AU433" s="1545"/>
      <c r="AV433" s="1545"/>
      <c r="AW433" s="1545"/>
      <c r="AX433" s="1545"/>
      <c r="AY433" s="1545"/>
      <c r="AZ433" s="1545"/>
      <c r="BA433" s="1545"/>
      <c r="BB433" s="2213"/>
      <c r="BC433" s="579"/>
      <c r="BD433" s="1867"/>
      <c r="BE433" s="1867"/>
      <c r="BF433" s="1920"/>
      <c r="BG433" s="588"/>
      <c r="BH433" s="1370"/>
    </row>
    <row r="434" spans="4:60" ht="100" customHeight="1" thickBot="1" x14ac:dyDescent="1.05">
      <c r="E434" s="623"/>
      <c r="F434" s="1551"/>
      <c r="G434" s="1545"/>
      <c r="H434" s="727" t="s">
        <v>196</v>
      </c>
      <c r="I434" s="727"/>
      <c r="J434" s="386"/>
      <c r="K434" s="386"/>
      <c r="L434" s="386"/>
      <c r="M434" s="386"/>
      <c r="N434" s="598"/>
      <c r="O434" s="598"/>
      <c r="P434" s="598"/>
      <c r="Q434" s="598"/>
      <c r="R434" s="598"/>
      <c r="S434" s="598"/>
      <c r="T434" s="579"/>
      <c r="U434" s="579"/>
      <c r="V434" s="870"/>
      <c r="W434" s="870"/>
      <c r="X434" s="1567"/>
      <c r="Y434" s="1567"/>
      <c r="Z434" s="1567"/>
      <c r="AA434" s="1567"/>
      <c r="AB434" s="720"/>
      <c r="AC434" s="720"/>
      <c r="AD434" s="720"/>
      <c r="AE434" s="720"/>
      <c r="AF434" s="1051"/>
      <c r="AG434" s="1051"/>
      <c r="AH434" s="1052"/>
      <c r="AI434" s="1048"/>
      <c r="AJ434" s="1015"/>
      <c r="AK434" s="1015"/>
      <c r="AL434" s="1015"/>
      <c r="AM434" s="1015"/>
      <c r="AN434" s="1015"/>
      <c r="AO434" s="1015"/>
      <c r="AP434" s="1016"/>
      <c r="AQ434" s="578"/>
      <c r="AR434" s="1545"/>
      <c r="AS434" s="1545"/>
      <c r="AT434" s="1545"/>
      <c r="AU434" s="1545"/>
      <c r="AV434" s="1545"/>
      <c r="AW434" s="1545"/>
      <c r="AX434" s="1545"/>
      <c r="AY434" s="1545"/>
      <c r="AZ434" s="1545"/>
      <c r="BA434" s="1545"/>
      <c r="BB434" s="2213"/>
      <c r="BC434" s="579"/>
      <c r="BD434" s="1867"/>
      <c r="BE434" s="1867"/>
      <c r="BF434" s="1920"/>
      <c r="BG434" s="588"/>
      <c r="BH434" s="1370"/>
    </row>
    <row r="435" spans="4:60" ht="100" customHeight="1" thickTop="1" x14ac:dyDescent="1">
      <c r="D435" s="794"/>
      <c r="E435" s="547"/>
      <c r="F435" s="1551"/>
      <c r="G435" s="1545"/>
      <c r="H435" s="727" t="s">
        <v>198</v>
      </c>
      <c r="I435" s="727"/>
      <c r="J435" s="1549"/>
      <c r="K435" s="1549"/>
      <c r="L435" s="1542"/>
      <c r="M435" s="1542"/>
      <c r="N435" s="1542"/>
      <c r="O435" s="1542"/>
      <c r="P435" s="1542"/>
      <c r="Q435" s="1542"/>
      <c r="R435" s="1542"/>
      <c r="S435" s="1542"/>
      <c r="T435" s="1542"/>
      <c r="U435" s="1542"/>
      <c r="V435" s="1053"/>
      <c r="W435" s="1053"/>
      <c r="X435" s="1567"/>
      <c r="Y435" s="1567"/>
      <c r="Z435" s="1567"/>
      <c r="AA435" s="1567"/>
      <c r="AB435" s="737"/>
      <c r="AC435" s="737"/>
      <c r="AD435" s="1053"/>
      <c r="AE435" s="1053"/>
      <c r="AF435" s="1053"/>
      <c r="AG435" s="1053"/>
      <c r="AH435" s="1054"/>
      <c r="AI435" s="1008"/>
      <c r="AJ435" s="1574"/>
      <c r="AK435" s="1574"/>
      <c r="AL435" s="2111" t="s">
        <v>149</v>
      </c>
      <c r="AM435" s="2111"/>
      <c r="AN435" s="2111"/>
      <c r="AO435" s="1574"/>
      <c r="AP435" s="1022"/>
      <c r="AQ435" s="577"/>
      <c r="AR435" s="1545"/>
      <c r="AS435" s="1545"/>
      <c r="AT435" s="727" t="s">
        <v>212</v>
      </c>
      <c r="AU435" s="1545"/>
      <c r="AV435" s="1545"/>
      <c r="AW435" s="1545"/>
      <c r="AX435" s="1545"/>
      <c r="AY435" s="1545"/>
      <c r="AZ435" s="1545"/>
      <c r="BA435" s="1545"/>
      <c r="BB435" s="2213"/>
      <c r="BC435" s="579"/>
      <c r="BD435" s="1867"/>
      <c r="BE435" s="1867"/>
      <c r="BF435" s="1920"/>
      <c r="BG435" s="1418"/>
      <c r="BH435" s="573"/>
    </row>
    <row r="436" spans="4:60" ht="100" customHeight="1" x14ac:dyDescent="1">
      <c r="D436" s="794"/>
      <c r="E436" s="547"/>
      <c r="F436" s="568"/>
      <c r="G436" s="386"/>
      <c r="H436" s="1055">
        <f>3500+3500+2100+2100</f>
        <v>11200</v>
      </c>
      <c r="I436" s="1055"/>
      <c r="J436" s="780"/>
      <c r="K436" s="780"/>
      <c r="L436" s="780"/>
      <c r="M436" s="780"/>
      <c r="N436" s="780"/>
      <c r="O436" s="780"/>
      <c r="P436" s="1542"/>
      <c r="Q436" s="1542"/>
      <c r="R436" s="1542"/>
      <c r="S436" s="1542"/>
      <c r="T436" s="780"/>
      <c r="U436" s="780"/>
      <c r="V436" s="1056"/>
      <c r="W436" s="1056"/>
      <c r="X436" s="720"/>
      <c r="Y436" s="720"/>
      <c r="Z436" s="720"/>
      <c r="AA436" s="720"/>
      <c r="AB436" s="1056"/>
      <c r="AC436" s="1056"/>
      <c r="AD436" s="1056"/>
      <c r="AE436" s="1056"/>
      <c r="AF436" s="1056"/>
      <c r="AG436" s="1056"/>
      <c r="AH436" s="1054"/>
      <c r="AI436" s="1008"/>
      <c r="AJ436" s="1023"/>
      <c r="AK436" s="1023"/>
      <c r="AL436" s="1023"/>
      <c r="AM436" s="1023"/>
      <c r="AN436" s="1023"/>
      <c r="AO436" s="1023"/>
      <c r="AP436" s="1016"/>
      <c r="AQ436" s="578"/>
      <c r="AR436" s="1545"/>
      <c r="AS436" s="1545"/>
      <c r="AT436" s="1549">
        <v>7000</v>
      </c>
      <c r="AU436" s="1545"/>
      <c r="AV436" s="1545"/>
      <c r="AW436" s="1545"/>
      <c r="AX436" s="1545"/>
      <c r="AY436" s="1545"/>
      <c r="AZ436" s="1545"/>
      <c r="BA436" s="1545"/>
      <c r="BB436" s="2213"/>
      <c r="BC436" s="579"/>
      <c r="BD436" s="1867"/>
      <c r="BE436" s="1867"/>
      <c r="BF436" s="1920"/>
      <c r="BG436" s="588"/>
      <c r="BH436" s="1370"/>
    </row>
    <row r="437" spans="4:60" ht="100" customHeight="1" thickBot="1" x14ac:dyDescent="1.05">
      <c r="D437" s="794"/>
      <c r="E437" s="547"/>
      <c r="F437" s="568"/>
      <c r="G437" s="386"/>
      <c r="H437" s="386"/>
      <c r="I437" s="386"/>
      <c r="J437" s="386"/>
      <c r="K437" s="386"/>
      <c r="L437" s="386"/>
      <c r="M437" s="386"/>
      <c r="N437" s="598"/>
      <c r="O437" s="598"/>
      <c r="P437" s="598"/>
      <c r="Q437" s="598"/>
      <c r="R437" s="1542"/>
      <c r="S437" s="1542"/>
      <c r="T437" s="386"/>
      <c r="U437" s="386"/>
      <c r="V437" s="720"/>
      <c r="W437" s="720"/>
      <c r="X437" s="720"/>
      <c r="Y437" s="720"/>
      <c r="Z437" s="720"/>
      <c r="AA437" s="720"/>
      <c r="AB437" s="720"/>
      <c r="AC437" s="720"/>
      <c r="AD437" s="720"/>
      <c r="AE437" s="720"/>
      <c r="AF437" s="1051"/>
      <c r="AG437" s="1051"/>
      <c r="AH437" s="1052"/>
      <c r="AI437" s="1048"/>
      <c r="AJ437" s="1015"/>
      <c r="AK437" s="1015"/>
      <c r="AL437" s="1015"/>
      <c r="AM437" s="1015"/>
      <c r="AN437" s="1015"/>
      <c r="AO437" s="1015"/>
      <c r="AP437" s="1016"/>
      <c r="AQ437" s="578"/>
      <c r="AR437" s="386"/>
      <c r="AS437" s="386"/>
      <c r="AT437" s="386"/>
      <c r="AU437" s="386"/>
      <c r="AV437" s="386"/>
      <c r="AW437" s="386"/>
      <c r="AX437" s="386"/>
      <c r="AY437" s="386"/>
      <c r="AZ437" s="598"/>
      <c r="BA437" s="598"/>
      <c r="BB437" s="2213"/>
      <c r="BC437" s="386"/>
      <c r="BD437" s="1867"/>
      <c r="BE437" s="1867"/>
      <c r="BF437" s="1920"/>
      <c r="BG437" s="588"/>
      <c r="BH437" s="356"/>
    </row>
    <row r="438" spans="4:60" ht="100" customHeight="1" thickTop="1" thickBot="1" x14ac:dyDescent="1.05">
      <c r="D438" s="794"/>
      <c r="E438" s="547"/>
      <c r="F438" s="569"/>
      <c r="G438" s="570"/>
      <c r="H438" s="570"/>
      <c r="I438" s="570"/>
      <c r="J438" s="570"/>
      <c r="K438" s="570"/>
      <c r="L438" s="570"/>
      <c r="M438" s="570"/>
      <c r="N438" s="570"/>
      <c r="O438" s="570"/>
      <c r="P438" s="570"/>
      <c r="Q438" s="570"/>
      <c r="R438" s="570"/>
      <c r="S438" s="570"/>
      <c r="T438" s="570"/>
      <c r="U438" s="570"/>
      <c r="V438" s="1059"/>
      <c r="W438" s="1059"/>
      <c r="X438" s="1059"/>
      <c r="Y438" s="1059"/>
      <c r="Z438" s="1059"/>
      <c r="AA438" s="1059"/>
      <c r="AB438" s="1059"/>
      <c r="AC438" s="1059"/>
      <c r="AD438" s="1059"/>
      <c r="AE438" s="1059"/>
      <c r="AF438" s="1059"/>
      <c r="AG438" s="1059"/>
      <c r="AH438" s="1060"/>
      <c r="AI438" s="623"/>
      <c r="AJ438" s="1026"/>
      <c r="AK438" s="1026"/>
      <c r="AL438" s="1026"/>
      <c r="AM438" s="1027"/>
      <c r="AN438" s="1028"/>
      <c r="AO438" s="1015"/>
      <c r="AP438" s="1016"/>
      <c r="AQ438" s="574"/>
      <c r="AR438" s="386"/>
      <c r="AS438" s="386"/>
      <c r="AT438" s="386"/>
      <c r="AU438" s="386"/>
      <c r="AV438" s="386"/>
      <c r="AW438" s="386"/>
      <c r="AX438" s="386"/>
      <c r="AY438" s="386"/>
      <c r="AZ438" s="386"/>
      <c r="BA438" s="386"/>
      <c r="BB438" s="2214"/>
      <c r="BC438" s="386"/>
      <c r="BD438" s="1894"/>
      <c r="BE438" s="1894"/>
      <c r="BF438" s="2140"/>
      <c r="BG438" s="560"/>
      <c r="BH438" s="356"/>
    </row>
    <row r="439" spans="4:60" ht="10" customHeight="1" thickTop="1" thickBot="1" x14ac:dyDescent="1.05">
      <c r="D439" s="408"/>
      <c r="E439" s="574"/>
      <c r="F439" s="575"/>
      <c r="G439" s="519"/>
      <c r="H439" s="519"/>
      <c r="I439" s="519"/>
      <c r="J439" s="519"/>
      <c r="K439" s="519"/>
      <c r="L439" s="519"/>
      <c r="M439" s="519"/>
      <c r="N439" s="519"/>
      <c r="O439" s="519"/>
      <c r="P439" s="519"/>
      <c r="Q439" s="519"/>
      <c r="R439" s="519"/>
      <c r="S439" s="519"/>
      <c r="T439" s="519"/>
      <c r="U439" s="519"/>
      <c r="V439" s="519"/>
      <c r="W439" s="519"/>
      <c r="X439" s="519"/>
      <c r="Y439" s="519"/>
      <c r="Z439" s="519"/>
      <c r="AA439" s="519"/>
      <c r="AB439" s="519"/>
      <c r="AC439" s="519"/>
      <c r="AD439" s="519"/>
      <c r="AE439" s="519"/>
      <c r="AF439" s="519"/>
      <c r="AG439" s="519"/>
      <c r="AH439" s="519"/>
      <c r="AI439" s="576"/>
      <c r="AJ439" s="1062"/>
      <c r="AK439" s="1032"/>
      <c r="AL439" s="1063"/>
      <c r="AM439" s="1064"/>
      <c r="AN439" s="1065"/>
      <c r="AO439" s="1066"/>
      <c r="AP439" s="1419"/>
      <c r="AQ439" s="575"/>
      <c r="AR439" s="561"/>
      <c r="AS439" s="561"/>
      <c r="AT439" s="561"/>
      <c r="AU439" s="561"/>
      <c r="AV439" s="561"/>
      <c r="AW439" s="561"/>
      <c r="AX439" s="561"/>
      <c r="AY439" s="561"/>
      <c r="AZ439" s="561"/>
      <c r="BA439" s="561"/>
      <c r="BB439" s="561"/>
      <c r="BC439" s="561"/>
      <c r="BD439" s="561"/>
      <c r="BE439" s="561"/>
      <c r="BF439" s="561"/>
      <c r="BG439" s="576"/>
      <c r="BH439" s="356"/>
    </row>
    <row r="440" spans="4:60" ht="100" customHeight="1" thickTop="1" x14ac:dyDescent="1">
      <c r="BH440" s="358"/>
    </row>
    <row r="443" spans="4:60" ht="100" customHeight="1" x14ac:dyDescent="1">
      <c r="AW443" s="358"/>
      <c r="AX443" s="358"/>
      <c r="AY443" s="358"/>
      <c r="AZ443" s="358"/>
      <c r="BA443" s="358"/>
      <c r="BB443" s="358"/>
      <c r="BC443" s="358"/>
    </row>
    <row r="444" spans="4:60" ht="100" customHeight="1" x14ac:dyDescent="1">
      <c r="AW444" s="358"/>
      <c r="AX444" s="358"/>
      <c r="AY444" s="358"/>
      <c r="AZ444" s="358"/>
      <c r="BA444" s="358"/>
      <c r="BB444" s="358"/>
      <c r="BC444" s="358"/>
    </row>
    <row r="445" spans="4:60" ht="100" customHeight="1" x14ac:dyDescent="1">
      <c r="AW445" s="358"/>
      <c r="AX445" s="358"/>
      <c r="AY445" s="358"/>
      <c r="AZ445" s="358"/>
      <c r="BA445" s="358"/>
      <c r="BB445" s="358"/>
      <c r="BC445" s="358"/>
    </row>
    <row r="446" spans="4:60" ht="100" customHeight="1" x14ac:dyDescent="1">
      <c r="AW446" s="358"/>
      <c r="AX446" s="358"/>
      <c r="AY446" s="358"/>
      <c r="AZ446" s="358"/>
      <c r="BA446" s="358"/>
      <c r="BB446" s="358"/>
      <c r="BC446" s="358"/>
    </row>
    <row r="447" spans="4:60" ht="100" customHeight="1" x14ac:dyDescent="1">
      <c r="AW447" s="358"/>
      <c r="AX447" s="358"/>
      <c r="AY447" s="358"/>
      <c r="AZ447" s="358"/>
      <c r="BA447" s="358"/>
      <c r="BB447" s="358"/>
      <c r="BC447" s="358"/>
    </row>
    <row r="448" spans="4:60" ht="100" customHeight="1" x14ac:dyDescent="1">
      <c r="AW448" s="358"/>
      <c r="AX448" s="358"/>
      <c r="AY448" s="358"/>
      <c r="AZ448" s="572"/>
      <c r="BA448" s="358"/>
      <c r="BB448" s="358"/>
      <c r="BC448" s="358"/>
    </row>
    <row r="449" spans="49:55" ht="100" customHeight="1" x14ac:dyDescent="1">
      <c r="AW449" s="358"/>
      <c r="AX449" s="358"/>
      <c r="AY449" s="358"/>
      <c r="AZ449" s="358"/>
      <c r="BA449" s="358"/>
      <c r="BB449" s="358"/>
      <c r="BC449" s="358"/>
    </row>
    <row r="450" spans="49:55" ht="100" customHeight="1" x14ac:dyDescent="1">
      <c r="AW450" s="358"/>
      <c r="AX450" s="358"/>
      <c r="AY450" s="358"/>
      <c r="AZ450" s="358"/>
      <c r="BA450" s="358"/>
      <c r="BB450" s="358"/>
      <c r="BC450" s="358"/>
    </row>
    <row r="451" spans="49:55" ht="100" customHeight="1" x14ac:dyDescent="1">
      <c r="AW451" s="358"/>
      <c r="AX451" s="358"/>
      <c r="AY451" s="358"/>
      <c r="AZ451" s="358"/>
      <c r="BA451" s="358"/>
      <c r="BB451" s="358"/>
      <c r="BC451" s="358"/>
    </row>
  </sheetData>
  <mergeCells count="277">
    <mergeCell ref="BD426:BF426"/>
    <mergeCell ref="BD438:BF438"/>
    <mergeCell ref="BD433:BF433"/>
    <mergeCell ref="BD434:BF434"/>
    <mergeCell ref="AL435:AN435"/>
    <mergeCell ref="BD435:BF435"/>
    <mergeCell ref="BD436:BF436"/>
    <mergeCell ref="BD437:BF437"/>
    <mergeCell ref="F429:AH430"/>
    <mergeCell ref="F380:T381"/>
    <mergeCell ref="V380:AH381"/>
    <mergeCell ref="AJ380:AP381"/>
    <mergeCell ref="AR380:BF381"/>
    <mergeCell ref="AJ429:AP430"/>
    <mergeCell ref="AR429:BA430"/>
    <mergeCell ref="BD429:BF429"/>
    <mergeCell ref="BD430:BF430"/>
    <mergeCell ref="BD432:BF432"/>
    <mergeCell ref="BD427:BF427"/>
    <mergeCell ref="AJ398:AN398"/>
    <mergeCell ref="F403:X404"/>
    <mergeCell ref="Z403:AH404"/>
    <mergeCell ref="AI403:AP404"/>
    <mergeCell ref="AQ403:BG404"/>
    <mergeCell ref="BB421:BB438"/>
    <mergeCell ref="BD421:BF421"/>
    <mergeCell ref="BD422:BF422"/>
    <mergeCell ref="BD423:BF423"/>
    <mergeCell ref="X424:AF424"/>
    <mergeCell ref="AJ424:AN424"/>
    <mergeCell ref="BD424:BF424"/>
    <mergeCell ref="X425:AF425"/>
    <mergeCell ref="BD425:BF425"/>
    <mergeCell ref="AJ374:AN374"/>
    <mergeCell ref="AX307:BD307"/>
    <mergeCell ref="C314:Q314"/>
    <mergeCell ref="X314:AL314"/>
    <mergeCell ref="AQ314:BH314"/>
    <mergeCell ref="AD350:AH350"/>
    <mergeCell ref="AJ350:AN350"/>
    <mergeCell ref="AR350:AT350"/>
    <mergeCell ref="F307:H307"/>
    <mergeCell ref="J307:L307"/>
    <mergeCell ref="N307:P307"/>
    <mergeCell ref="AJ307:AL307"/>
    <mergeCell ref="AN307:AP307"/>
    <mergeCell ref="AR307:AT307"/>
    <mergeCell ref="E355:P356"/>
    <mergeCell ref="Q355:AB356"/>
    <mergeCell ref="AC355:AI356"/>
    <mergeCell ref="AJ355:AP356"/>
    <mergeCell ref="AQ355:AT356"/>
    <mergeCell ref="AV355:BF357"/>
    <mergeCell ref="AD361:AH361"/>
    <mergeCell ref="AJ361:AN361"/>
    <mergeCell ref="AR361:AT361"/>
    <mergeCell ref="F306:H306"/>
    <mergeCell ref="J306:L306"/>
    <mergeCell ref="N306:P306"/>
    <mergeCell ref="AJ306:AL306"/>
    <mergeCell ref="AN306:AP306"/>
    <mergeCell ref="AR306:AT306"/>
    <mergeCell ref="F305:H305"/>
    <mergeCell ref="J305:L305"/>
    <mergeCell ref="N305:P305"/>
    <mergeCell ref="AJ305:AL305"/>
    <mergeCell ref="AN305:AP305"/>
    <mergeCell ref="AR305:AT305"/>
    <mergeCell ref="F304:H304"/>
    <mergeCell ref="J304:L304"/>
    <mergeCell ref="N304:P304"/>
    <mergeCell ref="AJ304:AL304"/>
    <mergeCell ref="AN304:AP304"/>
    <mergeCell ref="AR304:AT304"/>
    <mergeCell ref="AB275:AF275"/>
    <mergeCell ref="AJ295:AN295"/>
    <mergeCell ref="AR295:AT295"/>
    <mergeCell ref="AR296:AT296"/>
    <mergeCell ref="F300:P301"/>
    <mergeCell ref="R300:AB301"/>
    <mergeCell ref="AC300:AI301"/>
    <mergeCell ref="AJ300:AP301"/>
    <mergeCell ref="AR300:BF301"/>
    <mergeCell ref="H273:R273"/>
    <mergeCell ref="AL273:AN273"/>
    <mergeCell ref="AX273:BD273"/>
    <mergeCell ref="H274:J274"/>
    <mergeCell ref="V274:Z274"/>
    <mergeCell ref="AB274:AF274"/>
    <mergeCell ref="AX247:AZ247"/>
    <mergeCell ref="AH261:AH277"/>
    <mergeCell ref="V263:X263"/>
    <mergeCell ref="V264:X264"/>
    <mergeCell ref="Z264:AF264"/>
    <mergeCell ref="AJ264:AN264"/>
    <mergeCell ref="V265:X265"/>
    <mergeCell ref="V269:AG270"/>
    <mergeCell ref="AJ269:AP269"/>
    <mergeCell ref="V275:Z275"/>
    <mergeCell ref="AX245:AZ245"/>
    <mergeCell ref="F246:H246"/>
    <mergeCell ref="J246:L246"/>
    <mergeCell ref="AX246:AZ246"/>
    <mergeCell ref="AX239:AZ239"/>
    <mergeCell ref="AX240:AZ240"/>
    <mergeCell ref="AX241:AZ241"/>
    <mergeCell ref="AX242:AZ242"/>
    <mergeCell ref="F243:H243"/>
    <mergeCell ref="J243:L243"/>
    <mergeCell ref="AX243:AZ243"/>
    <mergeCell ref="AX221:AZ221"/>
    <mergeCell ref="AX232:AZ232"/>
    <mergeCell ref="F233:H233"/>
    <mergeCell ref="J233:L233"/>
    <mergeCell ref="AX233:AZ233"/>
    <mergeCell ref="F234:H234"/>
    <mergeCell ref="J234:L234"/>
    <mergeCell ref="AV234:AV245"/>
    <mergeCell ref="AX234:AZ234"/>
    <mergeCell ref="F235:H235"/>
    <mergeCell ref="J235:L235"/>
    <mergeCell ref="P235:P245"/>
    <mergeCell ref="AX235:AZ235"/>
    <mergeCell ref="F236:H236"/>
    <mergeCell ref="J236:L236"/>
    <mergeCell ref="AX236:AZ236"/>
    <mergeCell ref="AX237:AZ237"/>
    <mergeCell ref="AX238:AZ238"/>
    <mergeCell ref="F239:O240"/>
    <mergeCell ref="AL239:AU240"/>
    <mergeCell ref="F244:H244"/>
    <mergeCell ref="J244:L244"/>
    <mergeCell ref="F245:H245"/>
    <mergeCell ref="J245:L245"/>
    <mergeCell ref="F219:H219"/>
    <mergeCell ref="J219:L219"/>
    <mergeCell ref="AX219:AZ219"/>
    <mergeCell ref="AX220:AZ220"/>
    <mergeCell ref="AX215:AZ215"/>
    <mergeCell ref="F216:H216"/>
    <mergeCell ref="J216:L216"/>
    <mergeCell ref="AX216:AZ216"/>
    <mergeCell ref="F217:H217"/>
    <mergeCell ref="J217:L217"/>
    <mergeCell ref="AX217:AZ217"/>
    <mergeCell ref="AL193:AN193"/>
    <mergeCell ref="P206:P221"/>
    <mergeCell ref="AV206:AV221"/>
    <mergeCell ref="AX206:AZ206"/>
    <mergeCell ref="F207:H207"/>
    <mergeCell ref="J207:L207"/>
    <mergeCell ref="AX207:AZ207"/>
    <mergeCell ref="F208:H208"/>
    <mergeCell ref="J208:L208"/>
    <mergeCell ref="AX208:AZ208"/>
    <mergeCell ref="AX211:AZ211"/>
    <mergeCell ref="AX212:AZ212"/>
    <mergeCell ref="F213:N214"/>
    <mergeCell ref="AL213:AU214"/>
    <mergeCell ref="AX213:AZ213"/>
    <mergeCell ref="AX214:AZ214"/>
    <mergeCell ref="F209:H209"/>
    <mergeCell ref="J209:L209"/>
    <mergeCell ref="AX209:AZ209"/>
    <mergeCell ref="F210:H210"/>
    <mergeCell ref="J210:L210"/>
    <mergeCell ref="AX210:AZ210"/>
    <mergeCell ref="F218:H218"/>
    <mergeCell ref="J218:L218"/>
    <mergeCell ref="AR163:BF164"/>
    <mergeCell ref="AL169:AN169"/>
    <mergeCell ref="X182:AF182"/>
    <mergeCell ref="AJ182:AN182"/>
    <mergeCell ref="X183:AF183"/>
    <mergeCell ref="F187:AH188"/>
    <mergeCell ref="AJ187:AP188"/>
    <mergeCell ref="AQ187:BG188"/>
    <mergeCell ref="AH142:AJ142"/>
    <mergeCell ref="AL142:AN142"/>
    <mergeCell ref="N151:P151"/>
    <mergeCell ref="AJ158:AN158"/>
    <mergeCell ref="E163:T164"/>
    <mergeCell ref="V163:AH164"/>
    <mergeCell ref="AI163:AP164"/>
    <mergeCell ref="J142:L142"/>
    <mergeCell ref="N142:P142"/>
    <mergeCell ref="R142:T142"/>
    <mergeCell ref="V142:X142"/>
    <mergeCell ref="Z142:AB142"/>
    <mergeCell ref="AD142:AF142"/>
    <mergeCell ref="Z140:AB140"/>
    <mergeCell ref="AD140:AF140"/>
    <mergeCell ref="AH140:AJ140"/>
    <mergeCell ref="AL140:AN140"/>
    <mergeCell ref="R141:T141"/>
    <mergeCell ref="V141:X141"/>
    <mergeCell ref="Z141:AB141"/>
    <mergeCell ref="AD141:AF141"/>
    <mergeCell ref="AH141:AJ141"/>
    <mergeCell ref="AL141:AN141"/>
    <mergeCell ref="F135:AB136"/>
    <mergeCell ref="AD135:AI136"/>
    <mergeCell ref="AJ135:AP136"/>
    <mergeCell ref="AQ135:AT136"/>
    <mergeCell ref="AV135:BF136"/>
    <mergeCell ref="AD139:AF139"/>
    <mergeCell ref="AH139:AJ139"/>
    <mergeCell ref="AL139:AN139"/>
    <mergeCell ref="AJ130:AN130"/>
    <mergeCell ref="AR130:AT130"/>
    <mergeCell ref="H131:L131"/>
    <mergeCell ref="R131:T131"/>
    <mergeCell ref="V131:X131"/>
    <mergeCell ref="Z131:AB131"/>
    <mergeCell ref="AR131:AT131"/>
    <mergeCell ref="H129:L129"/>
    <mergeCell ref="R129:T129"/>
    <mergeCell ref="V129:X129"/>
    <mergeCell ref="Z129:AB129"/>
    <mergeCell ref="H130:L130"/>
    <mergeCell ref="R130:T130"/>
    <mergeCell ref="V130:X130"/>
    <mergeCell ref="Z130:AB130"/>
    <mergeCell ref="F117:H117"/>
    <mergeCell ref="J117:L117"/>
    <mergeCell ref="N117:P117"/>
    <mergeCell ref="AD117:AF117"/>
    <mergeCell ref="AH117:AJ117"/>
    <mergeCell ref="AL117:AN117"/>
    <mergeCell ref="AX115:BD115"/>
    <mergeCell ref="F116:H116"/>
    <mergeCell ref="J116:L116"/>
    <mergeCell ref="N116:P116"/>
    <mergeCell ref="AD116:AF116"/>
    <mergeCell ref="AH116:AJ116"/>
    <mergeCell ref="AL116:AN116"/>
    <mergeCell ref="AX116:BD116"/>
    <mergeCell ref="F115:H115"/>
    <mergeCell ref="J115:L115"/>
    <mergeCell ref="N115:P115"/>
    <mergeCell ref="AD115:AF115"/>
    <mergeCell ref="AH115:AJ115"/>
    <mergeCell ref="AL115:AN115"/>
    <mergeCell ref="F114:H114"/>
    <mergeCell ref="J114:L114"/>
    <mergeCell ref="N114:P114"/>
    <mergeCell ref="AD114:AF114"/>
    <mergeCell ref="AH114:AJ114"/>
    <mergeCell ref="AL114:AN114"/>
    <mergeCell ref="E110:P111"/>
    <mergeCell ref="Q110:AB111"/>
    <mergeCell ref="AC110:AH111"/>
    <mergeCell ref="AI110:AP111"/>
    <mergeCell ref="AQ110:AT111"/>
    <mergeCell ref="AV110:BF111"/>
    <mergeCell ref="AJ77:AN77"/>
    <mergeCell ref="F82:X83"/>
    <mergeCell ref="Z82:AH83"/>
    <mergeCell ref="AI82:AP83"/>
    <mergeCell ref="AQ82:BG83"/>
    <mergeCell ref="AJ105:AN105"/>
    <mergeCell ref="AR105:AT105"/>
    <mergeCell ref="AV25:BF27"/>
    <mergeCell ref="AZ30:BF30"/>
    <mergeCell ref="AJ47:AN47"/>
    <mergeCell ref="F52:T53"/>
    <mergeCell ref="V52:AH53"/>
    <mergeCell ref="AJ52:AP53"/>
    <mergeCell ref="AR52:BF53"/>
    <mergeCell ref="AD20:AH20"/>
    <mergeCell ref="AJ20:AN20"/>
    <mergeCell ref="AR20:AT20"/>
    <mergeCell ref="F25:P26"/>
    <mergeCell ref="R25:AB26"/>
    <mergeCell ref="AD25:AI26"/>
    <mergeCell ref="AJ25:AP26"/>
    <mergeCell ref="AQ25:AT26"/>
  </mergeCells>
  <printOptions horizontalCentered="1"/>
  <pageMargins left="0.25" right="0.25" top="0.75" bottom="0.75" header="0.3" footer="0.3"/>
  <pageSetup scale="10" fitToHeight="5" orientation="landscape" horizontalDpi="1200" verticalDpi="1200" r:id="rId1"/>
  <rowBreaks count="6" manualBreakCount="6">
    <brk id="121" min="2" max="62" man="1"/>
    <brk id="174" min="2" max="62" man="1"/>
    <brk id="223" min="2" max="62" man="1"/>
    <brk id="280" min="2" max="62" man="1"/>
    <brk id="342" min="2" max="60" man="1"/>
    <brk id="391" min="2" max="62"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7CCB-2737-DA41-8B02-32C9BAFEB466}">
  <dimension ref="B1:BM451"/>
  <sheetViews>
    <sheetView topLeftCell="B1" zoomScale="20" zoomScaleNormal="20" zoomScaleSheetLayoutView="23" zoomScalePageLayoutView="30" workbookViewId="0">
      <selection activeCell="V276" sqref="V276"/>
    </sheetView>
  </sheetViews>
  <sheetFormatPr baseColWidth="10" defaultColWidth="10.6640625" defaultRowHeight="100" customHeight="1" x14ac:dyDescent="1"/>
  <cols>
    <col min="1" max="1" width="17.33203125" style="354" customWidth="1"/>
    <col min="2" max="2" width="21.1640625" style="354" customWidth="1"/>
    <col min="3" max="3" width="2.33203125" style="408" customWidth="1"/>
    <col min="4" max="4" width="3.83203125" style="354" customWidth="1"/>
    <col min="5" max="5" width="2.33203125" style="354" customWidth="1"/>
    <col min="6" max="6" width="43" style="354" customWidth="1"/>
    <col min="7" max="7" width="6.6640625" style="354" customWidth="1"/>
    <col min="8" max="8" width="57.1640625" style="354" customWidth="1"/>
    <col min="9" max="9" width="2.33203125" style="354" customWidth="1"/>
    <col min="10" max="10" width="38.83203125" style="354" customWidth="1"/>
    <col min="11" max="11" width="2.33203125" style="354" customWidth="1"/>
    <col min="12" max="12" width="38.83203125" style="354" customWidth="1"/>
    <col min="13" max="13" width="2.33203125" style="354" customWidth="1"/>
    <col min="14" max="14" width="61.83203125" style="354" customWidth="1"/>
    <col min="15" max="15" width="2.33203125" style="354" customWidth="1"/>
    <col min="16" max="16" width="38.83203125" style="354" customWidth="1"/>
    <col min="17" max="17" width="2.33203125" style="354" customWidth="1"/>
    <col min="18" max="18" width="57.33203125" style="354" customWidth="1"/>
    <col min="19" max="19" width="2.33203125" style="354" customWidth="1"/>
    <col min="20" max="20" width="50.5" style="354" customWidth="1"/>
    <col min="21" max="21" width="2.33203125" style="354" customWidth="1"/>
    <col min="22" max="22" width="38.83203125" style="354" customWidth="1"/>
    <col min="23" max="23" width="2.33203125" style="354" customWidth="1"/>
    <col min="24" max="24" width="38.83203125" style="354" customWidth="1"/>
    <col min="25" max="25" width="2.33203125" style="354" customWidth="1"/>
    <col min="26" max="26" width="38.83203125" style="354" customWidth="1"/>
    <col min="27" max="27" width="2.33203125" style="354" customWidth="1"/>
    <col min="28" max="28" width="38.83203125" style="354" customWidth="1"/>
    <col min="29" max="29" width="2.33203125" style="354" customWidth="1"/>
    <col min="30" max="30" width="38.83203125" style="354" customWidth="1"/>
    <col min="31" max="31" width="2.33203125" style="354" customWidth="1"/>
    <col min="32" max="32" width="38.83203125" style="354" customWidth="1"/>
    <col min="33" max="33" width="2.33203125" style="354" customWidth="1"/>
    <col min="34" max="34" width="38.83203125" style="354" customWidth="1"/>
    <col min="35" max="35" width="2.33203125" style="354" customWidth="1"/>
    <col min="36" max="36" width="38.83203125" style="354" customWidth="1"/>
    <col min="37" max="37" width="2.33203125" style="354" customWidth="1"/>
    <col min="38" max="38" width="38.83203125" style="354" customWidth="1"/>
    <col min="39" max="39" width="2.33203125" style="354" customWidth="1"/>
    <col min="40" max="40" width="57" style="354" customWidth="1"/>
    <col min="41" max="41" width="2.33203125" style="354" customWidth="1"/>
    <col min="42" max="42" width="38.83203125" style="354" customWidth="1"/>
    <col min="43" max="43" width="2.83203125" style="354" customWidth="1"/>
    <col min="44" max="44" width="38.83203125" style="354" customWidth="1"/>
    <col min="45" max="45" width="2.33203125" style="354" customWidth="1"/>
    <col min="46" max="46" width="38.83203125" style="354" customWidth="1"/>
    <col min="47" max="47" width="2.33203125" style="354" customWidth="1"/>
    <col min="48" max="48" width="38.83203125" style="354" customWidth="1"/>
    <col min="49" max="49" width="2.33203125" style="354" customWidth="1"/>
    <col min="50" max="50" width="49.33203125" style="354" customWidth="1"/>
    <col min="51" max="51" width="2.33203125" style="354" customWidth="1"/>
    <col min="52" max="52" width="50.1640625" style="354" customWidth="1"/>
    <col min="53" max="53" width="2.33203125" style="354" customWidth="1"/>
    <col min="54" max="54" width="38.83203125" style="354" customWidth="1"/>
    <col min="55" max="55" width="2.33203125" style="354" customWidth="1"/>
    <col min="56" max="56" width="38.83203125" style="354" customWidth="1"/>
    <col min="57" max="57" width="2.5" style="354" customWidth="1"/>
    <col min="58" max="58" width="38.83203125" style="354" customWidth="1"/>
    <col min="59" max="59" width="2.33203125" style="354" customWidth="1"/>
    <col min="60" max="60" width="8.83203125" style="354" customWidth="1"/>
    <col min="61" max="61" width="3.1640625" style="354" customWidth="1"/>
    <col min="62" max="62" width="12" style="354" customWidth="1"/>
    <col min="63" max="65" width="10.6640625" style="354"/>
    <col min="66" max="66" width="3.83203125" style="354" customWidth="1"/>
    <col min="67" max="16384" width="10.6640625" style="354"/>
  </cols>
  <sheetData>
    <row r="1" spans="3:60" ht="100" customHeight="1" x14ac:dyDescent="1">
      <c r="V1" s="1370"/>
      <c r="W1" s="573"/>
      <c r="X1" s="573"/>
      <c r="Y1" s="573"/>
      <c r="Z1" s="1370"/>
      <c r="AA1" s="408"/>
      <c r="AB1" s="408"/>
      <c r="AC1" s="408"/>
      <c r="AD1" s="356"/>
      <c r="AE1" s="356"/>
      <c r="AF1" s="356"/>
      <c r="AG1" s="356"/>
      <c r="AH1" s="573"/>
      <c r="AZ1" s="356"/>
      <c r="BA1" s="356"/>
      <c r="BB1" s="356"/>
      <c r="BC1" s="356"/>
      <c r="BD1" s="356"/>
      <c r="BE1" s="356"/>
    </row>
    <row r="2" spans="3:60" s="1426" customFormat="1" ht="100" customHeight="1" x14ac:dyDescent="1.2">
      <c r="C2" s="1431"/>
      <c r="F2" s="1426" t="s">
        <v>254</v>
      </c>
      <c r="V2" s="1431"/>
      <c r="W2" s="1431"/>
      <c r="X2" s="1431"/>
      <c r="Y2" s="1431"/>
      <c r="Z2" s="1431"/>
      <c r="AA2" s="1431"/>
      <c r="AB2" s="1431"/>
      <c r="AC2" s="1431"/>
      <c r="AD2" s="1432"/>
      <c r="AE2" s="1432"/>
      <c r="AF2" s="1432"/>
      <c r="AG2" s="1432"/>
      <c r="AH2" s="1432"/>
      <c r="AI2" s="1432"/>
      <c r="AJ2" s="1432"/>
      <c r="AK2" s="1432"/>
      <c r="AL2" s="1432"/>
      <c r="AM2" s="1432"/>
      <c r="AN2" s="1432"/>
      <c r="AO2" s="1432"/>
      <c r="AP2" s="1432"/>
      <c r="AQ2" s="1432"/>
      <c r="AR2" s="1432"/>
      <c r="AS2" s="1432"/>
      <c r="AT2" s="1432"/>
      <c r="AU2" s="1432"/>
      <c r="AV2" s="1432"/>
      <c r="AW2" s="1432"/>
      <c r="AZ2" s="1432"/>
      <c r="BA2" s="1432"/>
      <c r="BB2" s="1432"/>
      <c r="BC2" s="1432"/>
      <c r="BD2" s="1432"/>
      <c r="BE2" s="1432"/>
    </row>
    <row r="3" spans="3:60" s="1429" customFormat="1" ht="100" customHeight="1" x14ac:dyDescent="1.2">
      <c r="C3" s="1432"/>
      <c r="F3" s="1433"/>
      <c r="G3" s="1433"/>
    </row>
    <row r="4" spans="3:60" s="1429" customFormat="1" ht="190" customHeight="1" x14ac:dyDescent="1.2">
      <c r="C4" s="1432"/>
      <c r="F4" s="1434" t="s">
        <v>161</v>
      </c>
      <c r="G4" s="1434"/>
      <c r="H4" s="1435"/>
      <c r="I4" s="1435"/>
      <c r="J4" s="1435"/>
      <c r="K4" s="1435"/>
      <c r="L4" s="1435"/>
      <c r="M4" s="1435"/>
      <c r="N4" s="1435"/>
      <c r="O4" s="1435"/>
      <c r="P4" s="1435"/>
      <c r="Q4" s="1435"/>
      <c r="R4" s="1435"/>
      <c r="S4" s="1435"/>
      <c r="T4" s="1435"/>
      <c r="U4" s="1435"/>
      <c r="V4" s="1435"/>
      <c r="W4" s="1435"/>
      <c r="X4" s="1435"/>
      <c r="Y4" s="1435"/>
      <c r="Z4" s="1435"/>
      <c r="AA4" s="1435"/>
      <c r="AB4" s="1435"/>
      <c r="AC4" s="1435"/>
      <c r="AD4" s="1435"/>
      <c r="AE4" s="1435"/>
      <c r="AF4" s="1435"/>
      <c r="AG4" s="1435"/>
      <c r="AH4" s="1435"/>
      <c r="AI4" s="1435"/>
      <c r="AJ4" s="1435"/>
      <c r="AK4" s="1435"/>
      <c r="AL4" s="1435"/>
      <c r="AM4" s="1435"/>
      <c r="AN4" s="1435"/>
      <c r="AO4" s="1435"/>
      <c r="AP4" s="1435"/>
      <c r="AQ4" s="1435"/>
      <c r="AR4" s="1435"/>
      <c r="AS4" s="1435"/>
      <c r="AT4" s="1435"/>
      <c r="AU4" s="1435"/>
      <c r="AV4" s="1435"/>
      <c r="AW4" s="1435"/>
      <c r="AX4" s="1435"/>
      <c r="AY4" s="1435"/>
      <c r="AZ4" s="1435"/>
      <c r="BA4" s="1435"/>
      <c r="BB4" s="1435"/>
      <c r="BC4" s="1435"/>
      <c r="BD4" s="1435"/>
      <c r="BE4" s="1435"/>
      <c r="BF4" s="1435"/>
      <c r="BG4" s="1435"/>
      <c r="BH4" s="1435"/>
    </row>
    <row r="5" spans="3:60" s="1426" customFormat="1" ht="100" customHeight="1" x14ac:dyDescent="1.2">
      <c r="C5" s="1431"/>
      <c r="F5" s="1436"/>
      <c r="G5" s="1436"/>
      <c r="AF5" s="1429"/>
      <c r="AG5" s="1429"/>
      <c r="AH5" s="1429"/>
    </row>
    <row r="6" spans="3:60" s="1426" customFormat="1" ht="100" customHeight="1" x14ac:dyDescent="1.2">
      <c r="C6" s="1431"/>
      <c r="F6" s="1436" t="s">
        <v>145</v>
      </c>
      <c r="G6" s="1436"/>
      <c r="P6" s="1427" t="s">
        <v>134</v>
      </c>
      <c r="Q6" s="1427"/>
      <c r="R6" s="1437">
        <v>20000</v>
      </c>
      <c r="S6" s="1438"/>
      <c r="AF6" s="1422" t="s">
        <v>231</v>
      </c>
      <c r="AG6" s="1422"/>
      <c r="AH6" s="1423" t="s">
        <v>151</v>
      </c>
      <c r="AI6" s="1423"/>
      <c r="AJ6" s="1424" t="s">
        <v>243</v>
      </c>
      <c r="AK6" s="1424"/>
      <c r="AL6" s="1425"/>
      <c r="AM6" s="1425"/>
      <c r="AN6" s="1425"/>
      <c r="AO6" s="1425"/>
    </row>
    <row r="7" spans="3:60" s="1426" customFormat="1" ht="100" customHeight="1" x14ac:dyDescent="1.2">
      <c r="C7" s="1431"/>
      <c r="F7" s="1436"/>
      <c r="G7" s="1436"/>
      <c r="P7" s="1427" t="s">
        <v>143</v>
      </c>
      <c r="Q7" s="1427"/>
      <c r="R7" s="1439">
        <f>SUM(H21+H32+T21+T32+AF32+AX32)</f>
        <v>18900</v>
      </c>
      <c r="S7" s="1440"/>
      <c r="AB7" s="1429"/>
      <c r="AC7" s="1429"/>
      <c r="AD7" s="1429"/>
      <c r="AE7" s="1429"/>
      <c r="AH7" s="1427" t="s">
        <v>151</v>
      </c>
      <c r="AI7" s="1427"/>
      <c r="AJ7" s="1426" t="s">
        <v>244</v>
      </c>
      <c r="AL7" s="1428"/>
      <c r="AM7" s="1428"/>
      <c r="AN7" s="1428"/>
      <c r="AO7" s="1428"/>
    </row>
    <row r="8" spans="3:60" s="1426" customFormat="1" ht="100" customHeight="1" x14ac:dyDescent="1.2">
      <c r="C8" s="1431"/>
      <c r="F8" s="1436"/>
      <c r="G8" s="1436"/>
      <c r="N8" s="1429"/>
      <c r="O8" s="1429"/>
      <c r="P8" s="1441" t="s">
        <v>156</v>
      </c>
      <c r="Q8" s="1441"/>
      <c r="R8" s="1442">
        <f>R6-R7</f>
        <v>1100</v>
      </c>
      <c r="S8" s="1438"/>
      <c r="T8" s="1429" t="s">
        <v>33</v>
      </c>
      <c r="AB8" s="1429"/>
      <c r="AC8" s="1429"/>
      <c r="AD8" s="1429"/>
      <c r="AE8" s="1429"/>
      <c r="AH8" s="1427" t="s">
        <v>151</v>
      </c>
      <c r="AI8" s="1427"/>
      <c r="AJ8" s="1426" t="s">
        <v>245</v>
      </c>
    </row>
    <row r="9" spans="3:60" s="1426" customFormat="1" ht="100" customHeight="1" x14ac:dyDescent="1.2">
      <c r="C9" s="1431"/>
      <c r="AB9" s="1429"/>
      <c r="AC9" s="1429"/>
      <c r="AD9" s="1429"/>
      <c r="AE9" s="1429"/>
      <c r="AH9" s="1427" t="s">
        <v>151</v>
      </c>
      <c r="AI9" s="1427"/>
      <c r="AJ9" s="1426" t="s">
        <v>163</v>
      </c>
    </row>
    <row r="10" spans="3:60" s="1426" customFormat="1" ht="100" customHeight="1" x14ac:dyDescent="1.2">
      <c r="C10" s="1431"/>
      <c r="AB10" s="1429"/>
      <c r="AC10" s="1429"/>
      <c r="AD10" s="1429"/>
      <c r="AE10" s="1429"/>
      <c r="AJ10" s="1429"/>
      <c r="AK10" s="1429"/>
      <c r="AL10" s="1429" t="s">
        <v>276</v>
      </c>
      <c r="AM10" s="1429"/>
      <c r="AN10" s="1429"/>
      <c r="AO10" s="1429"/>
      <c r="AP10" s="1430"/>
      <c r="AQ10" s="1430"/>
      <c r="AR10" s="1429"/>
      <c r="AS10" s="1429"/>
      <c r="AT10" s="1429"/>
      <c r="AU10" s="1429"/>
      <c r="AV10" s="1429"/>
      <c r="AW10" s="1429"/>
      <c r="AX10" s="1429"/>
    </row>
    <row r="11" spans="3:60" s="1426" customFormat="1" ht="100" customHeight="1" x14ac:dyDescent="1.2">
      <c r="C11" s="1431"/>
      <c r="AH11" s="1427" t="s">
        <v>151</v>
      </c>
      <c r="AJ11" s="1429" t="s">
        <v>201</v>
      </c>
      <c r="AK11" s="1429"/>
      <c r="AL11" s="1429"/>
      <c r="AM11" s="1429"/>
      <c r="AN11" s="1429"/>
      <c r="AO11" s="1429"/>
      <c r="AP11" s="1430"/>
      <c r="AQ11" s="1430"/>
      <c r="AR11" s="1429"/>
      <c r="AS11" s="1429"/>
      <c r="AT11" s="1429"/>
      <c r="AU11" s="1429"/>
      <c r="AV11" s="1429"/>
      <c r="AW11" s="1429"/>
      <c r="AX11" s="1429"/>
    </row>
    <row r="12" spans="3:60" s="1426" customFormat="1" ht="100" customHeight="1" x14ac:dyDescent="1.2">
      <c r="C12" s="1431"/>
      <c r="AJ12" s="1429" t="s">
        <v>274</v>
      </c>
      <c r="AK12" s="1429"/>
      <c r="AL12" s="1429"/>
      <c r="AM12" s="1429"/>
      <c r="AN12" s="1429"/>
      <c r="AO12" s="1429"/>
      <c r="AP12" s="1430"/>
      <c r="AQ12" s="1430"/>
      <c r="AR12" s="1429"/>
      <c r="AS12" s="1429"/>
      <c r="AT12" s="1429"/>
      <c r="AU12" s="1429"/>
      <c r="AV12" s="1429"/>
      <c r="AW12" s="1429"/>
      <c r="AX12" s="1429"/>
    </row>
    <row r="13" spans="3:60" s="1426" customFormat="1" ht="100" customHeight="1" x14ac:dyDescent="1.2">
      <c r="C13" s="1431"/>
      <c r="AJ13" s="1429" t="s">
        <v>203</v>
      </c>
      <c r="AK13" s="1429"/>
      <c r="AL13" s="1429"/>
      <c r="AM13" s="1429"/>
      <c r="AN13" s="1429"/>
      <c r="AO13" s="1429"/>
      <c r="AP13" s="1430"/>
      <c r="AQ13" s="1430"/>
      <c r="AR13" s="1429"/>
      <c r="AS13" s="1429"/>
      <c r="AT13" s="1429"/>
      <c r="AU13" s="1429"/>
      <c r="AV13" s="1429"/>
      <c r="AW13" s="1429"/>
      <c r="AX13" s="1429"/>
    </row>
    <row r="14" spans="3:60" s="1426" customFormat="1" ht="100" customHeight="1" x14ac:dyDescent="1.2">
      <c r="C14" s="1431"/>
      <c r="AJ14" s="1429" t="s">
        <v>202</v>
      </c>
      <c r="AK14" s="1429"/>
      <c r="AL14" s="1429"/>
      <c r="AM14" s="1429"/>
      <c r="AN14" s="1429"/>
      <c r="AO14" s="1429"/>
      <c r="AP14" s="1430"/>
      <c r="AQ14" s="1430"/>
      <c r="AR14" s="1429"/>
      <c r="AS14" s="1429"/>
      <c r="AT14" s="1429"/>
      <c r="AU14" s="1429"/>
      <c r="AV14" s="1429"/>
      <c r="AW14" s="1429"/>
      <c r="AX14" s="1429"/>
    </row>
    <row r="15" spans="3:60" ht="60" customHeight="1" thickBot="1" x14ac:dyDescent="1.05">
      <c r="AD15" s="697"/>
      <c r="AE15" s="697"/>
      <c r="AF15" s="697"/>
      <c r="AG15" s="697"/>
      <c r="AH15" s="697"/>
      <c r="AI15" s="697"/>
      <c r="AQ15" s="697"/>
      <c r="AR15" s="697"/>
      <c r="AS15" s="697"/>
      <c r="AT15" s="697"/>
      <c r="AU15" s="372"/>
      <c r="BG15" s="372"/>
    </row>
    <row r="16" spans="3:60" ht="8" customHeight="1" thickTop="1" thickBot="1" x14ac:dyDescent="1.05">
      <c r="E16" s="698"/>
      <c r="F16" s="477"/>
      <c r="G16" s="476"/>
      <c r="H16" s="476"/>
      <c r="I16" s="476"/>
      <c r="J16" s="476"/>
      <c r="K16" s="476"/>
      <c r="L16" s="476"/>
      <c r="M16" s="476"/>
      <c r="N16" s="699"/>
      <c r="O16" s="476"/>
      <c r="P16" s="700"/>
      <c r="Q16" s="476"/>
      <c r="R16" s="477"/>
      <c r="S16" s="476"/>
      <c r="T16" s="476"/>
      <c r="U16" s="476"/>
      <c r="V16" s="476"/>
      <c r="W16" s="476"/>
      <c r="X16" s="699"/>
      <c r="Y16" s="476"/>
      <c r="Z16" s="701"/>
      <c r="AA16" s="476"/>
      <c r="AB16" s="478"/>
      <c r="AC16" s="702"/>
      <c r="AD16" s="703"/>
      <c r="AE16" s="703"/>
      <c r="AF16" s="703"/>
      <c r="AG16" s="703"/>
      <c r="AH16" s="704"/>
      <c r="AI16" s="704"/>
      <c r="AJ16" s="392"/>
      <c r="AK16" s="392"/>
      <c r="AL16" s="392"/>
      <c r="AM16" s="392"/>
      <c r="AN16" s="392"/>
      <c r="AO16" s="392"/>
      <c r="AP16" s="392"/>
      <c r="AQ16" s="705"/>
      <c r="AR16" s="706"/>
      <c r="AS16" s="707"/>
      <c r="AT16" s="708"/>
      <c r="AU16" s="465"/>
      <c r="AV16" s="476"/>
      <c r="AW16" s="476"/>
      <c r="AX16" s="476"/>
      <c r="AY16" s="476"/>
      <c r="AZ16" s="476"/>
      <c r="BA16" s="476"/>
      <c r="BB16" s="476"/>
      <c r="BC16" s="476"/>
      <c r="BD16" s="476"/>
      <c r="BE16" s="476"/>
      <c r="BF16" s="478"/>
      <c r="BG16" s="471"/>
    </row>
    <row r="17" spans="4:63" ht="100" customHeight="1" thickTop="1" x14ac:dyDescent="1">
      <c r="E17" s="466"/>
      <c r="F17" s="508"/>
      <c r="G17" s="386"/>
      <c r="H17" s="386"/>
      <c r="I17" s="386"/>
      <c r="J17" s="386"/>
      <c r="K17" s="386"/>
      <c r="L17" s="386"/>
      <c r="M17" s="386"/>
      <c r="N17" s="392"/>
      <c r="O17" s="392"/>
      <c r="P17" s="505"/>
      <c r="Q17" s="465"/>
      <c r="R17" s="508"/>
      <c r="S17" s="386"/>
      <c r="T17" s="386"/>
      <c r="U17" s="386"/>
      <c r="V17" s="386"/>
      <c r="W17" s="386"/>
      <c r="X17" s="386"/>
      <c r="Y17" s="386"/>
      <c r="Z17" s="386"/>
      <c r="AA17" s="386"/>
      <c r="AB17" s="505"/>
      <c r="AC17" s="465"/>
      <c r="AD17" s="709"/>
      <c r="AE17" s="710"/>
      <c r="AF17" s="710"/>
      <c r="AG17" s="710"/>
      <c r="AH17" s="711"/>
      <c r="AI17" s="704"/>
      <c r="AJ17" s="388"/>
      <c r="AK17" s="388"/>
      <c r="AL17" s="388"/>
      <c r="AM17" s="388"/>
      <c r="AN17" s="388"/>
      <c r="AO17" s="388"/>
      <c r="AP17" s="391"/>
      <c r="AQ17" s="712"/>
      <c r="AR17" s="713"/>
      <c r="AS17" s="714"/>
      <c r="AT17" s="715"/>
      <c r="AU17" s="469"/>
      <c r="AV17" s="716"/>
      <c r="AW17" s="716"/>
      <c r="AX17" s="716"/>
      <c r="AY17" s="716"/>
      <c r="AZ17" s="717"/>
      <c r="BA17" s="717"/>
      <c r="BB17" s="716"/>
      <c r="BC17" s="716"/>
      <c r="BD17" s="716"/>
      <c r="BE17" s="716"/>
      <c r="BF17" s="718"/>
      <c r="BG17" s="471"/>
    </row>
    <row r="18" spans="4:63" ht="100" customHeight="1" x14ac:dyDescent="1">
      <c r="E18" s="466"/>
      <c r="F18" s="508"/>
      <c r="G18" s="386"/>
      <c r="H18" s="386"/>
      <c r="I18" s="386"/>
      <c r="J18" s="386"/>
      <c r="K18" s="386"/>
      <c r="L18" s="386"/>
      <c r="M18" s="386"/>
      <c r="N18" s="392"/>
      <c r="O18" s="392"/>
      <c r="P18" s="505"/>
      <c r="Q18" s="465"/>
      <c r="R18" s="508"/>
      <c r="S18" s="386"/>
      <c r="T18" s="386"/>
      <c r="U18" s="386"/>
      <c r="V18" s="386"/>
      <c r="W18" s="386"/>
      <c r="X18" s="386"/>
      <c r="Y18" s="386"/>
      <c r="Z18" s="386"/>
      <c r="AA18" s="386"/>
      <c r="AB18" s="505"/>
      <c r="AC18" s="465"/>
      <c r="AD18" s="719"/>
      <c r="AE18" s="720"/>
      <c r="AF18" s="720"/>
      <c r="AG18" s="720"/>
      <c r="AH18" s="721"/>
      <c r="AI18" s="704"/>
      <c r="AJ18" s="388"/>
      <c r="AK18" s="388"/>
      <c r="AL18" s="388"/>
      <c r="AM18" s="388"/>
      <c r="AN18" s="388"/>
      <c r="AO18" s="388"/>
      <c r="AP18" s="391"/>
      <c r="AQ18" s="712"/>
      <c r="AR18" s="722"/>
      <c r="AS18" s="723"/>
      <c r="AT18" s="724"/>
      <c r="AU18" s="469"/>
      <c r="AV18" s="386"/>
      <c r="AW18" s="386"/>
      <c r="AX18" s="386"/>
      <c r="AY18" s="386"/>
      <c r="AZ18" s="392"/>
      <c r="BA18" s="392"/>
      <c r="BB18" s="386"/>
      <c r="BC18" s="386"/>
      <c r="BD18" s="386"/>
      <c r="BE18" s="386"/>
      <c r="BF18" s="505"/>
      <c r="BG18" s="471"/>
    </row>
    <row r="19" spans="4:63" ht="100" customHeight="1" x14ac:dyDescent="1">
      <c r="E19" s="466"/>
      <c r="F19" s="684"/>
      <c r="G19" s="506"/>
      <c r="H19" s="506"/>
      <c r="I19" s="506"/>
      <c r="J19" s="506"/>
      <c r="K19" s="506"/>
      <c r="L19" s="506"/>
      <c r="M19" s="506"/>
      <c r="N19" s="732"/>
      <c r="O19" s="732"/>
      <c r="P19" s="686"/>
      <c r="Q19" s="680"/>
      <c r="R19" s="684"/>
      <c r="S19" s="506"/>
      <c r="T19" s="506"/>
      <c r="U19" s="506"/>
      <c r="V19" s="506"/>
      <c r="W19" s="506"/>
      <c r="X19" s="506"/>
      <c r="Y19" s="506"/>
      <c r="Z19" s="506"/>
      <c r="AA19" s="506"/>
      <c r="AB19" s="686"/>
      <c r="AC19" s="680"/>
      <c r="AD19" s="729"/>
      <c r="AE19" s="730"/>
      <c r="AF19" s="730"/>
      <c r="AG19" s="730"/>
      <c r="AH19" s="731"/>
      <c r="AI19" s="725"/>
      <c r="AJ19" s="869"/>
      <c r="AK19" s="869"/>
      <c r="AL19" s="869"/>
      <c r="AM19" s="869"/>
      <c r="AN19" s="869"/>
      <c r="AO19" s="869"/>
      <c r="AP19" s="379"/>
      <c r="AQ19" s="726"/>
      <c r="AR19" s="733"/>
      <c r="AS19" s="734"/>
      <c r="AT19" s="735"/>
      <c r="AU19" s="468"/>
      <c r="AV19" s="506"/>
      <c r="AW19" s="506"/>
      <c r="AX19" s="506"/>
      <c r="AY19" s="506"/>
      <c r="AZ19" s="732"/>
      <c r="BA19" s="732"/>
      <c r="BB19" s="506"/>
      <c r="BC19" s="506"/>
      <c r="BD19" s="506"/>
      <c r="BE19" s="506"/>
      <c r="BF19" s="505"/>
      <c r="BG19" s="471"/>
    </row>
    <row r="20" spans="4:63" ht="100" customHeight="1" x14ac:dyDescent="1">
      <c r="E20" s="466"/>
      <c r="F20" s="684"/>
      <c r="G20" s="506"/>
      <c r="H20" s="727" t="s">
        <v>179</v>
      </c>
      <c r="I20" s="727"/>
      <c r="J20" s="648"/>
      <c r="K20" s="648"/>
      <c r="L20" s="506"/>
      <c r="M20" s="506"/>
      <c r="N20" s="728" t="s">
        <v>175</v>
      </c>
      <c r="O20" s="728"/>
      <c r="P20" s="686"/>
      <c r="Q20" s="680"/>
      <c r="R20" s="684"/>
      <c r="S20" s="506"/>
      <c r="T20" s="727" t="s">
        <v>179</v>
      </c>
      <c r="U20" s="506"/>
      <c r="V20" s="506"/>
      <c r="W20" s="506"/>
      <c r="X20" s="648"/>
      <c r="Y20" s="648"/>
      <c r="Z20" s="506"/>
      <c r="AA20" s="506"/>
      <c r="AB20" s="686"/>
      <c r="AC20" s="680"/>
      <c r="AD20" s="2070" t="s">
        <v>138</v>
      </c>
      <c r="AE20" s="2071"/>
      <c r="AF20" s="2071"/>
      <c r="AG20" s="2071"/>
      <c r="AH20" s="2072"/>
      <c r="AI20" s="725"/>
      <c r="AJ20" s="2073" t="s">
        <v>124</v>
      </c>
      <c r="AK20" s="2056"/>
      <c r="AL20" s="2056"/>
      <c r="AM20" s="2056"/>
      <c r="AN20" s="2074"/>
      <c r="AO20" s="732"/>
      <c r="AP20" s="379" t="s">
        <v>178</v>
      </c>
      <c r="AQ20" s="726"/>
      <c r="AR20" s="2075" t="s">
        <v>139</v>
      </c>
      <c r="AS20" s="2076"/>
      <c r="AT20" s="2077"/>
      <c r="AU20" s="468"/>
      <c r="AV20" s="506"/>
      <c r="AW20" s="506"/>
      <c r="AX20" s="506"/>
      <c r="AY20" s="506"/>
      <c r="AZ20" s="728" t="s">
        <v>175</v>
      </c>
      <c r="BA20" s="728"/>
      <c r="BB20" s="648"/>
      <c r="BC20" s="648"/>
      <c r="BD20" s="506"/>
      <c r="BE20" s="506"/>
      <c r="BF20" s="686"/>
      <c r="BG20" s="471"/>
    </row>
    <row r="21" spans="4:63" ht="100" customHeight="1" x14ac:dyDescent="1">
      <c r="E21" s="466"/>
      <c r="F21" s="508"/>
      <c r="G21" s="386"/>
      <c r="H21" s="648">
        <v>2700</v>
      </c>
      <c r="I21" s="648"/>
      <c r="J21" s="386"/>
      <c r="K21" s="386"/>
      <c r="L21" s="386"/>
      <c r="M21" s="386"/>
      <c r="N21" s="728" t="s">
        <v>127</v>
      </c>
      <c r="O21" s="728"/>
      <c r="P21" s="505"/>
      <c r="Q21" s="465"/>
      <c r="R21" s="508"/>
      <c r="S21" s="386"/>
      <c r="T21" s="648">
        <v>2700</v>
      </c>
      <c r="U21" s="386"/>
      <c r="V21" s="386"/>
      <c r="W21" s="386"/>
      <c r="X21" s="648"/>
      <c r="Y21" s="648"/>
      <c r="Z21" s="386"/>
      <c r="AA21" s="386"/>
      <c r="AB21" s="505"/>
      <c r="AC21" s="465"/>
      <c r="AD21" s="719"/>
      <c r="AE21" s="720"/>
      <c r="AF21" s="736">
        <v>400</v>
      </c>
      <c r="AG21" s="737"/>
      <c r="AH21" s="721"/>
      <c r="AI21" s="704"/>
      <c r="AJ21" s="388"/>
      <c r="AK21" s="388"/>
      <c r="AL21" s="388"/>
      <c r="AM21" s="388"/>
      <c r="AN21" s="388"/>
      <c r="AO21" s="388"/>
      <c r="AP21" s="379" t="s">
        <v>127</v>
      </c>
      <c r="AQ21" s="726"/>
      <c r="AR21" s="738">
        <v>300</v>
      </c>
      <c r="AS21" s="739"/>
      <c r="AT21" s="740"/>
      <c r="AU21" s="468"/>
      <c r="AV21" s="386"/>
      <c r="AW21" s="386"/>
      <c r="AX21" s="386"/>
      <c r="AY21" s="386"/>
      <c r="AZ21" s="728" t="s">
        <v>127</v>
      </c>
      <c r="BA21" s="728"/>
      <c r="BB21" s="741"/>
      <c r="BC21" s="741"/>
      <c r="BD21" s="506"/>
      <c r="BE21" s="506"/>
      <c r="BF21" s="505"/>
      <c r="BG21" s="471"/>
    </row>
    <row r="22" spans="4:63" ht="100" customHeight="1" x14ac:dyDescent="1">
      <c r="E22" s="466"/>
      <c r="F22" s="508"/>
      <c r="G22" s="386"/>
      <c r="H22" s="386"/>
      <c r="I22" s="386"/>
      <c r="J22" s="386"/>
      <c r="K22" s="386"/>
      <c r="L22" s="386"/>
      <c r="M22" s="386"/>
      <c r="N22" s="392"/>
      <c r="O22" s="392"/>
      <c r="P22" s="505"/>
      <c r="Q22" s="465"/>
      <c r="R22" s="508"/>
      <c r="S22" s="386"/>
      <c r="T22" s="386"/>
      <c r="U22" s="386"/>
      <c r="V22" s="386"/>
      <c r="W22" s="386"/>
      <c r="X22" s="386"/>
      <c r="Y22" s="386"/>
      <c r="Z22" s="386"/>
      <c r="AA22" s="386"/>
      <c r="AB22" s="505"/>
      <c r="AC22" s="465"/>
      <c r="AD22" s="719"/>
      <c r="AE22" s="720"/>
      <c r="AF22" s="720"/>
      <c r="AG22" s="720"/>
      <c r="AH22" s="721"/>
      <c r="AI22" s="704"/>
      <c r="AJ22" s="388"/>
      <c r="AK22" s="388"/>
      <c r="AL22" s="388"/>
      <c r="AM22" s="388"/>
      <c r="AN22" s="388"/>
      <c r="AO22" s="388"/>
      <c r="AP22" s="391"/>
      <c r="AQ22" s="712"/>
      <c r="AR22" s="722"/>
      <c r="AS22" s="723"/>
      <c r="AT22" s="724"/>
      <c r="AU22" s="469"/>
      <c r="AV22" s="386"/>
      <c r="AW22" s="386"/>
      <c r="AX22" s="386"/>
      <c r="AY22" s="386"/>
      <c r="AZ22" s="392"/>
      <c r="BA22" s="392"/>
      <c r="BB22" s="386"/>
      <c r="BC22" s="386"/>
      <c r="BD22" s="386"/>
      <c r="BE22" s="386"/>
      <c r="BF22" s="505"/>
      <c r="BG22" s="471"/>
    </row>
    <row r="23" spans="4:63" ht="100" customHeight="1" thickBot="1" x14ac:dyDescent="1.05">
      <c r="E23" s="742"/>
      <c r="F23" s="743"/>
      <c r="G23" s="500"/>
      <c r="H23" s="500"/>
      <c r="I23" s="500"/>
      <c r="J23" s="500"/>
      <c r="K23" s="500"/>
      <c r="L23" s="500"/>
      <c r="M23" s="500"/>
      <c r="N23" s="744"/>
      <c r="O23" s="744"/>
      <c r="P23" s="509"/>
      <c r="Q23" s="467"/>
      <c r="R23" s="743"/>
      <c r="S23" s="500"/>
      <c r="T23" s="500"/>
      <c r="U23" s="500"/>
      <c r="V23" s="500"/>
      <c r="W23" s="500"/>
      <c r="X23" s="500"/>
      <c r="Y23" s="500"/>
      <c r="Z23" s="500"/>
      <c r="AA23" s="500"/>
      <c r="AB23" s="509"/>
      <c r="AC23" s="467"/>
      <c r="AD23" s="745"/>
      <c r="AE23" s="746"/>
      <c r="AF23" s="746"/>
      <c r="AG23" s="746"/>
      <c r="AH23" s="747"/>
      <c r="AI23" s="748"/>
      <c r="AJ23" s="388"/>
      <c r="AK23" s="388"/>
      <c r="AL23" s="388"/>
      <c r="AM23" s="388"/>
      <c r="AN23" s="388"/>
      <c r="AO23" s="388"/>
      <c r="AP23" s="391"/>
      <c r="AQ23" s="749"/>
      <c r="AR23" s="750"/>
      <c r="AS23" s="751"/>
      <c r="AT23" s="752"/>
      <c r="AU23" s="469"/>
      <c r="AV23" s="386"/>
      <c r="AW23" s="386"/>
      <c r="AX23" s="386"/>
      <c r="AY23" s="386"/>
      <c r="AZ23" s="392"/>
      <c r="BA23" s="392"/>
      <c r="BB23" s="386"/>
      <c r="BC23" s="386"/>
      <c r="BD23" s="386"/>
      <c r="BE23" s="386"/>
      <c r="BF23" s="505"/>
      <c r="BG23" s="471"/>
    </row>
    <row r="24" spans="4:63" ht="8" customHeight="1" thickTop="1" thickBot="1" x14ac:dyDescent="1.05">
      <c r="E24" s="477"/>
      <c r="F24" s="476"/>
      <c r="G24" s="476"/>
      <c r="H24" s="476"/>
      <c r="I24" s="476"/>
      <c r="J24" s="476"/>
      <c r="K24" s="476"/>
      <c r="L24" s="476"/>
      <c r="M24" s="476"/>
      <c r="N24" s="476"/>
      <c r="O24" s="476"/>
      <c r="P24" s="476"/>
      <c r="Q24" s="478"/>
      <c r="R24" s="477"/>
      <c r="S24" s="476"/>
      <c r="T24" s="476"/>
      <c r="U24" s="476"/>
      <c r="V24" s="476"/>
      <c r="W24" s="476"/>
      <c r="X24" s="476"/>
      <c r="Y24" s="476"/>
      <c r="Z24" s="476"/>
      <c r="AA24" s="476"/>
      <c r="AB24" s="476"/>
      <c r="AC24" s="476"/>
      <c r="AD24" s="753"/>
      <c r="AE24" s="754"/>
      <c r="AF24" s="754"/>
      <c r="AG24" s="754"/>
      <c r="AH24" s="754"/>
      <c r="AI24" s="755"/>
      <c r="AJ24" s="388"/>
      <c r="AK24" s="388"/>
      <c r="AL24" s="388"/>
      <c r="AM24" s="388"/>
      <c r="AN24" s="388"/>
      <c r="AO24" s="388"/>
      <c r="AP24" s="392"/>
      <c r="AQ24" s="753"/>
      <c r="AR24" s="754"/>
      <c r="AS24" s="754"/>
      <c r="AT24" s="755"/>
      <c r="AU24" s="469"/>
      <c r="AV24" s="386"/>
      <c r="AW24" s="386"/>
      <c r="AX24" s="386"/>
      <c r="AY24" s="386"/>
      <c r="AZ24" s="392"/>
      <c r="BA24" s="392"/>
      <c r="BB24" s="386"/>
      <c r="BC24" s="386"/>
      <c r="BD24" s="386"/>
      <c r="BE24" s="386"/>
      <c r="BF24" s="505"/>
      <c r="BG24" s="471"/>
    </row>
    <row r="25" spans="4:63" ht="100" customHeight="1" thickTop="1" x14ac:dyDescent="1">
      <c r="D25" s="756"/>
      <c r="E25" s="757"/>
      <c r="F25" s="2078" t="s">
        <v>168</v>
      </c>
      <c r="G25" s="2079"/>
      <c r="H25" s="2079"/>
      <c r="I25" s="2079"/>
      <c r="J25" s="2079"/>
      <c r="K25" s="2079"/>
      <c r="L25" s="2079"/>
      <c r="M25" s="2079"/>
      <c r="N25" s="2079"/>
      <c r="O25" s="2079"/>
      <c r="P25" s="2080"/>
      <c r="Q25" s="690"/>
      <c r="R25" s="1990" t="s">
        <v>168</v>
      </c>
      <c r="S25" s="1990"/>
      <c r="T25" s="1990"/>
      <c r="U25" s="1990"/>
      <c r="V25" s="1990"/>
      <c r="W25" s="1990"/>
      <c r="X25" s="1990"/>
      <c r="Y25" s="1990"/>
      <c r="Z25" s="1990"/>
      <c r="AA25" s="1990"/>
      <c r="AB25" s="2084"/>
      <c r="AC25" s="690"/>
      <c r="AD25" s="2064" t="s">
        <v>169</v>
      </c>
      <c r="AE25" s="2064"/>
      <c r="AF25" s="2064"/>
      <c r="AG25" s="2064"/>
      <c r="AH25" s="2064"/>
      <c r="AI25" s="2064"/>
      <c r="AJ25" s="2085" t="s">
        <v>186</v>
      </c>
      <c r="AK25" s="2085"/>
      <c r="AL25" s="2085"/>
      <c r="AM25" s="2085"/>
      <c r="AN25" s="2085"/>
      <c r="AO25" s="2085"/>
      <c r="AP25" s="2085"/>
      <c r="AQ25" s="1990" t="s">
        <v>170</v>
      </c>
      <c r="AR25" s="1990"/>
      <c r="AS25" s="1990"/>
      <c r="AT25" s="1990"/>
      <c r="AU25" s="758"/>
      <c r="AV25" s="2053" t="s">
        <v>133</v>
      </c>
      <c r="AW25" s="2054"/>
      <c r="AX25" s="2054"/>
      <c r="AY25" s="2054"/>
      <c r="AZ25" s="2054"/>
      <c r="BA25" s="2054"/>
      <c r="BB25" s="2054"/>
      <c r="BC25" s="2054"/>
      <c r="BD25" s="2054"/>
      <c r="BE25" s="2054"/>
      <c r="BF25" s="2055"/>
      <c r="BG25" s="471"/>
    </row>
    <row r="26" spans="4:63" ht="100" customHeight="1" thickBot="1" x14ac:dyDescent="1.05">
      <c r="D26" s="756"/>
      <c r="E26" s="759"/>
      <c r="F26" s="2081"/>
      <c r="G26" s="2082"/>
      <c r="H26" s="2082"/>
      <c r="I26" s="2082"/>
      <c r="J26" s="2082"/>
      <c r="K26" s="2082"/>
      <c r="L26" s="2082"/>
      <c r="M26" s="2082"/>
      <c r="N26" s="2082"/>
      <c r="O26" s="2082"/>
      <c r="P26" s="2083"/>
      <c r="Q26" s="690"/>
      <c r="R26" s="2082"/>
      <c r="S26" s="2082"/>
      <c r="T26" s="2082"/>
      <c r="U26" s="2082"/>
      <c r="V26" s="2082"/>
      <c r="W26" s="2082"/>
      <c r="X26" s="2082"/>
      <c r="Y26" s="2082"/>
      <c r="Z26" s="2082"/>
      <c r="AA26" s="2082"/>
      <c r="AB26" s="2083"/>
      <c r="AC26" s="690"/>
      <c r="AD26" s="2082"/>
      <c r="AE26" s="2082"/>
      <c r="AF26" s="2082"/>
      <c r="AG26" s="2082"/>
      <c r="AH26" s="2082"/>
      <c r="AI26" s="2082"/>
      <c r="AJ26" s="2066"/>
      <c r="AK26" s="2066"/>
      <c r="AL26" s="2066"/>
      <c r="AM26" s="2066"/>
      <c r="AN26" s="2066"/>
      <c r="AO26" s="2066"/>
      <c r="AP26" s="2066"/>
      <c r="AQ26" s="1990"/>
      <c r="AR26" s="1990"/>
      <c r="AS26" s="1990"/>
      <c r="AT26" s="1990"/>
      <c r="AU26" s="758"/>
      <c r="AV26" s="2053"/>
      <c r="AW26" s="2054"/>
      <c r="AX26" s="2054"/>
      <c r="AY26" s="2054"/>
      <c r="AZ26" s="2054"/>
      <c r="BA26" s="2054"/>
      <c r="BB26" s="2054"/>
      <c r="BC26" s="2054"/>
      <c r="BD26" s="2054"/>
      <c r="BE26" s="2054"/>
      <c r="BF26" s="2055"/>
      <c r="BG26" s="471"/>
    </row>
    <row r="27" spans="4:63" ht="8" customHeight="1" thickTop="1" thickBot="1" x14ac:dyDescent="1.05">
      <c r="E27" s="698"/>
      <c r="F27" s="760"/>
      <c r="G27" s="761"/>
      <c r="H27" s="761"/>
      <c r="I27" s="761"/>
      <c r="J27" s="761"/>
      <c r="K27" s="761"/>
      <c r="L27" s="761"/>
      <c r="M27" s="761"/>
      <c r="N27" s="761"/>
      <c r="O27" s="761"/>
      <c r="P27" s="761"/>
      <c r="Q27" s="762"/>
      <c r="R27" s="761"/>
      <c r="S27" s="761"/>
      <c r="T27" s="761"/>
      <c r="U27" s="761"/>
      <c r="V27" s="761"/>
      <c r="W27" s="761"/>
      <c r="X27" s="761"/>
      <c r="Y27" s="761"/>
      <c r="Z27" s="761"/>
      <c r="AA27" s="761"/>
      <c r="AB27" s="761"/>
      <c r="AC27" s="763"/>
      <c r="AD27" s="764"/>
      <c r="AE27" s="761"/>
      <c r="AF27" s="761"/>
      <c r="AG27" s="761"/>
      <c r="AH27" s="761"/>
      <c r="AI27" s="762"/>
      <c r="AJ27" s="761"/>
      <c r="AK27" s="761"/>
      <c r="AL27" s="761"/>
      <c r="AM27" s="761"/>
      <c r="AN27" s="761"/>
      <c r="AO27" s="761"/>
      <c r="AP27" s="765"/>
      <c r="AQ27" s="766"/>
      <c r="AR27" s="765"/>
      <c r="AS27" s="767"/>
      <c r="AT27" s="768"/>
      <c r="AU27" s="758"/>
      <c r="AV27" s="2053"/>
      <c r="AW27" s="2054"/>
      <c r="AX27" s="2054"/>
      <c r="AY27" s="2054"/>
      <c r="AZ27" s="2054"/>
      <c r="BA27" s="2054"/>
      <c r="BB27" s="2054"/>
      <c r="BC27" s="2054"/>
      <c r="BD27" s="2054"/>
      <c r="BE27" s="2054"/>
      <c r="BF27" s="2055"/>
      <c r="BG27" s="471"/>
      <c r="BI27" s="961"/>
      <c r="BJ27" s="961"/>
      <c r="BK27" s="695"/>
    </row>
    <row r="28" spans="4:63" ht="100" customHeight="1" thickTop="1" x14ac:dyDescent="1">
      <c r="E28" s="466"/>
      <c r="F28" s="504"/>
      <c r="G28" s="716"/>
      <c r="H28" s="716"/>
      <c r="I28" s="716"/>
      <c r="J28" s="716"/>
      <c r="K28" s="716"/>
      <c r="L28" s="716"/>
      <c r="M28" s="716"/>
      <c r="N28" s="716"/>
      <c r="O28" s="716"/>
      <c r="P28" s="718"/>
      <c r="Q28" s="769"/>
      <c r="R28" s="504"/>
      <c r="S28" s="716"/>
      <c r="T28" s="716"/>
      <c r="U28" s="716"/>
      <c r="V28" s="716"/>
      <c r="W28" s="716"/>
      <c r="X28" s="716"/>
      <c r="Y28" s="716"/>
      <c r="Z28" s="716"/>
      <c r="AA28" s="716"/>
      <c r="AB28" s="718"/>
      <c r="AC28" s="702"/>
      <c r="AD28" s="716"/>
      <c r="AE28" s="716"/>
      <c r="AF28" s="716"/>
      <c r="AG28" s="716"/>
      <c r="AH28" s="716"/>
      <c r="AI28" s="716"/>
      <c r="AJ28" s="716"/>
      <c r="AK28" s="716"/>
      <c r="AL28" s="716"/>
      <c r="AM28" s="716"/>
      <c r="AN28" s="718"/>
      <c r="AO28" s="465"/>
      <c r="AP28" s="709"/>
      <c r="AQ28" s="710"/>
      <c r="AR28" s="710"/>
      <c r="AS28" s="710"/>
      <c r="AT28" s="711"/>
      <c r="AU28" s="465"/>
      <c r="AV28" s="508"/>
      <c r="AW28" s="386"/>
      <c r="AX28" s="386"/>
      <c r="AY28" s="386"/>
      <c r="AZ28" s="386"/>
      <c r="BA28" s="386"/>
      <c r="BB28" s="386"/>
      <c r="BC28" s="386"/>
      <c r="BD28" s="386"/>
      <c r="BE28" s="386"/>
      <c r="BF28" s="505"/>
      <c r="BG28" s="471"/>
    </row>
    <row r="29" spans="4:63" ht="100" customHeight="1" x14ac:dyDescent="1">
      <c r="E29" s="466"/>
      <c r="F29" s="508"/>
      <c r="G29" s="386"/>
      <c r="H29" s="386"/>
      <c r="I29" s="386"/>
      <c r="J29" s="386"/>
      <c r="K29" s="386"/>
      <c r="L29" s="386"/>
      <c r="M29" s="386"/>
      <c r="N29" s="598"/>
      <c r="O29" s="598"/>
      <c r="P29" s="770"/>
      <c r="Q29" s="771"/>
      <c r="R29" s="508"/>
      <c r="S29" s="386"/>
      <c r="T29" s="386"/>
      <c r="U29" s="386"/>
      <c r="V29" s="386"/>
      <c r="W29" s="386"/>
      <c r="X29" s="386"/>
      <c r="Y29" s="386"/>
      <c r="Z29" s="772"/>
      <c r="AA29" s="772"/>
      <c r="AB29" s="773"/>
      <c r="AC29" s="774"/>
      <c r="AD29" s="386"/>
      <c r="AE29" s="386"/>
      <c r="AF29" s="386"/>
      <c r="AG29" s="386"/>
      <c r="AH29" s="386"/>
      <c r="AI29" s="386"/>
      <c r="AJ29" s="386"/>
      <c r="AK29" s="386"/>
      <c r="AL29" s="386"/>
      <c r="AM29" s="386"/>
      <c r="AN29" s="505"/>
      <c r="AO29" s="466"/>
      <c r="AP29" s="719"/>
      <c r="AQ29" s="720"/>
      <c r="AR29" s="720"/>
      <c r="AS29" s="720"/>
      <c r="AT29" s="721"/>
      <c r="AU29" s="465"/>
      <c r="AV29" s="508"/>
      <c r="AW29" s="386"/>
      <c r="AX29" s="386"/>
      <c r="AY29" s="386"/>
      <c r="AZ29" s="741"/>
      <c r="BA29" s="741"/>
      <c r="BB29" s="386"/>
      <c r="BC29" s="386"/>
      <c r="BD29" s="386"/>
      <c r="BE29" s="386"/>
      <c r="BF29" s="505"/>
      <c r="BG29" s="471"/>
    </row>
    <row r="30" spans="4:63" ht="100" customHeight="1" x14ac:dyDescent="1">
      <c r="E30" s="466"/>
      <c r="F30" s="684"/>
      <c r="G30" s="506"/>
      <c r="H30" s="506"/>
      <c r="I30" s="506"/>
      <c r="J30" s="386"/>
      <c r="K30" s="386"/>
      <c r="L30" s="386"/>
      <c r="M30" s="386"/>
      <c r="N30" s="598"/>
      <c r="O30" s="598"/>
      <c r="P30" s="770"/>
      <c r="Q30" s="771"/>
      <c r="R30" s="508"/>
      <c r="S30" s="386"/>
      <c r="T30" s="386"/>
      <c r="U30" s="386"/>
      <c r="V30" s="386"/>
      <c r="W30" s="386"/>
      <c r="X30" s="386"/>
      <c r="Y30" s="386"/>
      <c r="Z30" s="772"/>
      <c r="AA30" s="772"/>
      <c r="AB30" s="773"/>
      <c r="AC30" s="774"/>
      <c r="AD30" s="386"/>
      <c r="AE30" s="386"/>
      <c r="AF30" s="386"/>
      <c r="AG30" s="386"/>
      <c r="AH30" s="386"/>
      <c r="AI30" s="386"/>
      <c r="AJ30" s="386"/>
      <c r="AK30" s="386"/>
      <c r="AL30" s="386"/>
      <c r="AM30" s="386"/>
      <c r="AN30" s="505"/>
      <c r="AO30" s="466"/>
      <c r="AP30" s="719"/>
      <c r="AQ30" s="720"/>
      <c r="AR30" s="720"/>
      <c r="AS30" s="720"/>
      <c r="AT30" s="721"/>
      <c r="AU30" s="465"/>
      <c r="AV30" s="508"/>
      <c r="AW30" s="386"/>
      <c r="AX30" s="386"/>
      <c r="AY30" s="386"/>
      <c r="AZ30" s="1867"/>
      <c r="BA30" s="1867"/>
      <c r="BB30" s="1867"/>
      <c r="BC30" s="1867"/>
      <c r="BD30" s="1867"/>
      <c r="BE30" s="1867"/>
      <c r="BF30" s="1983"/>
      <c r="BG30" s="471"/>
      <c r="BJ30" s="961"/>
    </row>
    <row r="31" spans="4:63" ht="100" customHeight="1" x14ac:dyDescent="1">
      <c r="E31" s="466"/>
      <c r="F31" s="508"/>
      <c r="G31" s="386"/>
      <c r="H31" s="727" t="s">
        <v>179</v>
      </c>
      <c r="I31" s="727"/>
      <c r="J31" s="648"/>
      <c r="K31" s="648"/>
      <c r="L31" s="386"/>
      <c r="M31" s="386"/>
      <c r="N31" s="386"/>
      <c r="O31" s="386"/>
      <c r="P31" s="683"/>
      <c r="Q31" s="775"/>
      <c r="R31" s="681"/>
      <c r="S31" s="682"/>
      <c r="T31" s="727" t="s">
        <v>179</v>
      </c>
      <c r="U31" s="682"/>
      <c r="V31" s="682"/>
      <c r="W31" s="682"/>
      <c r="X31" s="648"/>
      <c r="Y31" s="648"/>
      <c r="Z31" s="598"/>
      <c r="AA31" s="598"/>
      <c r="AB31" s="770"/>
      <c r="AC31" s="776"/>
      <c r="AD31" s="682"/>
      <c r="AE31" s="682"/>
      <c r="AF31" s="727" t="s">
        <v>179</v>
      </c>
      <c r="AG31" s="682"/>
      <c r="AH31" s="506"/>
      <c r="AI31" s="506"/>
      <c r="AJ31" s="648"/>
      <c r="AK31" s="648"/>
      <c r="AL31" s="506"/>
      <c r="AM31" s="506"/>
      <c r="AN31" s="686"/>
      <c r="AO31" s="777"/>
      <c r="AP31" s="729"/>
      <c r="AQ31" s="730"/>
      <c r="AR31" s="730" t="s">
        <v>138</v>
      </c>
      <c r="AS31" s="730"/>
      <c r="AT31" s="731"/>
      <c r="AU31" s="680"/>
      <c r="AV31" s="778"/>
      <c r="AW31" s="579"/>
      <c r="AX31" s="727" t="s">
        <v>196</v>
      </c>
      <c r="AY31" s="727"/>
      <c r="AZ31" s="579"/>
      <c r="BA31" s="579"/>
      <c r="BB31" s="579"/>
      <c r="BC31" s="579"/>
      <c r="BD31" s="579"/>
      <c r="BE31" s="579"/>
      <c r="BF31" s="779"/>
      <c r="BG31" s="471"/>
      <c r="BH31" s="696"/>
      <c r="BI31" s="696"/>
      <c r="BJ31" s="696"/>
    </row>
    <row r="32" spans="4:63" ht="100" customHeight="1" x14ac:dyDescent="1">
      <c r="E32" s="466"/>
      <c r="F32" s="508"/>
      <c r="G32" s="386"/>
      <c r="H32" s="648">
        <v>2700</v>
      </c>
      <c r="I32" s="648"/>
      <c r="J32" s="780"/>
      <c r="K32" s="780"/>
      <c r="L32" s="780"/>
      <c r="M32" s="780"/>
      <c r="N32" s="780"/>
      <c r="O32" s="780"/>
      <c r="P32" s="683"/>
      <c r="Q32" s="775"/>
      <c r="R32" s="781"/>
      <c r="S32" s="780"/>
      <c r="T32" s="648">
        <v>2700</v>
      </c>
      <c r="U32" s="780"/>
      <c r="V32" s="780"/>
      <c r="W32" s="780"/>
      <c r="X32" s="780"/>
      <c r="Y32" s="780"/>
      <c r="Z32" s="782"/>
      <c r="AA32" s="782"/>
      <c r="AB32" s="773"/>
      <c r="AC32" s="774"/>
      <c r="AD32" s="780"/>
      <c r="AE32" s="780"/>
      <c r="AF32" s="648">
        <v>2700</v>
      </c>
      <c r="AG32" s="780"/>
      <c r="AH32" s="648"/>
      <c r="AI32" s="648"/>
      <c r="AJ32" s="648"/>
      <c r="AK32" s="648"/>
      <c r="AL32" s="506"/>
      <c r="AM32" s="506"/>
      <c r="AN32" s="686"/>
      <c r="AO32" s="777"/>
      <c r="AP32" s="729"/>
      <c r="AQ32" s="730"/>
      <c r="AR32" s="736">
        <v>400</v>
      </c>
      <c r="AS32" s="736"/>
      <c r="AT32" s="783"/>
      <c r="AU32" s="784"/>
      <c r="AV32" s="785"/>
      <c r="AW32" s="786"/>
      <c r="AX32" s="786">
        <f>AF32+T32</f>
        <v>5400</v>
      </c>
      <c r="AY32" s="786"/>
      <c r="AZ32" s="786"/>
      <c r="BA32" s="786"/>
      <c r="BB32" s="786"/>
      <c r="BC32" s="786"/>
      <c r="BD32" s="786"/>
      <c r="BE32" s="786"/>
      <c r="BF32" s="787"/>
      <c r="BG32" s="471"/>
    </row>
    <row r="33" spans="3:62" ht="100" customHeight="1" x14ac:dyDescent="1">
      <c r="D33" s="475"/>
      <c r="E33" s="465"/>
      <c r="F33" s="508"/>
      <c r="G33" s="386"/>
      <c r="H33" s="386"/>
      <c r="I33" s="386"/>
      <c r="J33" s="386"/>
      <c r="K33" s="386"/>
      <c r="L33" s="386"/>
      <c r="M33" s="386"/>
      <c r="N33" s="598"/>
      <c r="O33" s="598"/>
      <c r="P33" s="770"/>
      <c r="Q33" s="771"/>
      <c r="R33" s="508"/>
      <c r="S33" s="386"/>
      <c r="T33" s="386"/>
      <c r="U33" s="386"/>
      <c r="V33" s="386"/>
      <c r="W33" s="386"/>
      <c r="X33" s="386"/>
      <c r="Y33" s="386"/>
      <c r="Z33" s="772"/>
      <c r="AA33" s="772"/>
      <c r="AB33" s="773"/>
      <c r="AC33" s="774"/>
      <c r="AD33" s="386"/>
      <c r="AE33" s="386"/>
      <c r="AF33" s="386"/>
      <c r="AG33" s="386"/>
      <c r="AH33" s="386"/>
      <c r="AI33" s="386"/>
      <c r="AJ33" s="386"/>
      <c r="AK33" s="386"/>
      <c r="AL33" s="386"/>
      <c r="AM33" s="386"/>
      <c r="AN33" s="505"/>
      <c r="AO33" s="466"/>
      <c r="AP33" s="719"/>
      <c r="AQ33" s="720"/>
      <c r="AR33" s="720"/>
      <c r="AS33" s="720"/>
      <c r="AT33" s="721"/>
      <c r="AU33" s="465"/>
      <c r="AV33" s="508"/>
      <c r="AW33" s="386"/>
      <c r="AX33" s="386"/>
      <c r="AY33" s="386"/>
      <c r="AZ33" s="386"/>
      <c r="BA33" s="386"/>
      <c r="BB33" s="386"/>
      <c r="BC33" s="386"/>
      <c r="BD33" s="386"/>
      <c r="BE33" s="386"/>
      <c r="BF33" s="505"/>
      <c r="BG33" s="471"/>
    </row>
    <row r="34" spans="3:62" ht="100" customHeight="1" thickBot="1" x14ac:dyDescent="1.05">
      <c r="D34" s="475"/>
      <c r="E34" s="467"/>
      <c r="F34" s="743"/>
      <c r="G34" s="500"/>
      <c r="H34" s="500"/>
      <c r="I34" s="500"/>
      <c r="J34" s="500"/>
      <c r="K34" s="500"/>
      <c r="L34" s="500"/>
      <c r="M34" s="500"/>
      <c r="N34" s="500"/>
      <c r="O34" s="500"/>
      <c r="P34" s="509"/>
      <c r="Q34" s="467"/>
      <c r="R34" s="743"/>
      <c r="S34" s="500"/>
      <c r="T34" s="500"/>
      <c r="U34" s="500"/>
      <c r="V34" s="500"/>
      <c r="W34" s="500"/>
      <c r="X34" s="500"/>
      <c r="Y34" s="500"/>
      <c r="Z34" s="500"/>
      <c r="AA34" s="500"/>
      <c r="AB34" s="509"/>
      <c r="AC34" s="788"/>
      <c r="AD34" s="386"/>
      <c r="AE34" s="386"/>
      <c r="AF34" s="386"/>
      <c r="AG34" s="500"/>
      <c r="AH34" s="500"/>
      <c r="AI34" s="500"/>
      <c r="AJ34" s="500"/>
      <c r="AK34" s="500"/>
      <c r="AL34" s="500"/>
      <c r="AM34" s="386"/>
      <c r="AN34" s="505"/>
      <c r="AO34" s="466"/>
      <c r="AP34" s="745"/>
      <c r="AQ34" s="746"/>
      <c r="AR34" s="746"/>
      <c r="AS34" s="746"/>
      <c r="AT34" s="747"/>
      <c r="AU34" s="465"/>
      <c r="AV34" s="508"/>
      <c r="AW34" s="386"/>
      <c r="AX34" s="386"/>
      <c r="AY34" s="386"/>
      <c r="AZ34" s="386"/>
      <c r="BA34" s="386"/>
      <c r="BB34" s="386"/>
      <c r="BC34" s="386"/>
      <c r="BD34" s="386"/>
      <c r="BE34" s="386"/>
      <c r="BF34" s="505"/>
      <c r="BG34" s="471"/>
    </row>
    <row r="35" spans="3:62" ht="8" customHeight="1" thickTop="1" thickBot="1" x14ac:dyDescent="1.05">
      <c r="D35" s="475"/>
      <c r="E35" s="471"/>
      <c r="F35" s="742"/>
      <c r="G35" s="467"/>
      <c r="H35" s="467"/>
      <c r="I35" s="467"/>
      <c r="J35" s="467"/>
      <c r="K35" s="467"/>
      <c r="L35" s="467"/>
      <c r="M35" s="467"/>
      <c r="N35" s="789"/>
      <c r="O35" s="467"/>
      <c r="P35" s="790"/>
      <c r="Q35" s="467"/>
      <c r="R35" s="742"/>
      <c r="S35" s="467"/>
      <c r="T35" s="467"/>
      <c r="U35" s="467"/>
      <c r="V35" s="467"/>
      <c r="W35" s="467"/>
      <c r="X35" s="789"/>
      <c r="Y35" s="467"/>
      <c r="Z35" s="791"/>
      <c r="AA35" s="467"/>
      <c r="AB35" s="788"/>
      <c r="AC35" s="467"/>
      <c r="AD35" s="477"/>
      <c r="AE35" s="476"/>
      <c r="AF35" s="476"/>
      <c r="AG35" s="467"/>
      <c r="AH35" s="789"/>
      <c r="AI35" s="467"/>
      <c r="AJ35" s="791"/>
      <c r="AK35" s="467"/>
      <c r="AL35" s="742"/>
      <c r="AM35" s="476"/>
      <c r="AN35" s="478"/>
      <c r="AO35" s="465"/>
      <c r="AP35" s="753"/>
      <c r="AQ35" s="754"/>
      <c r="AR35" s="754"/>
      <c r="AS35" s="753"/>
      <c r="AT35" s="755"/>
      <c r="AU35" s="467"/>
      <c r="AV35" s="476"/>
      <c r="AW35" s="476"/>
      <c r="AX35" s="701"/>
      <c r="AY35" s="701"/>
      <c r="AZ35" s="701"/>
      <c r="BA35" s="476"/>
      <c r="BB35" s="476"/>
      <c r="BC35" s="476"/>
      <c r="BD35" s="476"/>
      <c r="BE35" s="476"/>
      <c r="BF35" s="478"/>
      <c r="BG35" s="471"/>
    </row>
    <row r="36" spans="3:62" ht="100" customHeight="1" thickTop="1" x14ac:dyDescent="1">
      <c r="E36" s="792"/>
      <c r="AN36" s="408"/>
      <c r="AO36" s="792"/>
      <c r="BG36" s="792"/>
    </row>
    <row r="37" spans="3:62" s="1426" customFormat="1" ht="100" customHeight="1" x14ac:dyDescent="1.2">
      <c r="C37" s="1431"/>
      <c r="F37" s="1436" t="s">
        <v>146</v>
      </c>
      <c r="G37" s="1436"/>
      <c r="P37" s="1427" t="s">
        <v>134</v>
      </c>
      <c r="Q37" s="1427"/>
      <c r="R37" s="1438">
        <v>20000</v>
      </c>
      <c r="S37" s="1438"/>
      <c r="AF37" s="1422" t="s">
        <v>231</v>
      </c>
      <c r="AG37" s="1422"/>
      <c r="AH37" s="1427" t="s">
        <v>151</v>
      </c>
      <c r="AI37" s="1427"/>
      <c r="AJ37" s="1426" t="s">
        <v>245</v>
      </c>
    </row>
    <row r="38" spans="3:62" s="1426" customFormat="1" ht="100" customHeight="1" x14ac:dyDescent="1.2">
      <c r="C38" s="1431"/>
      <c r="F38" s="1436"/>
      <c r="G38" s="1436"/>
      <c r="P38" s="1427" t="s">
        <v>143</v>
      </c>
      <c r="Q38" s="1427"/>
      <c r="R38" s="1443">
        <f>H48++AT59+H59+X59</f>
        <v>17500</v>
      </c>
      <c r="S38" s="1443"/>
      <c r="V38" s="1425"/>
      <c r="W38" s="1425"/>
      <c r="X38" s="1425"/>
      <c r="Y38" s="1425"/>
      <c r="Z38" s="1425"/>
      <c r="AA38" s="1425"/>
      <c r="AB38" s="1425"/>
      <c r="AC38" s="1425"/>
      <c r="AH38" s="1427" t="s">
        <v>151</v>
      </c>
      <c r="AI38" s="1427"/>
      <c r="AJ38" s="1426" t="s">
        <v>246</v>
      </c>
    </row>
    <row r="39" spans="3:62" s="1426" customFormat="1" ht="100" customHeight="1" x14ac:dyDescent="1.2">
      <c r="C39" s="1431"/>
      <c r="F39" s="1436"/>
      <c r="G39" s="1436"/>
      <c r="N39" s="1429"/>
      <c r="O39" s="1429"/>
      <c r="P39" s="1441" t="s">
        <v>156</v>
      </c>
      <c r="Q39" s="1441"/>
      <c r="R39" s="1444">
        <f>R37-R38</f>
        <v>2500</v>
      </c>
      <c r="S39" s="1438"/>
      <c r="T39" s="1429" t="s">
        <v>33</v>
      </c>
      <c r="U39" s="1429"/>
      <c r="V39" s="1429"/>
      <c r="AI39" s="1429"/>
      <c r="AJ39" s="1429"/>
      <c r="AK39" s="1429"/>
      <c r="AL39" s="1429" t="s">
        <v>275</v>
      </c>
      <c r="AM39" s="1429"/>
      <c r="AN39" s="1429"/>
      <c r="AO39" s="1429"/>
      <c r="AP39" s="1429"/>
      <c r="AQ39" s="1429"/>
      <c r="AR39" s="1429"/>
      <c r="AS39" s="1429"/>
      <c r="AT39" s="1429"/>
      <c r="AU39" s="1429"/>
      <c r="AV39" s="1429"/>
      <c r="AW39" s="1429"/>
    </row>
    <row r="40" spans="3:62" s="1426" customFormat="1" ht="100" customHeight="1" x14ac:dyDescent="1.2">
      <c r="C40" s="1431"/>
      <c r="F40" s="1436"/>
      <c r="G40" s="1436"/>
      <c r="L40" s="1429"/>
      <c r="M40" s="1429"/>
      <c r="N40" s="1441"/>
      <c r="O40" s="1441"/>
      <c r="P40" s="1438"/>
      <c r="Q40" s="1438"/>
      <c r="R40" s="1429"/>
      <c r="S40" s="1429"/>
      <c r="T40" s="1429"/>
      <c r="AH40" s="1427" t="s">
        <v>151</v>
      </c>
      <c r="AI40" s="1429"/>
      <c r="AJ40" s="1429" t="s">
        <v>247</v>
      </c>
      <c r="AK40" s="1429"/>
      <c r="AL40" s="1429"/>
      <c r="AM40" s="1429"/>
      <c r="AN40" s="1429"/>
      <c r="AO40" s="1429"/>
      <c r="AP40" s="1429"/>
      <c r="AQ40" s="1429"/>
      <c r="AR40" s="1429"/>
      <c r="AS40" s="1429"/>
      <c r="AT40" s="1429"/>
      <c r="AU40" s="1429"/>
      <c r="AV40" s="1429"/>
      <c r="AW40" s="1429"/>
    </row>
    <row r="41" spans="3:62" s="1426" customFormat="1" ht="100" customHeight="1" x14ac:dyDescent="1.2">
      <c r="C41" s="1431"/>
      <c r="F41" s="1436"/>
      <c r="G41" s="1436"/>
      <c r="L41" s="1429"/>
      <c r="M41" s="1429"/>
      <c r="N41" s="1441"/>
      <c r="O41" s="1441"/>
      <c r="P41" s="1438"/>
      <c r="Q41" s="1438"/>
      <c r="R41" s="1429"/>
      <c r="S41" s="1429"/>
      <c r="T41" s="1429"/>
      <c r="AH41" s="1427"/>
      <c r="AI41" s="1429"/>
      <c r="AJ41" s="1429" t="s">
        <v>204</v>
      </c>
      <c r="AK41" s="1429"/>
      <c r="AL41" s="1429"/>
      <c r="AM41" s="1429"/>
      <c r="AN41" s="1429"/>
      <c r="AO41" s="1429"/>
      <c r="AP41" s="1429"/>
      <c r="AQ41" s="1429"/>
      <c r="AR41" s="1429"/>
      <c r="AS41" s="1429"/>
      <c r="AT41" s="1429"/>
      <c r="AU41" s="1429"/>
      <c r="AV41" s="1429"/>
      <c r="AW41" s="1429"/>
    </row>
    <row r="42" spans="3:62" ht="50" customHeight="1" thickBot="1" x14ac:dyDescent="1.05">
      <c r="E42" s="408"/>
      <c r="AJ42" s="793"/>
      <c r="AK42" s="793"/>
      <c r="AL42" s="793"/>
      <c r="AM42" s="793"/>
      <c r="AN42" s="793"/>
      <c r="AO42" s="793"/>
      <c r="AP42" s="793"/>
      <c r="AQ42" s="562"/>
      <c r="AR42" s="562"/>
      <c r="AS42" s="562"/>
      <c r="AT42" s="562"/>
      <c r="AU42" s="562"/>
      <c r="AV42" s="562"/>
      <c r="AW42" s="562"/>
      <c r="AX42" s="562"/>
      <c r="AY42" s="562"/>
      <c r="AZ42" s="562"/>
      <c r="BA42" s="562"/>
      <c r="BB42" s="562"/>
      <c r="BC42" s="562"/>
      <c r="BD42" s="562"/>
      <c r="BE42" s="562"/>
      <c r="BF42" s="562"/>
      <c r="BG42" s="408"/>
      <c r="BH42" s="961"/>
      <c r="BI42" s="961"/>
      <c r="BJ42" s="961"/>
    </row>
    <row r="43" spans="3:62" ht="8" customHeight="1" thickTop="1" thickBot="1" x14ac:dyDescent="1.05">
      <c r="D43" s="794"/>
      <c r="E43" s="511"/>
      <c r="F43" s="575"/>
      <c r="G43" s="561"/>
      <c r="H43" s="561"/>
      <c r="I43" s="561"/>
      <c r="J43" s="561"/>
      <c r="K43" s="561"/>
      <c r="L43" s="561"/>
      <c r="M43" s="561"/>
      <c r="N43" s="561"/>
      <c r="O43" s="561"/>
      <c r="P43" s="561"/>
      <c r="Q43" s="561"/>
      <c r="R43" s="561"/>
      <c r="S43" s="561"/>
      <c r="T43" s="576"/>
      <c r="U43" s="577"/>
      <c r="V43" s="754"/>
      <c r="W43" s="754"/>
      <c r="X43" s="754"/>
      <c r="Y43" s="754"/>
      <c r="Z43" s="754"/>
      <c r="AA43" s="754"/>
      <c r="AB43" s="754"/>
      <c r="AC43" s="754"/>
      <c r="AD43" s="754"/>
      <c r="AE43" s="754"/>
      <c r="AF43" s="754"/>
      <c r="AG43" s="754"/>
      <c r="AH43" s="755"/>
      <c r="AI43" s="795"/>
      <c r="AJ43" s="388"/>
      <c r="AK43" s="388"/>
      <c r="AL43" s="388"/>
      <c r="AM43" s="388"/>
      <c r="AN43" s="388"/>
      <c r="AO43" s="388"/>
      <c r="AP43" s="796"/>
      <c r="AQ43" s="547"/>
      <c r="AR43" s="514"/>
      <c r="AS43" s="514"/>
      <c r="AT43" s="514"/>
      <c r="AU43" s="514"/>
      <c r="AV43" s="547"/>
      <c r="AW43" s="547"/>
      <c r="AX43" s="547"/>
      <c r="AY43" s="547"/>
      <c r="AZ43" s="547"/>
      <c r="BA43" s="547"/>
      <c r="BB43" s="547"/>
      <c r="BC43" s="547"/>
      <c r="BD43" s="547"/>
      <c r="BE43" s="547"/>
      <c r="BF43" s="560"/>
      <c r="BG43" s="577"/>
      <c r="BH43" s="696"/>
      <c r="BI43" s="696"/>
      <c r="BJ43" s="696"/>
    </row>
    <row r="44" spans="3:62" ht="100" customHeight="1" thickTop="1" x14ac:dyDescent="1">
      <c r="D44" s="794"/>
      <c r="E44" s="547"/>
      <c r="F44" s="568"/>
      <c r="G44" s="386"/>
      <c r="H44" s="386"/>
      <c r="I44" s="386"/>
      <c r="J44" s="386"/>
      <c r="K44" s="386"/>
      <c r="L44" s="386"/>
      <c r="M44" s="386"/>
      <c r="N44" s="392"/>
      <c r="O44" s="392"/>
      <c r="P44" s="386"/>
      <c r="Q44" s="386"/>
      <c r="R44" s="386"/>
      <c r="S44" s="386"/>
      <c r="T44" s="546"/>
      <c r="U44" s="578"/>
      <c r="V44" s="797"/>
      <c r="W44" s="797"/>
      <c r="X44" s="797"/>
      <c r="Y44" s="797"/>
      <c r="Z44" s="797"/>
      <c r="AA44" s="797"/>
      <c r="AB44" s="797"/>
      <c r="AC44" s="797"/>
      <c r="AD44" s="797"/>
      <c r="AE44" s="797"/>
      <c r="AF44" s="797"/>
      <c r="AG44" s="797"/>
      <c r="AH44" s="720"/>
      <c r="AI44" s="798"/>
      <c r="AJ44" s="388"/>
      <c r="AK44" s="388"/>
      <c r="AL44" s="388"/>
      <c r="AM44" s="388"/>
      <c r="AN44" s="392"/>
      <c r="AO44" s="799"/>
      <c r="AP44" s="796"/>
      <c r="AQ44" s="547"/>
      <c r="AR44" s="563"/>
      <c r="AS44" s="564"/>
      <c r="AT44" s="564"/>
      <c r="AU44" s="564"/>
      <c r="AV44" s="564"/>
      <c r="AW44" s="564"/>
      <c r="AX44" s="564"/>
      <c r="AY44" s="564"/>
      <c r="AZ44" s="800"/>
      <c r="BA44" s="800"/>
      <c r="BB44" s="564"/>
      <c r="BC44" s="564"/>
      <c r="BD44" s="564"/>
      <c r="BE44" s="564"/>
      <c r="BF44" s="531"/>
      <c r="BG44" s="578"/>
    </row>
    <row r="45" spans="3:62" ht="100" customHeight="1" x14ac:dyDescent="1">
      <c r="D45" s="794"/>
      <c r="E45" s="514"/>
      <c r="F45" s="568"/>
      <c r="G45" s="386"/>
      <c r="H45" s="386"/>
      <c r="I45" s="386"/>
      <c r="J45" s="386"/>
      <c r="K45" s="386"/>
      <c r="L45" s="386"/>
      <c r="M45" s="386"/>
      <c r="N45" s="392"/>
      <c r="O45" s="392"/>
      <c r="P45" s="386"/>
      <c r="Q45" s="386"/>
      <c r="R45" s="386"/>
      <c r="S45" s="386"/>
      <c r="T45" s="546"/>
      <c r="U45" s="560"/>
      <c r="V45" s="797"/>
      <c r="W45" s="797"/>
      <c r="X45" s="797"/>
      <c r="Y45" s="797"/>
      <c r="Z45" s="797"/>
      <c r="AA45" s="797"/>
      <c r="AB45" s="797"/>
      <c r="AC45" s="797"/>
      <c r="AD45" s="797"/>
      <c r="AE45" s="797"/>
      <c r="AF45" s="797"/>
      <c r="AG45" s="797"/>
      <c r="AH45" s="720"/>
      <c r="AI45" s="798"/>
      <c r="AJ45" s="388"/>
      <c r="AK45" s="388"/>
      <c r="AL45" s="388"/>
      <c r="AM45" s="388"/>
      <c r="AN45" s="392"/>
      <c r="AO45" s="799"/>
      <c r="AP45" s="796"/>
      <c r="AQ45" s="547"/>
      <c r="AR45" s="568"/>
      <c r="AS45" s="386"/>
      <c r="AT45" s="386"/>
      <c r="AU45" s="386"/>
      <c r="AV45" s="386"/>
      <c r="AW45" s="386"/>
      <c r="AX45" s="386"/>
      <c r="AY45" s="386"/>
      <c r="AZ45" s="392"/>
      <c r="BA45" s="392"/>
      <c r="BB45" s="386"/>
      <c r="BC45" s="386"/>
      <c r="BD45" s="386"/>
      <c r="BE45" s="386"/>
      <c r="BF45" s="546"/>
      <c r="BG45" s="578"/>
    </row>
    <row r="46" spans="3:62" ht="100" customHeight="1" x14ac:dyDescent="1">
      <c r="D46" s="794"/>
      <c r="E46" s="514"/>
      <c r="F46" s="688"/>
      <c r="G46" s="506"/>
      <c r="H46" s="506"/>
      <c r="I46" s="506"/>
      <c r="J46" s="506"/>
      <c r="K46" s="506"/>
      <c r="L46" s="506"/>
      <c r="M46" s="506"/>
      <c r="N46" s="732"/>
      <c r="O46" s="732"/>
      <c r="P46" s="506"/>
      <c r="Q46" s="506"/>
      <c r="R46" s="506"/>
      <c r="S46" s="506"/>
      <c r="T46" s="1077"/>
      <c r="U46" s="588"/>
      <c r="V46" s="801"/>
      <c r="W46" s="801"/>
      <c r="X46" s="801"/>
      <c r="Y46" s="801"/>
      <c r="Z46" s="801"/>
      <c r="AA46" s="801"/>
      <c r="AB46" s="801"/>
      <c r="AC46" s="801"/>
      <c r="AD46" s="801"/>
      <c r="AE46" s="801"/>
      <c r="AF46" s="801"/>
      <c r="AG46" s="801"/>
      <c r="AH46" s="730"/>
      <c r="AI46" s="802"/>
      <c r="AJ46" s="869"/>
      <c r="AK46" s="869"/>
      <c r="AL46" s="869"/>
      <c r="AM46" s="869"/>
      <c r="AN46" s="732"/>
      <c r="AO46" s="803"/>
      <c r="AP46" s="804"/>
      <c r="AQ46" s="805"/>
      <c r="AR46" s="688"/>
      <c r="AS46" s="506"/>
      <c r="AT46" s="506"/>
      <c r="AU46" s="506"/>
      <c r="AV46" s="506"/>
      <c r="AW46" s="506"/>
      <c r="AX46" s="506"/>
      <c r="AY46" s="506"/>
      <c r="AZ46" s="732"/>
      <c r="BA46" s="732"/>
      <c r="BB46" s="506"/>
      <c r="BC46" s="506"/>
      <c r="BD46" s="506"/>
      <c r="BE46" s="506"/>
      <c r="BF46" s="546"/>
      <c r="BG46" s="578"/>
    </row>
    <row r="47" spans="3:62" ht="100" customHeight="1" x14ac:dyDescent="1">
      <c r="D47" s="794"/>
      <c r="E47" s="514"/>
      <c r="F47" s="688"/>
      <c r="G47" s="506"/>
      <c r="H47" s="727" t="s">
        <v>179</v>
      </c>
      <c r="I47" s="727"/>
      <c r="J47" s="648"/>
      <c r="K47" s="648"/>
      <c r="L47" s="506"/>
      <c r="M47" s="506"/>
      <c r="N47" s="728" t="s">
        <v>175</v>
      </c>
      <c r="O47" s="728"/>
      <c r="P47" s="506"/>
      <c r="Q47" s="506"/>
      <c r="R47" s="506"/>
      <c r="S47" s="506"/>
      <c r="T47" s="1077"/>
      <c r="U47" s="588"/>
      <c r="V47" s="801"/>
      <c r="W47" s="801"/>
      <c r="X47" s="806" t="s">
        <v>138</v>
      </c>
      <c r="Y47" s="806"/>
      <c r="Z47" s="806"/>
      <c r="AA47" s="806"/>
      <c r="AB47" s="806"/>
      <c r="AC47" s="806"/>
      <c r="AD47" s="806"/>
      <c r="AE47" s="806"/>
      <c r="AF47" s="806"/>
      <c r="AG47" s="801"/>
      <c r="AH47" s="730"/>
      <c r="AI47" s="802"/>
      <c r="AJ47" s="2056" t="s">
        <v>124</v>
      </c>
      <c r="AK47" s="2056"/>
      <c r="AL47" s="2056"/>
      <c r="AM47" s="2056"/>
      <c r="AN47" s="2056"/>
      <c r="AO47" s="803"/>
      <c r="AP47" s="804" t="s">
        <v>178</v>
      </c>
      <c r="AQ47" s="805"/>
      <c r="AR47" s="688"/>
      <c r="AS47" s="506"/>
      <c r="AT47" s="506"/>
      <c r="AU47" s="506"/>
      <c r="AV47" s="506"/>
      <c r="AW47" s="506"/>
      <c r="AX47" s="506"/>
      <c r="AY47" s="506"/>
      <c r="AZ47" s="728" t="s">
        <v>175</v>
      </c>
      <c r="BA47" s="728"/>
      <c r="BB47" s="648"/>
      <c r="BC47" s="648"/>
      <c r="BD47" s="506"/>
      <c r="BE47" s="506"/>
      <c r="BF47" s="1077"/>
      <c r="BG47" s="578"/>
    </row>
    <row r="48" spans="3:62" ht="100" customHeight="1" x14ac:dyDescent="1">
      <c r="D48" s="794"/>
      <c r="E48" s="514"/>
      <c r="F48" s="568"/>
      <c r="G48" s="386"/>
      <c r="H48" s="648">
        <v>3500</v>
      </c>
      <c r="I48" s="648"/>
      <c r="J48" s="386"/>
      <c r="K48" s="386"/>
      <c r="L48" s="386"/>
      <c r="M48" s="386"/>
      <c r="N48" s="728" t="s">
        <v>127</v>
      </c>
      <c r="O48" s="728"/>
      <c r="P48" s="386"/>
      <c r="Q48" s="386"/>
      <c r="R48" s="386"/>
      <c r="S48" s="386"/>
      <c r="T48" s="546"/>
      <c r="U48" s="560"/>
      <c r="V48" s="797"/>
      <c r="W48" s="797"/>
      <c r="X48" s="807">
        <v>2100</v>
      </c>
      <c r="Y48" s="808"/>
      <c r="Z48" s="809"/>
      <c r="AA48" s="809"/>
      <c r="AB48" s="809"/>
      <c r="AC48" s="809"/>
      <c r="AD48" s="809"/>
      <c r="AE48" s="809"/>
      <c r="AF48" s="809"/>
      <c r="AG48" s="810"/>
      <c r="AH48" s="720"/>
      <c r="AI48" s="798"/>
      <c r="AJ48" s="388"/>
      <c r="AK48" s="388"/>
      <c r="AL48" s="392"/>
      <c r="AM48" s="392"/>
      <c r="AN48" s="392"/>
      <c r="AO48" s="799"/>
      <c r="AP48" s="804" t="s">
        <v>127</v>
      </c>
      <c r="AQ48" s="805"/>
      <c r="AR48" s="568"/>
      <c r="AS48" s="386"/>
      <c r="AT48" s="386"/>
      <c r="AU48" s="386"/>
      <c r="AV48" s="386"/>
      <c r="AW48" s="386"/>
      <c r="AX48" s="386"/>
      <c r="AY48" s="386"/>
      <c r="AZ48" s="728" t="s">
        <v>127</v>
      </c>
      <c r="BA48" s="728"/>
      <c r="BB48" s="648"/>
      <c r="BC48" s="648"/>
      <c r="BD48" s="386"/>
      <c r="BE48" s="386"/>
      <c r="BF48" s="546"/>
      <c r="BG48" s="578"/>
    </row>
    <row r="49" spans="3:62" ht="100" customHeight="1" x14ac:dyDescent="1">
      <c r="D49" s="794"/>
      <c r="E49" s="514"/>
      <c r="F49" s="568"/>
      <c r="G49" s="386"/>
      <c r="H49" s="386"/>
      <c r="I49" s="386"/>
      <c r="J49" s="386"/>
      <c r="K49" s="386"/>
      <c r="L49" s="386"/>
      <c r="M49" s="386"/>
      <c r="N49" s="392"/>
      <c r="O49" s="392"/>
      <c r="P49" s="386"/>
      <c r="Q49" s="386"/>
      <c r="R49" s="386"/>
      <c r="S49" s="386"/>
      <c r="T49" s="546"/>
      <c r="U49" s="560"/>
      <c r="V49" s="797"/>
      <c r="W49" s="797"/>
      <c r="X49" s="797"/>
      <c r="Y49" s="797"/>
      <c r="Z49" s="797"/>
      <c r="AA49" s="797"/>
      <c r="AB49" s="797"/>
      <c r="AC49" s="797"/>
      <c r="AD49" s="797"/>
      <c r="AE49" s="797"/>
      <c r="AF49" s="797"/>
      <c r="AG49" s="797"/>
      <c r="AH49" s="720"/>
      <c r="AI49" s="798"/>
      <c r="AJ49" s="388"/>
      <c r="AK49" s="388"/>
      <c r="AL49" s="388"/>
      <c r="AM49" s="388"/>
      <c r="AN49" s="392"/>
      <c r="AO49" s="799"/>
      <c r="AP49" s="796"/>
      <c r="AQ49" s="547"/>
      <c r="AR49" s="568"/>
      <c r="AS49" s="386"/>
      <c r="AT49" s="386"/>
      <c r="AU49" s="386"/>
      <c r="AV49" s="386"/>
      <c r="AW49" s="386"/>
      <c r="AX49" s="386"/>
      <c r="AY49" s="386"/>
      <c r="AZ49" s="392"/>
      <c r="BA49" s="392"/>
      <c r="BB49" s="386"/>
      <c r="BC49" s="386"/>
      <c r="BD49" s="386"/>
      <c r="BE49" s="386"/>
      <c r="BF49" s="546"/>
      <c r="BG49" s="578"/>
    </row>
    <row r="50" spans="3:62" ht="100" customHeight="1" thickBot="1" x14ac:dyDescent="1.05">
      <c r="D50" s="794"/>
      <c r="E50" s="514"/>
      <c r="F50" s="569"/>
      <c r="G50" s="570"/>
      <c r="H50" s="570"/>
      <c r="I50" s="570"/>
      <c r="J50" s="570"/>
      <c r="K50" s="570"/>
      <c r="L50" s="570"/>
      <c r="M50" s="570"/>
      <c r="N50" s="811"/>
      <c r="O50" s="811"/>
      <c r="P50" s="570"/>
      <c r="Q50" s="570"/>
      <c r="R50" s="570"/>
      <c r="S50" s="570"/>
      <c r="T50" s="626"/>
      <c r="U50" s="560"/>
      <c r="V50" s="746"/>
      <c r="W50" s="746"/>
      <c r="X50" s="746"/>
      <c r="Y50" s="746"/>
      <c r="Z50" s="746"/>
      <c r="AA50" s="746"/>
      <c r="AB50" s="746"/>
      <c r="AC50" s="746"/>
      <c r="AD50" s="746"/>
      <c r="AE50" s="746"/>
      <c r="AF50" s="746"/>
      <c r="AG50" s="746"/>
      <c r="AH50" s="746"/>
      <c r="AI50" s="798"/>
      <c r="AJ50" s="388"/>
      <c r="AK50" s="388"/>
      <c r="AL50" s="388"/>
      <c r="AM50" s="388"/>
      <c r="AN50" s="392"/>
      <c r="AO50" s="799"/>
      <c r="AP50" s="392"/>
      <c r="AQ50" s="578"/>
      <c r="AR50" s="568"/>
      <c r="AS50" s="386"/>
      <c r="AT50" s="386"/>
      <c r="AU50" s="386"/>
      <c r="AV50" s="386"/>
      <c r="AW50" s="386"/>
      <c r="AX50" s="386"/>
      <c r="AY50" s="386"/>
      <c r="AZ50" s="392"/>
      <c r="BA50" s="392"/>
      <c r="BB50" s="386"/>
      <c r="BC50" s="386"/>
      <c r="BD50" s="386"/>
      <c r="BE50" s="386"/>
      <c r="BF50" s="546"/>
      <c r="BG50" s="578"/>
    </row>
    <row r="51" spans="3:62" ht="8" customHeight="1" thickTop="1" thickBot="1" x14ac:dyDescent="1.05">
      <c r="D51" s="794"/>
      <c r="E51" s="519"/>
      <c r="F51" s="519"/>
      <c r="G51" s="519"/>
      <c r="H51" s="519"/>
      <c r="I51" s="519"/>
      <c r="J51" s="519"/>
      <c r="K51" s="519"/>
      <c r="L51" s="519"/>
      <c r="M51" s="519"/>
      <c r="N51" s="519"/>
      <c r="O51" s="519"/>
      <c r="P51" s="519"/>
      <c r="Q51" s="519"/>
      <c r="R51" s="519"/>
      <c r="S51" s="519"/>
      <c r="T51" s="519"/>
      <c r="U51" s="520"/>
      <c r="V51" s="754"/>
      <c r="W51" s="754"/>
      <c r="X51" s="754"/>
      <c r="Y51" s="754"/>
      <c r="Z51" s="754"/>
      <c r="AA51" s="754"/>
      <c r="AB51" s="754"/>
      <c r="AC51" s="754"/>
      <c r="AD51" s="754"/>
      <c r="AE51" s="754"/>
      <c r="AF51" s="754"/>
      <c r="AG51" s="754"/>
      <c r="AH51" s="755"/>
      <c r="AI51" s="812"/>
      <c r="AJ51" s="813"/>
      <c r="AK51" s="814"/>
      <c r="AL51" s="814"/>
      <c r="AM51" s="814"/>
      <c r="AN51" s="814"/>
      <c r="AO51" s="814"/>
      <c r="AP51" s="815"/>
      <c r="AQ51" s="623"/>
      <c r="AR51" s="568"/>
      <c r="AS51" s="386"/>
      <c r="AT51" s="386"/>
      <c r="AU51" s="386"/>
      <c r="AV51" s="386"/>
      <c r="AW51" s="386"/>
      <c r="AX51" s="386"/>
      <c r="AY51" s="386"/>
      <c r="AZ51" s="392"/>
      <c r="BA51" s="392"/>
      <c r="BB51" s="386"/>
      <c r="BC51" s="386"/>
      <c r="BD51" s="386"/>
      <c r="BE51" s="386"/>
      <c r="BF51" s="546"/>
      <c r="BG51" s="578"/>
    </row>
    <row r="52" spans="3:62" ht="100" customHeight="1" thickTop="1" x14ac:dyDescent="1">
      <c r="D52" s="408"/>
      <c r="E52" s="816"/>
      <c r="F52" s="2057" t="s">
        <v>168</v>
      </c>
      <c r="G52" s="2058"/>
      <c r="H52" s="2058"/>
      <c r="I52" s="2058"/>
      <c r="J52" s="2058"/>
      <c r="K52" s="2058"/>
      <c r="L52" s="2058"/>
      <c r="M52" s="2058"/>
      <c r="N52" s="2058"/>
      <c r="O52" s="2058"/>
      <c r="P52" s="2058"/>
      <c r="Q52" s="2058"/>
      <c r="R52" s="2058"/>
      <c r="S52" s="2058"/>
      <c r="T52" s="2059"/>
      <c r="U52" s="817"/>
      <c r="V52" s="2063" t="s">
        <v>171</v>
      </c>
      <c r="W52" s="2064"/>
      <c r="X52" s="2064"/>
      <c r="Y52" s="2064"/>
      <c r="Z52" s="2064"/>
      <c r="AA52" s="2064"/>
      <c r="AB52" s="2064"/>
      <c r="AC52" s="2064"/>
      <c r="AD52" s="2064"/>
      <c r="AE52" s="2064"/>
      <c r="AF52" s="2064"/>
      <c r="AG52" s="2064"/>
      <c r="AH52" s="2065"/>
      <c r="AI52" s="818"/>
      <c r="AJ52" s="2066" t="s">
        <v>186</v>
      </c>
      <c r="AK52" s="2066"/>
      <c r="AL52" s="2066"/>
      <c r="AM52" s="2066"/>
      <c r="AN52" s="2066"/>
      <c r="AO52" s="2066"/>
      <c r="AP52" s="2067"/>
      <c r="AQ52" s="819"/>
      <c r="AR52" s="2068" t="s">
        <v>133</v>
      </c>
      <c r="AS52" s="2054"/>
      <c r="AT52" s="2054"/>
      <c r="AU52" s="2054"/>
      <c r="AV52" s="2054"/>
      <c r="AW52" s="2054"/>
      <c r="AX52" s="2054"/>
      <c r="AY52" s="2054"/>
      <c r="AZ52" s="2054"/>
      <c r="BA52" s="2054"/>
      <c r="BB52" s="2054"/>
      <c r="BC52" s="2054"/>
      <c r="BD52" s="2054"/>
      <c r="BE52" s="2054"/>
      <c r="BF52" s="2069"/>
      <c r="BG52" s="560"/>
    </row>
    <row r="53" spans="3:62" ht="100" customHeight="1" thickBot="1" x14ac:dyDescent="1.05">
      <c r="D53" s="408"/>
      <c r="E53" s="820"/>
      <c r="F53" s="2060"/>
      <c r="G53" s="2061"/>
      <c r="H53" s="2061"/>
      <c r="I53" s="2061"/>
      <c r="J53" s="2061"/>
      <c r="K53" s="2061"/>
      <c r="L53" s="2061"/>
      <c r="M53" s="2061"/>
      <c r="N53" s="2061"/>
      <c r="O53" s="2061"/>
      <c r="P53" s="2061"/>
      <c r="Q53" s="2061"/>
      <c r="R53" s="2061"/>
      <c r="S53" s="2061"/>
      <c r="T53" s="2062"/>
      <c r="U53" s="690"/>
      <c r="V53" s="2060"/>
      <c r="W53" s="2061"/>
      <c r="X53" s="2061"/>
      <c r="Y53" s="2061"/>
      <c r="Z53" s="2061"/>
      <c r="AA53" s="2061"/>
      <c r="AB53" s="2061"/>
      <c r="AC53" s="2061"/>
      <c r="AD53" s="2061"/>
      <c r="AE53" s="2061"/>
      <c r="AF53" s="2061"/>
      <c r="AG53" s="2061"/>
      <c r="AH53" s="2062"/>
      <c r="AI53" s="821"/>
      <c r="AJ53" s="2066"/>
      <c r="AK53" s="2066"/>
      <c r="AL53" s="2066"/>
      <c r="AM53" s="2066"/>
      <c r="AN53" s="2066"/>
      <c r="AO53" s="2066"/>
      <c r="AP53" s="2067"/>
      <c r="AQ53" s="822"/>
      <c r="AR53" s="2068"/>
      <c r="AS53" s="2054"/>
      <c r="AT53" s="2054"/>
      <c r="AU53" s="2054"/>
      <c r="AV53" s="2054"/>
      <c r="AW53" s="2054"/>
      <c r="AX53" s="2054"/>
      <c r="AY53" s="2054"/>
      <c r="AZ53" s="2054"/>
      <c r="BA53" s="2054"/>
      <c r="BB53" s="2054"/>
      <c r="BC53" s="2054"/>
      <c r="BD53" s="2054"/>
      <c r="BE53" s="2054"/>
      <c r="BF53" s="2069"/>
      <c r="BG53" s="560"/>
      <c r="BH53" s="961"/>
      <c r="BI53" s="961"/>
      <c r="BJ53" s="961"/>
    </row>
    <row r="54" spans="3:62" ht="8" customHeight="1" thickTop="1" thickBot="1" x14ac:dyDescent="1.05">
      <c r="E54" s="577"/>
      <c r="F54" s="823"/>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3"/>
      <c r="AG54" s="824"/>
      <c r="AH54" s="824"/>
      <c r="AI54" s="824"/>
      <c r="AJ54" s="824"/>
      <c r="AK54" s="825"/>
      <c r="AL54" s="826"/>
      <c r="AM54" s="766"/>
      <c r="AN54" s="766"/>
      <c r="AO54" s="766"/>
      <c r="AP54" s="827"/>
      <c r="AQ54" s="828"/>
      <c r="AR54" s="829"/>
      <c r="AS54" s="829"/>
      <c r="AT54" s="829"/>
      <c r="AU54" s="829"/>
      <c r="AV54" s="829"/>
      <c r="AW54" s="829"/>
      <c r="AX54" s="829"/>
      <c r="AY54" s="829"/>
      <c r="AZ54" s="829"/>
      <c r="BA54" s="829"/>
      <c r="BB54" s="829"/>
      <c r="BC54" s="829"/>
      <c r="BD54" s="829"/>
      <c r="BE54" s="829"/>
      <c r="BF54" s="829"/>
      <c r="BG54" s="578"/>
      <c r="BH54" s="961"/>
      <c r="BI54" s="961"/>
      <c r="BJ54" s="961"/>
    </row>
    <row r="55" spans="3:62" ht="100" customHeight="1" thickTop="1" x14ac:dyDescent="1">
      <c r="E55" s="578"/>
      <c r="F55" s="564"/>
      <c r="G55" s="564"/>
      <c r="H55" s="564"/>
      <c r="I55" s="564"/>
      <c r="J55" s="564"/>
      <c r="K55" s="564"/>
      <c r="L55" s="564"/>
      <c r="M55" s="564"/>
      <c r="N55" s="564"/>
      <c r="O55" s="564"/>
      <c r="P55" s="564"/>
      <c r="Q55" s="564"/>
      <c r="R55" s="564"/>
      <c r="S55" s="564"/>
      <c r="T55" s="531"/>
      <c r="U55" s="513"/>
      <c r="V55" s="563"/>
      <c r="W55" s="564"/>
      <c r="X55" s="564"/>
      <c r="Y55" s="564"/>
      <c r="Z55" s="564"/>
      <c r="AA55" s="564"/>
      <c r="AB55" s="564"/>
      <c r="AC55" s="564"/>
      <c r="AD55" s="564"/>
      <c r="AE55" s="386"/>
      <c r="AF55" s="386"/>
      <c r="AG55" s="386"/>
      <c r="AH55" s="386"/>
      <c r="AI55" s="386"/>
      <c r="AJ55" s="546"/>
      <c r="AK55" s="560"/>
      <c r="AL55" s="830"/>
      <c r="AM55" s="830"/>
      <c r="AN55" s="830"/>
      <c r="AO55" s="830"/>
      <c r="AP55" s="831"/>
      <c r="AQ55" s="577"/>
      <c r="AR55" s="568"/>
      <c r="AS55" s="386"/>
      <c r="AT55" s="386"/>
      <c r="AU55" s="386"/>
      <c r="AV55" s="386"/>
      <c r="AW55" s="386"/>
      <c r="AX55" s="386"/>
      <c r="AY55" s="386"/>
      <c r="AZ55" s="386"/>
      <c r="BA55" s="386"/>
      <c r="BB55" s="386"/>
      <c r="BC55" s="386"/>
      <c r="BD55" s="386"/>
      <c r="BE55" s="386"/>
      <c r="BF55" s="546"/>
      <c r="BG55" s="578"/>
      <c r="BH55" s="696"/>
      <c r="BI55" s="696"/>
      <c r="BJ55" s="696"/>
    </row>
    <row r="56" spans="3:62" ht="100" customHeight="1" x14ac:dyDescent="1">
      <c r="E56" s="578"/>
      <c r="F56" s="386"/>
      <c r="G56" s="386"/>
      <c r="H56" s="386"/>
      <c r="I56" s="386"/>
      <c r="J56" s="386"/>
      <c r="K56" s="386"/>
      <c r="L56" s="386"/>
      <c r="M56" s="386"/>
      <c r="N56" s="598"/>
      <c r="O56" s="598"/>
      <c r="P56" s="598"/>
      <c r="Q56" s="598"/>
      <c r="R56" s="386"/>
      <c r="S56" s="386"/>
      <c r="T56" s="546"/>
      <c r="U56" s="547"/>
      <c r="V56" s="568"/>
      <c r="W56" s="386"/>
      <c r="X56" s="386"/>
      <c r="Y56" s="386"/>
      <c r="Z56" s="386"/>
      <c r="AA56" s="386"/>
      <c r="AB56" s="386"/>
      <c r="AC56" s="386"/>
      <c r="AD56" s="386"/>
      <c r="AE56" s="386"/>
      <c r="AF56" s="598"/>
      <c r="AG56" s="598"/>
      <c r="AH56" s="598"/>
      <c r="AI56" s="598"/>
      <c r="AJ56" s="546"/>
      <c r="AK56" s="560"/>
      <c r="AL56" s="723"/>
      <c r="AM56" s="723"/>
      <c r="AN56" s="723"/>
      <c r="AO56" s="723"/>
      <c r="AP56" s="832"/>
      <c r="AQ56" s="547"/>
      <c r="AR56" s="568"/>
      <c r="AS56" s="386"/>
      <c r="AT56" s="386"/>
      <c r="AU56" s="386"/>
      <c r="AV56" s="386"/>
      <c r="AW56" s="386"/>
      <c r="AX56" s="386"/>
      <c r="AY56" s="386"/>
      <c r="AZ56" s="598"/>
      <c r="BA56" s="598"/>
      <c r="BB56" s="598"/>
      <c r="BC56" s="598"/>
      <c r="BD56" s="386"/>
      <c r="BE56" s="386"/>
      <c r="BF56" s="546"/>
      <c r="BG56" s="578"/>
    </row>
    <row r="57" spans="3:62" ht="100" customHeight="1" x14ac:dyDescent="1">
      <c r="E57" s="578"/>
      <c r="F57" s="506"/>
      <c r="G57" s="506"/>
      <c r="H57" s="506"/>
      <c r="I57" s="506"/>
      <c r="J57" s="386"/>
      <c r="K57" s="386"/>
      <c r="L57" s="386"/>
      <c r="M57" s="386"/>
      <c r="N57" s="598"/>
      <c r="O57" s="598"/>
      <c r="P57" s="598"/>
      <c r="Q57" s="598"/>
      <c r="R57" s="386"/>
      <c r="S57" s="386"/>
      <c r="T57" s="546"/>
      <c r="U57" s="547"/>
      <c r="V57" s="568"/>
      <c r="W57" s="386"/>
      <c r="X57" s="506"/>
      <c r="Y57" s="506"/>
      <c r="Z57" s="506"/>
      <c r="AA57" s="506"/>
      <c r="AB57" s="386"/>
      <c r="AC57" s="386"/>
      <c r="AD57" s="386"/>
      <c r="AE57" s="386"/>
      <c r="AF57" s="598"/>
      <c r="AG57" s="598"/>
      <c r="AH57" s="598"/>
      <c r="AI57" s="598"/>
      <c r="AJ57" s="546"/>
      <c r="AK57" s="560"/>
      <c r="AL57" s="723"/>
      <c r="AM57" s="723"/>
      <c r="AN57" s="723"/>
      <c r="AO57" s="723"/>
      <c r="AP57" s="832"/>
      <c r="AQ57" s="547"/>
      <c r="AR57" s="688"/>
      <c r="AS57" s="506"/>
      <c r="AT57" s="506"/>
      <c r="AU57" s="506"/>
      <c r="AV57" s="386"/>
      <c r="AW57" s="386"/>
      <c r="AX57" s="579"/>
      <c r="AY57" s="579"/>
      <c r="AZ57" s="579"/>
      <c r="BA57" s="579"/>
      <c r="BB57" s="579"/>
      <c r="BC57" s="579"/>
      <c r="BD57" s="579"/>
      <c r="BE57" s="579"/>
      <c r="BF57" s="546"/>
      <c r="BG57" s="578"/>
    </row>
    <row r="58" spans="3:62" ht="100" customHeight="1" x14ac:dyDescent="1">
      <c r="E58" s="578"/>
      <c r="F58" s="506"/>
      <c r="G58" s="506"/>
      <c r="H58" s="727" t="s">
        <v>179</v>
      </c>
      <c r="I58" s="727"/>
      <c r="J58" s="648"/>
      <c r="K58" s="648"/>
      <c r="L58" s="682"/>
      <c r="M58" s="682"/>
      <c r="N58" s="682"/>
      <c r="O58" s="682"/>
      <c r="P58" s="682"/>
      <c r="Q58" s="682"/>
      <c r="R58" s="682"/>
      <c r="S58" s="682"/>
      <c r="T58" s="833"/>
      <c r="U58" s="834"/>
      <c r="V58" s="687"/>
      <c r="W58" s="682"/>
      <c r="X58" s="727" t="s">
        <v>179</v>
      </c>
      <c r="Y58" s="506"/>
      <c r="Z58" s="506"/>
      <c r="AA58" s="506"/>
      <c r="AB58" s="648"/>
      <c r="AC58" s="648"/>
      <c r="AD58" s="682"/>
      <c r="AE58" s="682"/>
      <c r="AF58" s="682"/>
      <c r="AG58" s="682"/>
      <c r="AH58" s="682"/>
      <c r="AI58" s="682"/>
      <c r="AJ58" s="833"/>
      <c r="AK58" s="835"/>
      <c r="AL58" s="836"/>
      <c r="AM58" s="837" t="s">
        <v>139</v>
      </c>
      <c r="AN58" s="838"/>
      <c r="AO58" s="837"/>
      <c r="AP58" s="839"/>
      <c r="AQ58" s="840"/>
      <c r="AR58" s="688"/>
      <c r="AS58" s="506"/>
      <c r="AT58" s="727" t="s">
        <v>196</v>
      </c>
      <c r="AU58" s="506"/>
      <c r="AV58" s="682"/>
      <c r="AW58" s="682"/>
      <c r="AX58" s="682"/>
      <c r="AY58" s="682"/>
      <c r="AZ58" s="598"/>
      <c r="BA58" s="598"/>
      <c r="BB58" s="648"/>
      <c r="BC58" s="648"/>
      <c r="BD58" s="682"/>
      <c r="BE58" s="682"/>
      <c r="BF58" s="833"/>
      <c r="BG58" s="578"/>
    </row>
    <row r="59" spans="3:62" ht="100" customHeight="1" x14ac:dyDescent="1">
      <c r="E59" s="578"/>
      <c r="F59" s="386"/>
      <c r="G59" s="386"/>
      <c r="H59" s="648">
        <v>3500</v>
      </c>
      <c r="I59" s="648"/>
      <c r="J59" s="780"/>
      <c r="K59" s="780"/>
      <c r="L59" s="780"/>
      <c r="M59" s="780"/>
      <c r="N59" s="780"/>
      <c r="O59" s="780"/>
      <c r="P59" s="682"/>
      <c r="Q59" s="682"/>
      <c r="R59" s="780"/>
      <c r="S59" s="780"/>
      <c r="T59" s="841"/>
      <c r="U59" s="842"/>
      <c r="V59" s="843"/>
      <c r="W59" s="780"/>
      <c r="X59" s="933">
        <v>3500</v>
      </c>
      <c r="Y59" s="386"/>
      <c r="Z59" s="386"/>
      <c r="AA59" s="386"/>
      <c r="AB59" s="648"/>
      <c r="AC59" s="648"/>
      <c r="AD59" s="780"/>
      <c r="AE59" s="780"/>
      <c r="AF59" s="780"/>
      <c r="AG59" s="780"/>
      <c r="AH59" s="682"/>
      <c r="AI59" s="682"/>
      <c r="AJ59" s="841"/>
      <c r="AK59" s="844"/>
      <c r="AL59" s="845"/>
      <c r="AM59" s="845"/>
      <c r="AN59" s="846">
        <v>400</v>
      </c>
      <c r="AO59" s="845"/>
      <c r="AP59" s="832"/>
      <c r="AQ59" s="547"/>
      <c r="AR59" s="568"/>
      <c r="AS59" s="386"/>
      <c r="AT59" s="741">
        <f>H48+H59</f>
        <v>7000</v>
      </c>
      <c r="AU59" s="386"/>
      <c r="AV59" s="780"/>
      <c r="AW59" s="780"/>
      <c r="AX59" s="780"/>
      <c r="AY59" s="780"/>
      <c r="AZ59" s="780"/>
      <c r="BA59" s="780"/>
      <c r="BB59" s="648"/>
      <c r="BC59" s="648"/>
      <c r="BD59" s="780"/>
      <c r="BE59" s="780"/>
      <c r="BF59" s="841"/>
      <c r="BG59" s="578"/>
    </row>
    <row r="60" spans="3:62" ht="100" customHeight="1" x14ac:dyDescent="1">
      <c r="E60" s="578"/>
      <c r="F60" s="386"/>
      <c r="G60" s="386"/>
      <c r="H60" s="386"/>
      <c r="I60" s="386"/>
      <c r="J60" s="386"/>
      <c r="K60" s="386"/>
      <c r="L60" s="386"/>
      <c r="M60" s="386"/>
      <c r="N60" s="598"/>
      <c r="O60" s="598"/>
      <c r="P60" s="598"/>
      <c r="Q60" s="598"/>
      <c r="R60" s="386"/>
      <c r="S60" s="386"/>
      <c r="T60" s="546"/>
      <c r="U60" s="547"/>
      <c r="V60" s="568"/>
      <c r="W60" s="386"/>
      <c r="X60" s="386"/>
      <c r="Y60" s="386"/>
      <c r="Z60" s="386"/>
      <c r="AA60" s="386"/>
      <c r="AB60" s="386"/>
      <c r="AC60" s="386"/>
      <c r="AD60" s="386"/>
      <c r="AE60" s="386"/>
      <c r="AF60" s="598"/>
      <c r="AG60" s="598"/>
      <c r="AH60" s="598"/>
      <c r="AI60" s="598"/>
      <c r="AJ60" s="546"/>
      <c r="AK60" s="560"/>
      <c r="AL60" s="723"/>
      <c r="AM60" s="723"/>
      <c r="AN60" s="723"/>
      <c r="AO60" s="723"/>
      <c r="AP60" s="832"/>
      <c r="AQ60" s="547"/>
      <c r="AR60" s="568"/>
      <c r="AS60" s="386"/>
      <c r="AT60" s="386"/>
      <c r="AU60" s="386"/>
      <c r="AV60" s="386"/>
      <c r="AW60" s="386"/>
      <c r="AX60" s="386"/>
      <c r="AY60" s="386"/>
      <c r="AZ60" s="598"/>
      <c r="BA60" s="598"/>
      <c r="BB60" s="598"/>
      <c r="BC60" s="598"/>
      <c r="BD60" s="386"/>
      <c r="BE60" s="386"/>
      <c r="BF60" s="546"/>
      <c r="BG60" s="578"/>
    </row>
    <row r="61" spans="3:62" ht="100" customHeight="1" thickBot="1" x14ac:dyDescent="1.05">
      <c r="E61" s="578"/>
      <c r="F61" s="570"/>
      <c r="G61" s="570"/>
      <c r="H61" s="570"/>
      <c r="I61" s="570"/>
      <c r="J61" s="570"/>
      <c r="K61" s="570"/>
      <c r="L61" s="570"/>
      <c r="M61" s="570"/>
      <c r="N61" s="570"/>
      <c r="O61" s="570"/>
      <c r="P61" s="570"/>
      <c r="Q61" s="570"/>
      <c r="R61" s="570"/>
      <c r="S61" s="570"/>
      <c r="T61" s="626"/>
      <c r="U61" s="519"/>
      <c r="V61" s="569"/>
      <c r="W61" s="570"/>
      <c r="X61" s="570"/>
      <c r="Y61" s="570"/>
      <c r="Z61" s="570"/>
      <c r="AA61" s="570"/>
      <c r="AB61" s="570"/>
      <c r="AC61" s="570"/>
      <c r="AD61" s="570"/>
      <c r="AE61" s="570"/>
      <c r="AF61" s="570"/>
      <c r="AG61" s="570"/>
      <c r="AH61" s="570"/>
      <c r="AI61" s="570"/>
      <c r="AJ61" s="626"/>
      <c r="AK61" s="560"/>
      <c r="AL61" s="723"/>
      <c r="AM61" s="723"/>
      <c r="AN61" s="723"/>
      <c r="AO61" s="723"/>
      <c r="AP61" s="847"/>
      <c r="AQ61" s="547"/>
      <c r="AR61" s="569"/>
      <c r="AS61" s="570"/>
      <c r="AT61" s="570"/>
      <c r="AU61" s="570"/>
      <c r="AV61" s="570"/>
      <c r="AW61" s="570"/>
      <c r="AX61" s="570"/>
      <c r="AY61" s="570"/>
      <c r="AZ61" s="570"/>
      <c r="BA61" s="570"/>
      <c r="BB61" s="570"/>
      <c r="BC61" s="570"/>
      <c r="BD61" s="570"/>
      <c r="BE61" s="570"/>
      <c r="BF61" s="626"/>
      <c r="BG61" s="578"/>
    </row>
    <row r="62" spans="3:62" ht="8" customHeight="1" thickTop="1" thickBot="1" x14ac:dyDescent="1.05">
      <c r="E62" s="623"/>
      <c r="F62" s="561"/>
      <c r="G62" s="561"/>
      <c r="H62" s="561"/>
      <c r="I62" s="561"/>
      <c r="J62" s="561"/>
      <c r="K62" s="561"/>
      <c r="L62" s="561"/>
      <c r="M62" s="561"/>
      <c r="N62" s="561"/>
      <c r="O62" s="561"/>
      <c r="P62" s="561"/>
      <c r="Q62" s="561"/>
      <c r="R62" s="561"/>
      <c r="S62" s="561"/>
      <c r="T62" s="561"/>
      <c r="U62" s="561"/>
      <c r="V62" s="561"/>
      <c r="W62" s="561"/>
      <c r="X62" s="561"/>
      <c r="Y62" s="561"/>
      <c r="Z62" s="561"/>
      <c r="AA62" s="561"/>
      <c r="AB62" s="561"/>
      <c r="AC62" s="561"/>
      <c r="AD62" s="561"/>
      <c r="AE62" s="561"/>
      <c r="AF62" s="561"/>
      <c r="AG62" s="561"/>
      <c r="AH62" s="561"/>
      <c r="AI62" s="561"/>
      <c r="AJ62" s="576"/>
      <c r="AK62" s="623"/>
      <c r="AL62" s="848"/>
      <c r="AM62" s="848"/>
      <c r="AN62" s="848"/>
      <c r="AO62" s="848"/>
      <c r="AP62" s="849"/>
      <c r="AQ62" s="577"/>
      <c r="AR62" s="575"/>
      <c r="AS62" s="561"/>
      <c r="AT62" s="561"/>
      <c r="AU62" s="561"/>
      <c r="AV62" s="561"/>
      <c r="AW62" s="561"/>
      <c r="AX62" s="561"/>
      <c r="AY62" s="561"/>
      <c r="AZ62" s="561"/>
      <c r="BA62" s="561"/>
      <c r="BB62" s="561"/>
      <c r="BC62" s="561"/>
      <c r="BD62" s="561"/>
      <c r="BE62" s="561"/>
      <c r="BF62" s="576"/>
      <c r="BG62" s="623"/>
    </row>
    <row r="63" spans="3:62" ht="50" customHeight="1" thickTop="1" x14ac:dyDescent="1">
      <c r="AQ63" s="521"/>
    </row>
    <row r="64" spans="3:62" s="1426" customFormat="1" ht="100" customHeight="1" x14ac:dyDescent="1.2">
      <c r="C64" s="1431"/>
      <c r="F64" s="1426" t="s">
        <v>254</v>
      </c>
      <c r="AQ64" s="1431"/>
    </row>
    <row r="65" spans="3:59" s="1426" customFormat="1" ht="100" customHeight="1" x14ac:dyDescent="1.2">
      <c r="C65" s="1431"/>
      <c r="AQ65" s="1431"/>
    </row>
    <row r="66" spans="3:59" s="1426" customFormat="1" ht="100" customHeight="1" x14ac:dyDescent="1.2">
      <c r="C66" s="1431"/>
      <c r="F66" s="1436" t="s">
        <v>147</v>
      </c>
      <c r="G66" s="1436"/>
      <c r="P66" s="1427" t="s">
        <v>134</v>
      </c>
      <c r="Q66" s="1427"/>
      <c r="R66" s="1438">
        <v>20000</v>
      </c>
      <c r="S66" s="1438"/>
      <c r="T66" s="1446"/>
      <c r="U66" s="1446"/>
      <c r="V66" s="1431"/>
      <c r="AF66" s="1422" t="s">
        <v>231</v>
      </c>
      <c r="AG66" s="1422"/>
      <c r="AH66" s="1423" t="s">
        <v>151</v>
      </c>
      <c r="AI66" s="1423"/>
      <c r="AJ66" s="1424" t="s">
        <v>248</v>
      </c>
      <c r="AK66" s="1424"/>
    </row>
    <row r="67" spans="3:59" s="1426" customFormat="1" ht="100" customHeight="1" x14ac:dyDescent="1.2">
      <c r="C67" s="1431"/>
      <c r="F67" s="1436"/>
      <c r="G67" s="1436"/>
      <c r="P67" s="1427" t="s">
        <v>143</v>
      </c>
      <c r="Q67" s="1427"/>
      <c r="R67" s="1447">
        <f>H89+AR89</f>
        <v>14700</v>
      </c>
      <c r="S67" s="1448"/>
      <c r="T67" s="1446"/>
      <c r="U67" s="1446"/>
      <c r="V67" s="1431"/>
      <c r="AB67" s="1449"/>
      <c r="AH67" s="1427" t="s">
        <v>151</v>
      </c>
      <c r="AI67" s="1427"/>
      <c r="AJ67" s="1426" t="s">
        <v>245</v>
      </c>
    </row>
    <row r="68" spans="3:59" s="1426" customFormat="1" ht="100" customHeight="1" x14ac:dyDescent="1.2">
      <c r="C68" s="1431"/>
      <c r="F68" s="1436"/>
      <c r="G68" s="1436"/>
      <c r="N68" s="1429"/>
      <c r="O68" s="1429"/>
      <c r="P68" s="1441" t="s">
        <v>156</v>
      </c>
      <c r="Q68" s="1441"/>
      <c r="R68" s="1450">
        <f>R66-R67</f>
        <v>5300</v>
      </c>
      <c r="S68" s="1450"/>
      <c r="T68" s="1429" t="s">
        <v>33</v>
      </c>
      <c r="U68" s="1429"/>
      <c r="V68" s="1432"/>
      <c r="AH68" s="1427" t="s">
        <v>151</v>
      </c>
      <c r="AI68" s="1427"/>
      <c r="AJ68" s="1426" t="s">
        <v>246</v>
      </c>
    </row>
    <row r="69" spans="3:59" s="1426" customFormat="1" ht="100" customHeight="1" x14ac:dyDescent="1.2">
      <c r="C69" s="1431"/>
      <c r="AJ69" s="1429"/>
      <c r="AK69" s="1429"/>
      <c r="AL69" s="1429" t="s">
        <v>277</v>
      </c>
      <c r="AS69" s="1429"/>
      <c r="AT69" s="1429"/>
      <c r="AU69" s="1429"/>
      <c r="AV69" s="1429"/>
      <c r="AW69" s="1429"/>
      <c r="AX69" s="1429"/>
      <c r="AY69" s="1429"/>
      <c r="AZ69" s="1429"/>
      <c r="BA69" s="1429"/>
      <c r="BB69" s="1429"/>
      <c r="BC69" s="1429"/>
      <c r="BD69" s="1429"/>
    </row>
    <row r="70" spans="3:59" s="1426" customFormat="1" ht="100" customHeight="1" x14ac:dyDescent="1.2">
      <c r="C70" s="1431"/>
      <c r="AH70" s="1427" t="s">
        <v>151</v>
      </c>
      <c r="AJ70" s="1429" t="s">
        <v>205</v>
      </c>
      <c r="AK70" s="1429"/>
      <c r="AL70" s="1429"/>
      <c r="AS70" s="1429"/>
      <c r="AT70" s="1429"/>
      <c r="AU70" s="1429"/>
      <c r="AV70" s="1429"/>
      <c r="AW70" s="1429"/>
      <c r="AX70" s="1429"/>
      <c r="AY70" s="1429"/>
      <c r="AZ70" s="1429"/>
      <c r="BA70" s="1429"/>
      <c r="BB70" s="1429"/>
      <c r="BC70" s="1429"/>
      <c r="BD70" s="1429"/>
    </row>
    <row r="71" spans="3:59" s="1426" customFormat="1" ht="100" customHeight="1" x14ac:dyDescent="1.2">
      <c r="C71" s="1431"/>
      <c r="AJ71" s="1429" t="s">
        <v>249</v>
      </c>
      <c r="AK71" s="1429"/>
      <c r="AL71" s="1429"/>
      <c r="AS71" s="1429"/>
      <c r="AT71" s="1429"/>
      <c r="AU71" s="1429"/>
      <c r="AV71" s="1429"/>
      <c r="AW71" s="1429"/>
      <c r="AX71" s="1429"/>
      <c r="AY71" s="1429"/>
      <c r="AZ71" s="1429"/>
      <c r="BA71" s="1429"/>
      <c r="BB71" s="1429"/>
      <c r="BC71" s="1429"/>
      <c r="BD71" s="1429"/>
    </row>
    <row r="72" spans="3:59" s="1426" customFormat="1" ht="100" customHeight="1" thickBot="1" x14ac:dyDescent="1.25">
      <c r="C72" s="1431"/>
      <c r="E72" s="1451"/>
      <c r="F72" s="1451"/>
      <c r="G72" s="1451"/>
      <c r="H72" s="1451"/>
      <c r="AH72" s="1431"/>
      <c r="AI72" s="1431"/>
      <c r="AJ72" s="1431"/>
      <c r="AK72" s="1445"/>
      <c r="AL72" s="1445"/>
      <c r="AM72" s="1445"/>
      <c r="AN72" s="1445"/>
      <c r="AO72" s="1445"/>
      <c r="AP72" s="1445"/>
      <c r="AQ72" s="1431"/>
    </row>
    <row r="73" spans="3:59" ht="10" customHeight="1" thickTop="1" thickBot="1" x14ac:dyDescent="1.05">
      <c r="D73" s="408"/>
      <c r="E73" s="630"/>
      <c r="F73" s="638"/>
      <c r="G73" s="639"/>
      <c r="H73" s="639"/>
      <c r="I73" s="632"/>
      <c r="J73" s="632"/>
      <c r="K73" s="632"/>
      <c r="L73" s="632"/>
      <c r="M73" s="632"/>
      <c r="N73" s="632"/>
      <c r="O73" s="632"/>
      <c r="P73" s="632"/>
      <c r="Q73" s="632"/>
      <c r="R73" s="632"/>
      <c r="S73" s="632"/>
      <c r="T73" s="632"/>
      <c r="U73" s="632"/>
      <c r="V73" s="632"/>
      <c r="W73" s="632"/>
      <c r="X73" s="632"/>
      <c r="Y73" s="852"/>
      <c r="Z73" s="853"/>
      <c r="AA73" s="853"/>
      <c r="AB73" s="853"/>
      <c r="AC73" s="853"/>
      <c r="AD73" s="853"/>
      <c r="AE73" s="853"/>
      <c r="AF73" s="853"/>
      <c r="AG73" s="853"/>
      <c r="AH73" s="853"/>
      <c r="AI73" s="854"/>
      <c r="AJ73" s="855"/>
      <c r="AK73" s="388"/>
      <c r="AL73" s="388"/>
      <c r="AM73" s="388"/>
      <c r="AN73" s="388"/>
      <c r="AO73" s="388"/>
      <c r="AP73" s="856"/>
      <c r="AQ73" s="857"/>
      <c r="AR73" s="706"/>
      <c r="AS73" s="707"/>
      <c r="AT73" s="707"/>
      <c r="AU73" s="707"/>
      <c r="AV73" s="707"/>
      <c r="AW73" s="707"/>
      <c r="AX73" s="707"/>
      <c r="AY73" s="707"/>
      <c r="AZ73" s="707"/>
      <c r="BA73" s="707"/>
      <c r="BB73" s="707"/>
      <c r="BC73" s="707"/>
      <c r="BD73" s="707"/>
      <c r="BE73" s="707"/>
      <c r="BF73" s="708"/>
      <c r="BG73" s="705"/>
    </row>
    <row r="74" spans="3:59" ht="100" customHeight="1" thickTop="1" x14ac:dyDescent="1">
      <c r="D74" s="408"/>
      <c r="E74" s="635"/>
      <c r="F74" s="858"/>
      <c r="G74" s="667"/>
      <c r="H74" s="667"/>
      <c r="I74" s="667"/>
      <c r="J74" s="667"/>
      <c r="K74" s="667"/>
      <c r="L74" s="667"/>
      <c r="M74" s="667"/>
      <c r="N74" s="859"/>
      <c r="O74" s="859"/>
      <c r="P74" s="667"/>
      <c r="Q74" s="667"/>
      <c r="R74" s="667"/>
      <c r="S74" s="667"/>
      <c r="T74" s="667"/>
      <c r="U74" s="667"/>
      <c r="V74" s="667"/>
      <c r="W74" s="667"/>
      <c r="X74" s="669"/>
      <c r="Y74" s="673"/>
      <c r="Z74" s="723"/>
      <c r="AA74" s="723"/>
      <c r="AB74" s="723"/>
      <c r="AC74" s="723"/>
      <c r="AD74" s="723"/>
      <c r="AE74" s="723"/>
      <c r="AF74" s="723"/>
      <c r="AG74" s="723"/>
      <c r="AH74" s="830"/>
      <c r="AI74" s="798"/>
      <c r="AJ74" s="388"/>
      <c r="AK74" s="388"/>
      <c r="AL74" s="388"/>
      <c r="AM74" s="388"/>
      <c r="AN74" s="388"/>
      <c r="AO74" s="388"/>
      <c r="AP74" s="860"/>
      <c r="AQ74" s="861"/>
      <c r="AR74" s="862"/>
      <c r="AS74" s="863"/>
      <c r="AT74" s="863"/>
      <c r="AU74" s="863"/>
      <c r="AV74" s="863"/>
      <c r="AW74" s="863"/>
      <c r="AX74" s="863"/>
      <c r="AY74" s="863"/>
      <c r="AZ74" s="864"/>
      <c r="BA74" s="864"/>
      <c r="BB74" s="863"/>
      <c r="BC74" s="863"/>
      <c r="BD74" s="863"/>
      <c r="BE74" s="863"/>
      <c r="BF74" s="865"/>
      <c r="BG74" s="703"/>
    </row>
    <row r="75" spans="3:59" ht="100" customHeight="1" x14ac:dyDescent="1">
      <c r="D75" s="408"/>
      <c r="E75" s="635"/>
      <c r="F75" s="664"/>
      <c r="G75" s="386"/>
      <c r="H75" s="386"/>
      <c r="I75" s="386"/>
      <c r="J75" s="386"/>
      <c r="K75" s="386"/>
      <c r="L75" s="386"/>
      <c r="M75" s="386"/>
      <c r="N75" s="392"/>
      <c r="O75" s="392"/>
      <c r="P75" s="386"/>
      <c r="Q75" s="386"/>
      <c r="R75" s="386"/>
      <c r="S75" s="386"/>
      <c r="T75" s="386"/>
      <c r="U75" s="386"/>
      <c r="V75" s="386"/>
      <c r="W75" s="386"/>
      <c r="X75" s="674"/>
      <c r="Y75" s="673"/>
      <c r="Z75" s="838"/>
      <c r="AA75" s="838"/>
      <c r="AB75" s="838"/>
      <c r="AC75" s="838"/>
      <c r="AD75" s="838"/>
      <c r="AE75" s="838"/>
      <c r="AF75" s="838"/>
      <c r="AG75" s="838"/>
      <c r="AH75" s="723"/>
      <c r="AI75" s="798"/>
      <c r="AJ75" s="388"/>
      <c r="AK75" s="388"/>
      <c r="AL75" s="388"/>
      <c r="AM75" s="388"/>
      <c r="AN75" s="388"/>
      <c r="AO75" s="388"/>
      <c r="AP75" s="860"/>
      <c r="AQ75" s="861"/>
      <c r="AR75" s="719"/>
      <c r="AS75" s="720"/>
      <c r="AT75" s="720"/>
      <c r="AU75" s="720"/>
      <c r="AV75" s="720"/>
      <c r="AW75" s="720"/>
      <c r="AX75" s="720"/>
      <c r="AY75" s="720"/>
      <c r="AZ75" s="392"/>
      <c r="BA75" s="392"/>
      <c r="BB75" s="720"/>
      <c r="BC75" s="720"/>
      <c r="BD75" s="720"/>
      <c r="BE75" s="720"/>
      <c r="BF75" s="721"/>
      <c r="BG75" s="703"/>
    </row>
    <row r="76" spans="3:59" ht="100" customHeight="1" x14ac:dyDescent="1">
      <c r="D76" s="408"/>
      <c r="E76" s="635"/>
      <c r="F76" s="692"/>
      <c r="G76" s="506"/>
      <c r="H76" s="506"/>
      <c r="I76" s="506"/>
      <c r="J76" s="506"/>
      <c r="K76" s="506"/>
      <c r="L76" s="506"/>
      <c r="M76" s="506"/>
      <c r="N76" s="732"/>
      <c r="O76" s="732"/>
      <c r="P76" s="506"/>
      <c r="Q76" s="506"/>
      <c r="R76" s="506"/>
      <c r="S76" s="506"/>
      <c r="T76" s="506"/>
      <c r="U76" s="506"/>
      <c r="V76" s="506"/>
      <c r="W76" s="506"/>
      <c r="X76" s="672"/>
      <c r="Y76" s="671"/>
      <c r="Z76" s="951"/>
      <c r="AA76" s="951"/>
      <c r="AB76" s="951"/>
      <c r="AC76" s="951"/>
      <c r="AD76" s="951"/>
      <c r="AE76" s="951"/>
      <c r="AF76" s="951"/>
      <c r="AG76" s="951"/>
      <c r="AH76" s="734"/>
      <c r="AI76" s="802"/>
      <c r="AJ76" s="869"/>
      <c r="AK76" s="869"/>
      <c r="AL76" s="869"/>
      <c r="AM76" s="869"/>
      <c r="AN76" s="869"/>
      <c r="AO76" s="869"/>
      <c r="AP76" s="866"/>
      <c r="AQ76" s="867"/>
      <c r="AR76" s="729"/>
      <c r="AS76" s="730"/>
      <c r="AT76" s="730"/>
      <c r="AU76" s="730"/>
      <c r="AV76" s="730"/>
      <c r="AW76" s="730"/>
      <c r="AX76" s="730"/>
      <c r="AY76" s="730"/>
      <c r="AZ76" s="732"/>
      <c r="BA76" s="732"/>
      <c r="BB76" s="730"/>
      <c r="BC76" s="730"/>
      <c r="BD76" s="730"/>
      <c r="BE76" s="730"/>
      <c r="BF76" s="721"/>
      <c r="BG76" s="703"/>
    </row>
    <row r="77" spans="3:59" ht="100" customHeight="1" x14ac:dyDescent="1">
      <c r="D77" s="408"/>
      <c r="E77" s="635"/>
      <c r="F77" s="692"/>
      <c r="G77" s="506"/>
      <c r="H77" s="727"/>
      <c r="I77" s="727"/>
      <c r="J77" s="506"/>
      <c r="K77" s="506"/>
      <c r="L77" s="648"/>
      <c r="M77" s="648"/>
      <c r="N77" s="728" t="s">
        <v>175</v>
      </c>
      <c r="O77" s="728"/>
      <c r="P77" s="506"/>
      <c r="Q77" s="506"/>
      <c r="R77" s="506"/>
      <c r="S77" s="506"/>
      <c r="T77" s="506"/>
      <c r="U77" s="506"/>
      <c r="V77" s="506"/>
      <c r="W77" s="506"/>
      <c r="X77" s="672"/>
      <c r="Y77" s="671"/>
      <c r="Z77" s="951"/>
      <c r="AA77" s="951"/>
      <c r="AB77" s="868" t="s">
        <v>139</v>
      </c>
      <c r="AC77" s="868"/>
      <c r="AD77" s="868"/>
      <c r="AE77" s="868"/>
      <c r="AF77" s="868"/>
      <c r="AG77" s="951"/>
      <c r="AH77" s="734"/>
      <c r="AI77" s="802"/>
      <c r="AJ77" s="2073" t="s">
        <v>124</v>
      </c>
      <c r="AK77" s="2107"/>
      <c r="AL77" s="2107"/>
      <c r="AM77" s="2107"/>
      <c r="AN77" s="2107"/>
      <c r="AO77" s="869"/>
      <c r="AP77" s="866" t="s">
        <v>178</v>
      </c>
      <c r="AQ77" s="867"/>
      <c r="AR77" s="729"/>
      <c r="AS77" s="730"/>
      <c r="AT77" s="870" t="s">
        <v>138</v>
      </c>
      <c r="AU77" s="870"/>
      <c r="AV77" s="870"/>
      <c r="AW77" s="870"/>
      <c r="AX77" s="730"/>
      <c r="AY77" s="730"/>
      <c r="AZ77" s="728" t="s">
        <v>175</v>
      </c>
      <c r="BA77" s="728"/>
      <c r="BB77" s="737"/>
      <c r="BC77" s="737"/>
      <c r="BD77" s="730"/>
      <c r="BE77" s="730"/>
      <c r="BF77" s="731"/>
      <c r="BG77" s="703"/>
    </row>
    <row r="78" spans="3:59" ht="100" customHeight="1" x14ac:dyDescent="1">
      <c r="D78" s="408"/>
      <c r="E78" s="635"/>
      <c r="F78" s="664"/>
      <c r="G78" s="386"/>
      <c r="H78" s="648"/>
      <c r="I78" s="648"/>
      <c r="J78" s="386"/>
      <c r="K78" s="386"/>
      <c r="L78" s="386"/>
      <c r="M78" s="386"/>
      <c r="N78" s="728" t="s">
        <v>127</v>
      </c>
      <c r="O78" s="728"/>
      <c r="P78" s="386"/>
      <c r="Q78" s="386"/>
      <c r="R78" s="386"/>
      <c r="S78" s="386"/>
      <c r="T78" s="386"/>
      <c r="U78" s="386"/>
      <c r="V78" s="386"/>
      <c r="W78" s="386"/>
      <c r="X78" s="674"/>
      <c r="Y78" s="673"/>
      <c r="Z78" s="838"/>
      <c r="AA78" s="838"/>
      <c r="AB78" s="871">
        <v>800</v>
      </c>
      <c r="AC78" s="838"/>
      <c r="AD78" s="838"/>
      <c r="AE78" s="838"/>
      <c r="AF78" s="838"/>
      <c r="AG78" s="838"/>
      <c r="AH78" s="723"/>
      <c r="AI78" s="798"/>
      <c r="AJ78" s="388"/>
      <c r="AK78" s="388"/>
      <c r="AL78" s="388"/>
      <c r="AM78" s="388"/>
      <c r="AN78" s="388"/>
      <c r="AO78" s="388"/>
      <c r="AP78" s="866" t="s">
        <v>127</v>
      </c>
      <c r="AQ78" s="867"/>
      <c r="AR78" s="719"/>
      <c r="AS78" s="720"/>
      <c r="AT78" s="872">
        <v>2000</v>
      </c>
      <c r="AU78" s="872"/>
      <c r="AV78" s="870"/>
      <c r="AW78" s="870"/>
      <c r="AX78" s="720"/>
      <c r="AY78" s="720"/>
      <c r="AZ78" s="728" t="s">
        <v>127</v>
      </c>
      <c r="BA78" s="728"/>
      <c r="BB78" s="720"/>
      <c r="BC78" s="720"/>
      <c r="BD78" s="720"/>
      <c r="BE78" s="720"/>
      <c r="BF78" s="721"/>
      <c r="BG78" s="703"/>
    </row>
    <row r="79" spans="3:59" ht="100" customHeight="1" x14ac:dyDescent="1">
      <c r="D79" s="408"/>
      <c r="E79" s="635"/>
      <c r="F79" s="664"/>
      <c r="G79" s="386"/>
      <c r="H79" s="386"/>
      <c r="I79" s="386"/>
      <c r="J79" s="386"/>
      <c r="K79" s="386"/>
      <c r="L79" s="386"/>
      <c r="M79" s="386"/>
      <c r="N79" s="392"/>
      <c r="O79" s="392"/>
      <c r="P79" s="386"/>
      <c r="Q79" s="386"/>
      <c r="R79" s="386"/>
      <c r="S79" s="386"/>
      <c r="T79" s="386"/>
      <c r="U79" s="386"/>
      <c r="V79" s="386"/>
      <c r="W79" s="386"/>
      <c r="X79" s="674"/>
      <c r="Y79" s="673"/>
      <c r="Z79" s="838"/>
      <c r="AA79" s="838"/>
      <c r="AB79" s="838"/>
      <c r="AC79" s="838"/>
      <c r="AD79" s="838"/>
      <c r="AE79" s="838"/>
      <c r="AF79" s="838"/>
      <c r="AG79" s="838"/>
      <c r="AH79" s="723"/>
      <c r="AI79" s="798"/>
      <c r="AJ79" s="388"/>
      <c r="AK79" s="388"/>
      <c r="AL79" s="388"/>
      <c r="AM79" s="388"/>
      <c r="AN79" s="388"/>
      <c r="AO79" s="388"/>
      <c r="AP79" s="860"/>
      <c r="AQ79" s="861"/>
      <c r="AR79" s="719"/>
      <c r="AS79" s="720"/>
      <c r="AT79" s="720"/>
      <c r="AU79" s="720"/>
      <c r="AV79" s="720"/>
      <c r="AW79" s="720"/>
      <c r="AX79" s="720"/>
      <c r="AY79" s="720"/>
      <c r="AZ79" s="392"/>
      <c r="BA79" s="392"/>
      <c r="BB79" s="720"/>
      <c r="BC79" s="720"/>
      <c r="BD79" s="720"/>
      <c r="BE79" s="720"/>
      <c r="BF79" s="721"/>
      <c r="BG79" s="703"/>
    </row>
    <row r="80" spans="3:59" ht="100" customHeight="1" thickBot="1" x14ac:dyDescent="1.05">
      <c r="D80" s="408"/>
      <c r="E80" s="635"/>
      <c r="F80" s="664"/>
      <c r="G80" s="386"/>
      <c r="H80" s="386"/>
      <c r="I80" s="386"/>
      <c r="J80" s="386"/>
      <c r="K80" s="386"/>
      <c r="L80" s="386"/>
      <c r="M80" s="386"/>
      <c r="N80" s="392"/>
      <c r="O80" s="392"/>
      <c r="P80" s="386"/>
      <c r="Q80" s="386"/>
      <c r="R80" s="386"/>
      <c r="S80" s="386"/>
      <c r="T80" s="386"/>
      <c r="U80" s="386"/>
      <c r="V80" s="386"/>
      <c r="W80" s="386"/>
      <c r="X80" s="674"/>
      <c r="Y80" s="673"/>
      <c r="Z80" s="723"/>
      <c r="AA80" s="723"/>
      <c r="AB80" s="723"/>
      <c r="AC80" s="723"/>
      <c r="AD80" s="723"/>
      <c r="AE80" s="723"/>
      <c r="AF80" s="723"/>
      <c r="AG80" s="723"/>
      <c r="AH80" s="723"/>
      <c r="AI80" s="798"/>
      <c r="AJ80" s="388"/>
      <c r="AK80" s="388"/>
      <c r="AL80" s="388"/>
      <c r="AM80" s="388"/>
      <c r="AN80" s="388"/>
      <c r="AO80" s="388"/>
      <c r="AP80" s="860"/>
      <c r="AQ80" s="861"/>
      <c r="AR80" s="745"/>
      <c r="AS80" s="746"/>
      <c r="AT80" s="746"/>
      <c r="AU80" s="746"/>
      <c r="AV80" s="746"/>
      <c r="AW80" s="746"/>
      <c r="AX80" s="746"/>
      <c r="AY80" s="746"/>
      <c r="AZ80" s="873"/>
      <c r="BA80" s="873"/>
      <c r="BB80" s="746"/>
      <c r="BC80" s="746"/>
      <c r="BD80" s="746"/>
      <c r="BE80" s="746"/>
      <c r="BF80" s="747"/>
      <c r="BG80" s="703"/>
    </row>
    <row r="81" spans="4:59" ht="10" customHeight="1" thickTop="1" thickBot="1" x14ac:dyDescent="1.05">
      <c r="D81" s="408"/>
      <c r="E81" s="635"/>
      <c r="F81" s="664"/>
      <c r="G81" s="386"/>
      <c r="H81" s="386"/>
      <c r="I81" s="386"/>
      <c r="J81" s="386"/>
      <c r="K81" s="386"/>
      <c r="L81" s="386"/>
      <c r="M81" s="386"/>
      <c r="N81" s="392"/>
      <c r="O81" s="392"/>
      <c r="P81" s="386"/>
      <c r="Q81" s="386"/>
      <c r="R81" s="386"/>
      <c r="S81" s="386"/>
      <c r="T81" s="386"/>
      <c r="U81" s="386"/>
      <c r="V81" s="386"/>
      <c r="W81" s="386"/>
      <c r="X81" s="674"/>
      <c r="Y81" s="652"/>
      <c r="Z81" s="753"/>
      <c r="AA81" s="754"/>
      <c r="AB81" s="754"/>
      <c r="AC81" s="754"/>
      <c r="AD81" s="754"/>
      <c r="AE81" s="754"/>
      <c r="AF81" s="754"/>
      <c r="AG81" s="754"/>
      <c r="AH81" s="755"/>
      <c r="AI81" s="812"/>
      <c r="AJ81" s="813"/>
      <c r="AK81" s="814"/>
      <c r="AL81" s="814"/>
      <c r="AM81" s="814"/>
      <c r="AN81" s="814"/>
      <c r="AO81" s="814"/>
      <c r="AP81" s="814"/>
      <c r="AQ81" s="749"/>
      <c r="AR81" s="874"/>
      <c r="AS81" s="874"/>
      <c r="AT81" s="874"/>
      <c r="AU81" s="874"/>
      <c r="AV81" s="754"/>
      <c r="AW81" s="754"/>
      <c r="AX81" s="754"/>
      <c r="AY81" s="754"/>
      <c r="AZ81" s="754"/>
      <c r="BA81" s="754"/>
      <c r="BB81" s="754"/>
      <c r="BC81" s="754"/>
      <c r="BD81" s="754"/>
      <c r="BE81" s="754"/>
      <c r="BF81" s="754"/>
      <c r="BG81" s="703"/>
    </row>
    <row r="82" spans="4:59" ht="100" customHeight="1" thickTop="1" x14ac:dyDescent="1">
      <c r="D82" s="408"/>
      <c r="E82" s="663"/>
      <c r="F82" s="2087" t="s">
        <v>133</v>
      </c>
      <c r="G82" s="2054"/>
      <c r="H82" s="2054"/>
      <c r="I82" s="2054"/>
      <c r="J82" s="2054"/>
      <c r="K82" s="2054"/>
      <c r="L82" s="2054"/>
      <c r="M82" s="2054"/>
      <c r="N82" s="2054"/>
      <c r="O82" s="2054"/>
      <c r="P82" s="2054"/>
      <c r="Q82" s="2054"/>
      <c r="R82" s="2054"/>
      <c r="S82" s="2054"/>
      <c r="T82" s="2054"/>
      <c r="U82" s="2054"/>
      <c r="V82" s="2054"/>
      <c r="W82" s="2054"/>
      <c r="X82" s="2088"/>
      <c r="Y82" s="875"/>
      <c r="Z82" s="2064" t="s">
        <v>168</v>
      </c>
      <c r="AA82" s="2064"/>
      <c r="AB82" s="2064"/>
      <c r="AC82" s="2064"/>
      <c r="AD82" s="2064"/>
      <c r="AE82" s="2064"/>
      <c r="AF82" s="2064"/>
      <c r="AG82" s="2064"/>
      <c r="AH82" s="2065"/>
      <c r="AI82" s="2092" t="s">
        <v>186</v>
      </c>
      <c r="AJ82" s="2066"/>
      <c r="AK82" s="2066"/>
      <c r="AL82" s="2066"/>
      <c r="AM82" s="2066"/>
      <c r="AN82" s="2066"/>
      <c r="AO82" s="2066"/>
      <c r="AP82" s="2066"/>
      <c r="AQ82" s="2064" t="s">
        <v>171</v>
      </c>
      <c r="AR82" s="2064"/>
      <c r="AS82" s="2064"/>
      <c r="AT82" s="2064"/>
      <c r="AU82" s="2064"/>
      <c r="AV82" s="2064"/>
      <c r="AW82" s="2064"/>
      <c r="AX82" s="2064"/>
      <c r="AY82" s="2064"/>
      <c r="AZ82" s="2064"/>
      <c r="BA82" s="2064"/>
      <c r="BB82" s="2064"/>
      <c r="BC82" s="2064"/>
      <c r="BD82" s="2064"/>
      <c r="BE82" s="2064"/>
      <c r="BF82" s="2064"/>
      <c r="BG82" s="2065"/>
    </row>
    <row r="83" spans="4:59" ht="100" customHeight="1" thickBot="1" x14ac:dyDescent="1.05">
      <c r="D83" s="408"/>
      <c r="E83" s="635"/>
      <c r="F83" s="2054"/>
      <c r="G83" s="2054"/>
      <c r="H83" s="2054"/>
      <c r="I83" s="2054"/>
      <c r="J83" s="2054"/>
      <c r="K83" s="2054"/>
      <c r="L83" s="2054"/>
      <c r="M83" s="2054"/>
      <c r="N83" s="2054"/>
      <c r="O83" s="2054"/>
      <c r="P83" s="2054"/>
      <c r="Q83" s="2054"/>
      <c r="R83" s="2054"/>
      <c r="S83" s="2054"/>
      <c r="T83" s="2054"/>
      <c r="U83" s="2054"/>
      <c r="V83" s="2054"/>
      <c r="W83" s="2054"/>
      <c r="X83" s="2088"/>
      <c r="Y83" s="875"/>
      <c r="Z83" s="2086"/>
      <c r="AA83" s="2086"/>
      <c r="AB83" s="2086"/>
      <c r="AC83" s="2086"/>
      <c r="AD83" s="2086"/>
      <c r="AE83" s="2086"/>
      <c r="AF83" s="2086"/>
      <c r="AG83" s="2086"/>
      <c r="AH83" s="2091"/>
      <c r="AI83" s="2092"/>
      <c r="AJ83" s="2066"/>
      <c r="AK83" s="2066"/>
      <c r="AL83" s="2066"/>
      <c r="AM83" s="2066"/>
      <c r="AN83" s="2066"/>
      <c r="AO83" s="2066"/>
      <c r="AP83" s="2066"/>
      <c r="AQ83" s="2093"/>
      <c r="AR83" s="2093"/>
      <c r="AS83" s="2093"/>
      <c r="AT83" s="2093"/>
      <c r="AU83" s="2093"/>
      <c r="AV83" s="2093"/>
      <c r="AW83" s="2093"/>
      <c r="AX83" s="2093"/>
      <c r="AY83" s="2093"/>
      <c r="AZ83" s="2093"/>
      <c r="BA83" s="2093"/>
      <c r="BB83" s="2093"/>
      <c r="BC83" s="2093"/>
      <c r="BD83" s="2093"/>
      <c r="BE83" s="2093"/>
      <c r="BF83" s="2093"/>
      <c r="BG83" s="2094"/>
    </row>
    <row r="84" spans="4:59" ht="10" customHeight="1" thickTop="1" thickBot="1" x14ac:dyDescent="1.05">
      <c r="D84" s="408"/>
      <c r="E84" s="635"/>
      <c r="F84" s="829"/>
      <c r="G84" s="829"/>
      <c r="H84" s="829"/>
      <c r="I84" s="829"/>
      <c r="J84" s="829"/>
      <c r="K84" s="829"/>
      <c r="L84" s="829"/>
      <c r="M84" s="829"/>
      <c r="N84" s="829"/>
      <c r="O84" s="829"/>
      <c r="P84" s="829"/>
      <c r="Q84" s="829"/>
      <c r="R84" s="829"/>
      <c r="S84" s="829"/>
      <c r="T84" s="829"/>
      <c r="U84" s="829"/>
      <c r="V84" s="829"/>
      <c r="W84" s="829"/>
      <c r="X84" s="876"/>
      <c r="Y84" s="875"/>
      <c r="Z84" s="877"/>
      <c r="AA84" s="766"/>
      <c r="AB84" s="766"/>
      <c r="AC84" s="766"/>
      <c r="AD84" s="766"/>
      <c r="AE84" s="766"/>
      <c r="AF84" s="766"/>
      <c r="AG84" s="766"/>
      <c r="AH84" s="766"/>
      <c r="AI84" s="766"/>
      <c r="AJ84" s="766"/>
      <c r="AK84" s="826"/>
      <c r="AL84" s="878"/>
      <c r="AM84" s="766"/>
      <c r="AN84" s="879"/>
      <c r="AO84" s="880"/>
      <c r="AP84" s="881"/>
      <c r="AQ84" s="882"/>
      <c r="AR84" s="882"/>
      <c r="AS84" s="882"/>
      <c r="AT84" s="882"/>
      <c r="AU84" s="881"/>
      <c r="AV84" s="882"/>
      <c r="AW84" s="882"/>
      <c r="AX84" s="882"/>
      <c r="AY84" s="882"/>
      <c r="AZ84" s="882"/>
      <c r="BA84" s="882"/>
      <c r="BB84" s="882"/>
      <c r="BC84" s="882"/>
      <c r="BD84" s="882"/>
      <c r="BE84" s="882"/>
      <c r="BF84" s="880"/>
      <c r="BG84" s="883"/>
    </row>
    <row r="85" spans="4:59" ht="100" customHeight="1" thickTop="1" x14ac:dyDescent="1">
      <c r="D85" s="408"/>
      <c r="E85" s="635"/>
      <c r="F85" s="386"/>
      <c r="G85" s="386"/>
      <c r="H85" s="386"/>
      <c r="I85" s="386"/>
      <c r="J85" s="386"/>
      <c r="K85" s="386"/>
      <c r="L85" s="386"/>
      <c r="M85" s="386"/>
      <c r="N85" s="386"/>
      <c r="O85" s="386"/>
      <c r="P85" s="386"/>
      <c r="Q85" s="386"/>
      <c r="R85" s="386"/>
      <c r="S85" s="386"/>
      <c r="T85" s="386"/>
      <c r="U85" s="386"/>
      <c r="V85" s="386"/>
      <c r="W85" s="386"/>
      <c r="X85" s="674"/>
      <c r="Y85" s="673"/>
      <c r="Z85" s="720"/>
      <c r="AA85" s="720"/>
      <c r="AB85" s="720"/>
      <c r="AC85" s="720"/>
      <c r="AD85" s="720"/>
      <c r="AE85" s="720"/>
      <c r="AF85" s="720"/>
      <c r="AG85" s="720"/>
      <c r="AH85" s="720"/>
      <c r="AI85" s="720"/>
      <c r="AJ85" s="720"/>
      <c r="AK85" s="720"/>
      <c r="AL85" s="720"/>
      <c r="AM85" s="720"/>
      <c r="AN85" s="884"/>
      <c r="AO85" s="852"/>
      <c r="AP85" s="667"/>
      <c r="AQ85" s="667"/>
      <c r="AR85" s="667"/>
      <c r="AS85" s="667"/>
      <c r="AT85" s="667"/>
      <c r="AU85" s="667"/>
      <c r="AV85" s="667"/>
      <c r="AW85" s="667"/>
      <c r="AX85" s="667"/>
      <c r="AY85" s="667"/>
      <c r="AZ85" s="667"/>
      <c r="BA85" s="667"/>
      <c r="BB85" s="667"/>
      <c r="BC85" s="667"/>
      <c r="BD85" s="667"/>
      <c r="BE85" s="667"/>
      <c r="BF85" s="669"/>
      <c r="BG85" s="885"/>
    </row>
    <row r="86" spans="4:59" ht="100" customHeight="1" x14ac:dyDescent="1">
      <c r="D86" s="408"/>
      <c r="E86" s="635"/>
      <c r="F86" s="664"/>
      <c r="G86" s="386"/>
      <c r="H86" s="386"/>
      <c r="I86" s="386"/>
      <c r="J86" s="386"/>
      <c r="K86" s="386"/>
      <c r="L86" s="386"/>
      <c r="M86" s="386"/>
      <c r="N86" s="598"/>
      <c r="O86" s="598"/>
      <c r="P86" s="598"/>
      <c r="Q86" s="598"/>
      <c r="R86" s="386"/>
      <c r="S86" s="386"/>
      <c r="T86" s="386"/>
      <c r="U86" s="386"/>
      <c r="V86" s="386"/>
      <c r="W86" s="386"/>
      <c r="X86" s="674"/>
      <c r="Y86" s="673"/>
      <c r="Z86" s="886"/>
      <c r="AA86" s="886"/>
      <c r="AB86" s="886"/>
      <c r="AC86" s="886"/>
      <c r="AD86" s="797"/>
      <c r="AE86" s="797"/>
      <c r="AF86" s="797"/>
      <c r="AG86" s="797"/>
      <c r="AH86" s="797"/>
      <c r="AI86" s="797"/>
      <c r="AJ86" s="797"/>
      <c r="AK86" s="797"/>
      <c r="AL86" s="797"/>
      <c r="AM86" s="797"/>
      <c r="AN86" s="884"/>
      <c r="AO86" s="885"/>
      <c r="AP86" s="664"/>
      <c r="AQ86" s="386"/>
      <c r="AR86" s="386"/>
      <c r="AS86" s="386"/>
      <c r="AT86" s="386"/>
      <c r="AU86" s="386"/>
      <c r="AV86" s="386"/>
      <c r="AW86" s="386"/>
      <c r="AX86" s="386"/>
      <c r="AY86" s="386"/>
      <c r="AZ86" s="386"/>
      <c r="BA86" s="386"/>
      <c r="BB86" s="386"/>
      <c r="BC86" s="386"/>
      <c r="BD86" s="386"/>
      <c r="BE86" s="386"/>
      <c r="BF86" s="674"/>
      <c r="BG86" s="885"/>
    </row>
    <row r="87" spans="4:59" ht="100" customHeight="1" x14ac:dyDescent="1">
      <c r="D87" s="408"/>
      <c r="E87" s="635"/>
      <c r="F87" s="692"/>
      <c r="G87" s="506"/>
      <c r="H87" s="506"/>
      <c r="I87" s="506"/>
      <c r="J87" s="386"/>
      <c r="K87" s="386"/>
      <c r="L87" s="598"/>
      <c r="M87" s="598"/>
      <c r="N87" s="598"/>
      <c r="O87" s="598"/>
      <c r="P87" s="598"/>
      <c r="Q87" s="598"/>
      <c r="R87" s="386"/>
      <c r="S87" s="386"/>
      <c r="T87" s="386"/>
      <c r="U87" s="386"/>
      <c r="V87" s="386"/>
      <c r="W87" s="386"/>
      <c r="X87" s="674"/>
      <c r="Y87" s="673"/>
      <c r="Z87" s="886"/>
      <c r="AA87" s="886"/>
      <c r="AB87" s="886"/>
      <c r="AC87" s="886"/>
      <c r="AD87" s="797"/>
      <c r="AE87" s="797"/>
      <c r="AF87" s="797"/>
      <c r="AG87" s="797"/>
      <c r="AH87" s="797"/>
      <c r="AI87" s="797"/>
      <c r="AJ87" s="797"/>
      <c r="AK87" s="797"/>
      <c r="AL87" s="797"/>
      <c r="AM87" s="797"/>
      <c r="AN87" s="884"/>
      <c r="AO87" s="885"/>
      <c r="AP87" s="664"/>
      <c r="AQ87" s="386"/>
      <c r="AR87" s="386"/>
      <c r="AS87" s="386"/>
      <c r="AT87" s="386"/>
      <c r="AU87" s="386"/>
      <c r="AV87" s="386"/>
      <c r="AW87" s="386"/>
      <c r="AX87" s="386"/>
      <c r="AY87" s="386"/>
      <c r="AZ87" s="386"/>
      <c r="BA87" s="386"/>
      <c r="BB87" s="386"/>
      <c r="BC87" s="386"/>
      <c r="BD87" s="386"/>
      <c r="BE87" s="386"/>
      <c r="BF87" s="674"/>
      <c r="BG87" s="885"/>
    </row>
    <row r="88" spans="4:59" ht="100" customHeight="1" x14ac:dyDescent="1">
      <c r="D88" s="408"/>
      <c r="E88" s="635"/>
      <c r="F88" s="692"/>
      <c r="G88" s="506"/>
      <c r="H88" s="727" t="s">
        <v>196</v>
      </c>
      <c r="I88" s="727"/>
      <c r="J88" s="682"/>
      <c r="K88" s="682"/>
      <c r="L88" s="598"/>
      <c r="M88" s="598"/>
      <c r="N88" s="682"/>
      <c r="O88" s="682"/>
      <c r="P88" s="682"/>
      <c r="Q88" s="682"/>
      <c r="R88" s="682"/>
      <c r="S88" s="682"/>
      <c r="T88" s="682"/>
      <c r="U88" s="682"/>
      <c r="V88" s="682"/>
      <c r="W88" s="682"/>
      <c r="X88" s="691"/>
      <c r="Y88" s="875"/>
      <c r="Z88" s="887"/>
      <c r="AA88" s="887"/>
      <c r="AB88" s="887" t="s">
        <v>138</v>
      </c>
      <c r="AC88" s="887"/>
      <c r="AD88" s="887"/>
      <c r="AE88" s="887"/>
      <c r="AF88" s="887"/>
      <c r="AG88" s="887"/>
      <c r="AH88" s="887"/>
      <c r="AI88" s="887"/>
      <c r="AJ88" s="887"/>
      <c r="AK88" s="887"/>
      <c r="AL88" s="887"/>
      <c r="AM88" s="888"/>
      <c r="AN88" s="889"/>
      <c r="AO88" s="890"/>
      <c r="AP88" s="664"/>
      <c r="AQ88" s="386"/>
      <c r="AR88" s="727" t="s">
        <v>179</v>
      </c>
      <c r="AS88" s="727"/>
      <c r="AT88" s="506"/>
      <c r="AU88" s="506"/>
      <c r="AV88" s="506"/>
      <c r="AW88" s="506"/>
      <c r="AX88" s="506"/>
      <c r="AY88" s="506"/>
      <c r="AZ88" s="506"/>
      <c r="BA88" s="506"/>
      <c r="BB88" s="506"/>
      <c r="BC88" s="506"/>
      <c r="BD88" s="506"/>
      <c r="BE88" s="506"/>
      <c r="BF88" s="672"/>
      <c r="BG88" s="885"/>
    </row>
    <row r="89" spans="4:59" ht="100" customHeight="1" x14ac:dyDescent="1">
      <c r="D89" s="408"/>
      <c r="E89" s="635"/>
      <c r="F89" s="664"/>
      <c r="G89" s="386"/>
      <c r="H89" s="648">
        <f>4900+4900</f>
        <v>9800</v>
      </c>
      <c r="I89" s="648"/>
      <c r="J89" s="780"/>
      <c r="K89" s="780"/>
      <c r="L89" s="780"/>
      <c r="M89" s="780"/>
      <c r="N89" s="780"/>
      <c r="O89" s="780"/>
      <c r="P89" s="682"/>
      <c r="Q89" s="682"/>
      <c r="R89" s="780"/>
      <c r="S89" s="780"/>
      <c r="T89" s="780"/>
      <c r="U89" s="780"/>
      <c r="V89" s="780"/>
      <c r="W89" s="780"/>
      <c r="X89" s="891"/>
      <c r="Y89" s="892"/>
      <c r="Z89" s="893"/>
      <c r="AA89" s="893"/>
      <c r="AB89" s="894">
        <v>2500</v>
      </c>
      <c r="AC89" s="895"/>
      <c r="AD89" s="895"/>
      <c r="AE89" s="895"/>
      <c r="AF89" s="895"/>
      <c r="AG89" s="895"/>
      <c r="AH89" s="895"/>
      <c r="AI89" s="895"/>
      <c r="AJ89" s="895"/>
      <c r="AK89" s="895"/>
      <c r="AL89" s="895"/>
      <c r="AM89" s="896"/>
      <c r="AN89" s="897"/>
      <c r="AO89" s="898"/>
      <c r="AP89" s="664"/>
      <c r="AQ89" s="386"/>
      <c r="AR89" s="648">
        <v>4900</v>
      </c>
      <c r="AS89" s="648"/>
      <c r="AT89" s="648"/>
      <c r="AU89" s="648"/>
      <c r="AV89" s="648"/>
      <c r="AW89" s="648"/>
      <c r="AX89" s="648"/>
      <c r="AY89" s="648"/>
      <c r="AZ89" s="506"/>
      <c r="BA89" s="648"/>
      <c r="BB89" s="648"/>
      <c r="BC89" s="648"/>
      <c r="BD89" s="648"/>
      <c r="BE89" s="648"/>
      <c r="BF89" s="674"/>
      <c r="BG89" s="885"/>
    </row>
    <row r="90" spans="4:59" ht="100" customHeight="1" x14ac:dyDescent="1">
      <c r="D90" s="408"/>
      <c r="E90" s="635"/>
      <c r="F90" s="664"/>
      <c r="G90" s="386"/>
      <c r="H90" s="386"/>
      <c r="I90" s="386"/>
      <c r="J90" s="386"/>
      <c r="K90" s="386"/>
      <c r="L90" s="386"/>
      <c r="M90" s="386"/>
      <c r="N90" s="598"/>
      <c r="O90" s="598"/>
      <c r="P90" s="598"/>
      <c r="Q90" s="598"/>
      <c r="R90" s="386"/>
      <c r="S90" s="386"/>
      <c r="T90" s="386"/>
      <c r="U90" s="386"/>
      <c r="V90" s="386"/>
      <c r="W90" s="386"/>
      <c r="X90" s="674"/>
      <c r="Y90" s="673"/>
      <c r="Z90" s="886"/>
      <c r="AA90" s="886"/>
      <c r="AB90" s="886"/>
      <c r="AC90" s="886"/>
      <c r="AD90" s="797"/>
      <c r="AE90" s="797"/>
      <c r="AF90" s="797"/>
      <c r="AG90" s="797"/>
      <c r="AH90" s="797"/>
      <c r="AI90" s="797"/>
      <c r="AJ90" s="797"/>
      <c r="AK90" s="797"/>
      <c r="AL90" s="797"/>
      <c r="AM90" s="797"/>
      <c r="AN90" s="884"/>
      <c r="AO90" s="885"/>
      <c r="AP90" s="664"/>
      <c r="AQ90" s="386"/>
      <c r="AR90" s="386"/>
      <c r="AS90" s="386"/>
      <c r="AT90" s="386"/>
      <c r="AU90" s="386"/>
      <c r="AV90" s="386"/>
      <c r="AW90" s="386"/>
      <c r="AX90" s="386"/>
      <c r="AY90" s="386"/>
      <c r="AZ90" s="386"/>
      <c r="BA90" s="386"/>
      <c r="BB90" s="386"/>
      <c r="BC90" s="386"/>
      <c r="BD90" s="386"/>
      <c r="BE90" s="386"/>
      <c r="BF90" s="674"/>
      <c r="BG90" s="885"/>
    </row>
    <row r="91" spans="4:59" ht="100" customHeight="1" thickBot="1" x14ac:dyDescent="1.05">
      <c r="D91" s="408"/>
      <c r="E91" s="899"/>
      <c r="F91" s="676"/>
      <c r="G91" s="658"/>
      <c r="H91" s="658"/>
      <c r="I91" s="658"/>
      <c r="J91" s="658"/>
      <c r="K91" s="658"/>
      <c r="L91" s="658"/>
      <c r="M91" s="658"/>
      <c r="N91" s="658"/>
      <c r="O91" s="658"/>
      <c r="P91" s="658"/>
      <c r="Q91" s="658"/>
      <c r="R91" s="658"/>
      <c r="S91" s="658"/>
      <c r="T91" s="658"/>
      <c r="U91" s="658"/>
      <c r="V91" s="658"/>
      <c r="W91" s="658"/>
      <c r="X91" s="678"/>
      <c r="Y91" s="673"/>
      <c r="Z91" s="720"/>
      <c r="AA91" s="720"/>
      <c r="AB91" s="720"/>
      <c r="AC91" s="720"/>
      <c r="AD91" s="720"/>
      <c r="AE91" s="720"/>
      <c r="AF91" s="720"/>
      <c r="AG91" s="720"/>
      <c r="AH91" s="720"/>
      <c r="AI91" s="720"/>
      <c r="AJ91" s="720"/>
      <c r="AK91" s="720"/>
      <c r="AL91" s="720"/>
      <c r="AM91" s="720"/>
      <c r="AN91" s="900"/>
      <c r="AO91" s="673"/>
      <c r="AP91" s="676"/>
      <c r="AQ91" s="658"/>
      <c r="AR91" s="658"/>
      <c r="AS91" s="658"/>
      <c r="AT91" s="658"/>
      <c r="AU91" s="658"/>
      <c r="AV91" s="658"/>
      <c r="AW91" s="658"/>
      <c r="AX91" s="658"/>
      <c r="AY91" s="658"/>
      <c r="AZ91" s="658"/>
      <c r="BA91" s="658"/>
      <c r="BB91" s="658"/>
      <c r="BC91" s="658"/>
      <c r="BD91" s="658"/>
      <c r="BE91" s="658"/>
      <c r="BF91" s="678"/>
      <c r="BG91" s="885"/>
    </row>
    <row r="92" spans="4:59" ht="10" customHeight="1" thickTop="1" thickBot="1" x14ac:dyDescent="1.05">
      <c r="D92" s="408"/>
      <c r="E92" s="638"/>
      <c r="F92" s="631"/>
      <c r="G92" s="632"/>
      <c r="H92" s="632"/>
      <c r="I92" s="632"/>
      <c r="J92" s="632"/>
      <c r="K92" s="632"/>
      <c r="L92" s="632"/>
      <c r="M92" s="632"/>
      <c r="N92" s="632"/>
      <c r="O92" s="632"/>
      <c r="P92" s="632"/>
      <c r="Q92" s="632"/>
      <c r="R92" s="632"/>
      <c r="S92" s="632"/>
      <c r="T92" s="632"/>
      <c r="U92" s="632"/>
      <c r="V92" s="632"/>
      <c r="W92" s="632"/>
      <c r="X92" s="632"/>
      <c r="Y92" s="675"/>
      <c r="Z92" s="901"/>
      <c r="AA92" s="901"/>
      <c r="AB92" s="901"/>
      <c r="AC92" s="901"/>
      <c r="AD92" s="901"/>
      <c r="AE92" s="901"/>
      <c r="AF92" s="901"/>
      <c r="AG92" s="901"/>
      <c r="AH92" s="901"/>
      <c r="AI92" s="901"/>
      <c r="AJ92" s="901"/>
      <c r="AK92" s="901"/>
      <c r="AL92" s="901"/>
      <c r="AM92" s="901"/>
      <c r="AN92" s="902"/>
      <c r="AO92" s="632"/>
      <c r="AP92" s="632"/>
      <c r="AQ92" s="632"/>
      <c r="AR92" s="632"/>
      <c r="AS92" s="632"/>
      <c r="AT92" s="632"/>
      <c r="AU92" s="632"/>
      <c r="AV92" s="632"/>
      <c r="AW92" s="632"/>
      <c r="AX92" s="632"/>
      <c r="AY92" s="632"/>
      <c r="AZ92" s="632"/>
      <c r="BA92" s="632"/>
      <c r="BB92" s="632"/>
      <c r="BC92" s="632"/>
      <c r="BD92" s="632"/>
      <c r="BE92" s="632"/>
      <c r="BF92" s="633"/>
      <c r="BG92" s="885"/>
    </row>
    <row r="93" spans="4:59" ht="100" customHeight="1" thickTop="1" x14ac:dyDescent="1">
      <c r="E93" s="408"/>
      <c r="AO93" s="408"/>
      <c r="BG93" s="1464"/>
    </row>
    <row r="94" spans="4:59" ht="100" customHeight="1" x14ac:dyDescent="1">
      <c r="E94" s="408"/>
      <c r="AO94" s="408"/>
    </row>
    <row r="97" spans="3:65" s="1426" customFormat="1" ht="190" customHeight="1" x14ac:dyDescent="1.2">
      <c r="C97" s="1431"/>
      <c r="F97" s="1434" t="s">
        <v>130</v>
      </c>
      <c r="G97" s="1434"/>
      <c r="H97" s="1435"/>
      <c r="I97" s="1435"/>
      <c r="J97" s="1435"/>
      <c r="K97" s="1435"/>
      <c r="L97" s="1435"/>
      <c r="M97" s="1435"/>
      <c r="N97" s="1435"/>
      <c r="O97" s="1435"/>
      <c r="P97" s="1435"/>
      <c r="Q97" s="1435"/>
      <c r="R97" s="1435"/>
      <c r="S97" s="1435"/>
      <c r="T97" s="1435"/>
      <c r="U97" s="1435"/>
      <c r="V97" s="1435"/>
      <c r="W97" s="1435"/>
      <c r="X97" s="1435"/>
      <c r="Y97" s="1435"/>
      <c r="Z97" s="1435"/>
      <c r="AA97" s="1435"/>
      <c r="AB97" s="1435"/>
      <c r="AC97" s="1435"/>
      <c r="AD97" s="1435"/>
      <c r="AE97" s="1435"/>
      <c r="AF97" s="1435"/>
      <c r="AG97" s="1435"/>
      <c r="AH97" s="1435"/>
      <c r="AI97" s="1435"/>
      <c r="AJ97" s="1435"/>
      <c r="AK97" s="1435"/>
      <c r="AL97" s="1435"/>
      <c r="AM97" s="1435"/>
      <c r="AN97" s="1435"/>
      <c r="AO97" s="1435"/>
      <c r="AP97" s="1435"/>
      <c r="AQ97" s="1435"/>
      <c r="AR97" s="1435"/>
      <c r="AS97" s="1435"/>
      <c r="AT97" s="1435"/>
      <c r="AU97" s="1435"/>
      <c r="AV97" s="1435"/>
      <c r="AW97" s="1435"/>
      <c r="AX97" s="1435"/>
      <c r="AY97" s="1435"/>
      <c r="AZ97" s="1435"/>
      <c r="BA97" s="1435"/>
      <c r="BB97" s="1435"/>
      <c r="BC97" s="1435"/>
      <c r="BD97" s="1435"/>
      <c r="BE97" s="1435"/>
      <c r="BF97" s="1435"/>
      <c r="BG97" s="1435"/>
      <c r="BH97" s="1435"/>
    </row>
    <row r="98" spans="3:65" s="1426" customFormat="1" ht="100" customHeight="1" x14ac:dyDescent="1.2">
      <c r="C98" s="1431"/>
      <c r="F98" s="1436"/>
      <c r="G98" s="1436"/>
    </row>
    <row r="99" spans="3:65" s="1426" customFormat="1" ht="100" customHeight="1" x14ac:dyDescent="1.2">
      <c r="C99" s="1431"/>
      <c r="F99" s="1436" t="s">
        <v>131</v>
      </c>
      <c r="G99" s="1436"/>
      <c r="J99" s="1440"/>
      <c r="K99" s="1440"/>
      <c r="M99" s="1427"/>
      <c r="P99" s="1427" t="s">
        <v>134</v>
      </c>
      <c r="R99" s="1440">
        <v>20000</v>
      </c>
      <c r="S99" s="1440"/>
      <c r="T99" s="1426" t="s">
        <v>33</v>
      </c>
    </row>
    <row r="100" spans="3:65" ht="100" customHeight="1" thickBot="1" x14ac:dyDescent="1.05">
      <c r="E100" s="372"/>
      <c r="F100" s="355"/>
      <c r="G100" s="355"/>
      <c r="AC100" s="372"/>
      <c r="AI100" s="697"/>
      <c r="AJ100" s="793"/>
      <c r="AK100" s="793"/>
      <c r="AL100" s="793"/>
      <c r="AM100" s="793"/>
      <c r="AN100" s="793"/>
      <c r="AO100" s="793"/>
      <c r="AP100" s="793"/>
      <c r="AQ100" s="697"/>
      <c r="AU100" s="408"/>
      <c r="AV100" s="372"/>
      <c r="AW100" s="372"/>
      <c r="AX100" s="372"/>
      <c r="AY100" s="372"/>
      <c r="AZ100" s="372"/>
      <c r="BA100" s="372"/>
      <c r="BB100" s="372"/>
      <c r="BC100" s="372"/>
      <c r="BD100" s="372"/>
      <c r="BE100" s="372"/>
      <c r="BF100" s="372"/>
      <c r="BG100" s="408"/>
    </row>
    <row r="101" spans="3:65" ht="10" customHeight="1" thickTop="1" thickBot="1" x14ac:dyDescent="1.05">
      <c r="D101" s="475"/>
      <c r="E101" s="471"/>
      <c r="F101" s="477"/>
      <c r="G101" s="476"/>
      <c r="H101" s="476"/>
      <c r="I101" s="476"/>
      <c r="J101" s="476"/>
      <c r="K101" s="476"/>
      <c r="L101" s="476"/>
      <c r="M101" s="476"/>
      <c r="N101" s="476"/>
      <c r="O101" s="476"/>
      <c r="P101" s="477"/>
      <c r="Q101" s="477"/>
      <c r="R101" s="476"/>
      <c r="S101" s="476"/>
      <c r="T101" s="476"/>
      <c r="U101" s="477"/>
      <c r="V101" s="476"/>
      <c r="W101" s="476"/>
      <c r="X101" s="478"/>
      <c r="Y101" s="476"/>
      <c r="Z101" s="477"/>
      <c r="AA101" s="476"/>
      <c r="AB101" s="478"/>
      <c r="AC101" s="465"/>
      <c r="AD101" s="754"/>
      <c r="AE101" s="754"/>
      <c r="AF101" s="755"/>
      <c r="AG101" s="755"/>
      <c r="AH101" s="903"/>
      <c r="AI101" s="704"/>
      <c r="AJ101" s="388"/>
      <c r="AK101" s="388"/>
      <c r="AL101" s="388"/>
      <c r="AM101" s="388"/>
      <c r="AN101" s="388"/>
      <c r="AO101" s="388"/>
      <c r="AP101" s="388"/>
      <c r="AQ101" s="703"/>
      <c r="AR101" s="753"/>
      <c r="AS101" s="754"/>
      <c r="AT101" s="755"/>
      <c r="AU101" s="904"/>
      <c r="AV101" s="465"/>
      <c r="AW101" s="465"/>
      <c r="AX101" s="465"/>
      <c r="AY101" s="465"/>
      <c r="AZ101" s="465"/>
      <c r="BA101" s="465"/>
      <c r="BB101" s="465"/>
      <c r="BC101" s="465"/>
      <c r="BD101" s="465"/>
      <c r="BE101" s="465"/>
      <c r="BF101" s="469"/>
      <c r="BG101" s="698"/>
      <c r="BH101" s="905"/>
    </row>
    <row r="102" spans="3:65" ht="100" customHeight="1" thickTop="1" x14ac:dyDescent="1">
      <c r="D102" s="475"/>
      <c r="E102" s="465"/>
      <c r="F102" s="504"/>
      <c r="G102" s="716"/>
      <c r="H102" s="716"/>
      <c r="I102" s="716"/>
      <c r="J102" s="716"/>
      <c r="K102" s="716"/>
      <c r="L102" s="716"/>
      <c r="M102" s="716"/>
      <c r="N102" s="717"/>
      <c r="O102" s="717"/>
      <c r="P102" s="718"/>
      <c r="Q102" s="769"/>
      <c r="R102" s="906"/>
      <c r="S102" s="907"/>
      <c r="T102" s="908"/>
      <c r="U102" s="909"/>
      <c r="V102" s="910"/>
      <c r="W102" s="911"/>
      <c r="X102" s="912"/>
      <c r="Y102" s="909"/>
      <c r="Z102" s="911"/>
      <c r="AA102" s="913"/>
      <c r="AB102" s="914"/>
      <c r="AC102" s="465"/>
      <c r="AD102" s="797"/>
      <c r="AE102" s="797"/>
      <c r="AF102" s="797"/>
      <c r="AG102" s="797"/>
      <c r="AH102" s="721"/>
      <c r="AI102" s="704"/>
      <c r="AJ102" s="388"/>
      <c r="AK102" s="388"/>
      <c r="AL102" s="388"/>
      <c r="AM102" s="388"/>
      <c r="AN102" s="915"/>
      <c r="AO102" s="392"/>
      <c r="AP102" s="391"/>
      <c r="AQ102" s="861"/>
      <c r="AR102" s="722"/>
      <c r="AS102" s="723"/>
      <c r="AT102" s="723"/>
      <c r="AU102" s="702"/>
      <c r="AV102" s="716"/>
      <c r="AW102" s="716"/>
      <c r="AX102" s="716"/>
      <c r="AY102" s="716"/>
      <c r="AZ102" s="717"/>
      <c r="BA102" s="717"/>
      <c r="BB102" s="716"/>
      <c r="BC102" s="716"/>
      <c r="BD102" s="716"/>
      <c r="BE102" s="716"/>
      <c r="BF102" s="718"/>
      <c r="BG102" s="916"/>
    </row>
    <row r="103" spans="3:65" ht="100" customHeight="1" x14ac:dyDescent="1">
      <c r="D103" s="475"/>
      <c r="E103" s="465"/>
      <c r="F103" s="508"/>
      <c r="G103" s="386"/>
      <c r="H103" s="386"/>
      <c r="I103" s="386"/>
      <c r="J103" s="386"/>
      <c r="K103" s="386"/>
      <c r="L103" s="386"/>
      <c r="M103" s="386"/>
      <c r="N103" s="392"/>
      <c r="O103" s="392"/>
      <c r="P103" s="505"/>
      <c r="Q103" s="465"/>
      <c r="R103" s="488" t="s">
        <v>152</v>
      </c>
      <c r="S103" s="489"/>
      <c r="T103" s="587" t="s">
        <v>152</v>
      </c>
      <c r="U103" s="507"/>
      <c r="V103" s="491" t="s">
        <v>152</v>
      </c>
      <c r="W103" s="492"/>
      <c r="X103" s="587" t="s">
        <v>152</v>
      </c>
      <c r="Y103" s="506"/>
      <c r="Z103" s="489" t="s">
        <v>152</v>
      </c>
      <c r="AA103" s="506"/>
      <c r="AB103" s="493" t="s">
        <v>152</v>
      </c>
      <c r="AC103" s="680"/>
      <c r="AD103" s="797"/>
      <c r="AE103" s="797"/>
      <c r="AF103" s="797"/>
      <c r="AG103" s="797"/>
      <c r="AH103" s="721"/>
      <c r="AI103" s="704"/>
      <c r="AJ103" s="388"/>
      <c r="AK103" s="388"/>
      <c r="AL103" s="388"/>
      <c r="AM103" s="388"/>
      <c r="AN103" s="388"/>
      <c r="AO103" s="388"/>
      <c r="AP103" s="391"/>
      <c r="AQ103" s="861"/>
      <c r="AR103" s="722"/>
      <c r="AS103" s="723"/>
      <c r="AT103" s="723"/>
      <c r="AU103" s="469"/>
      <c r="AV103" s="386"/>
      <c r="AW103" s="386"/>
      <c r="AX103" s="386"/>
      <c r="AY103" s="386"/>
      <c r="AZ103" s="392"/>
      <c r="BA103" s="392"/>
      <c r="BB103" s="386"/>
      <c r="BC103" s="386"/>
      <c r="BD103" s="386"/>
      <c r="BE103" s="386"/>
      <c r="BF103" s="505"/>
      <c r="BG103" s="916"/>
    </row>
    <row r="104" spans="3:65" ht="100" customHeight="1" x14ac:dyDescent="1">
      <c r="D104" s="475"/>
      <c r="E104" s="465"/>
      <c r="F104" s="684"/>
      <c r="G104" s="506"/>
      <c r="H104" s="386"/>
      <c r="I104" s="386"/>
      <c r="J104" s="386"/>
      <c r="K104" s="386"/>
      <c r="L104" s="386"/>
      <c r="M104" s="386"/>
      <c r="N104" s="732"/>
      <c r="O104" s="732"/>
      <c r="P104" s="686"/>
      <c r="Q104" s="680"/>
      <c r="R104" s="488" t="s">
        <v>153</v>
      </c>
      <c r="S104" s="489"/>
      <c r="T104" s="587" t="s">
        <v>154</v>
      </c>
      <c r="U104" s="507"/>
      <c r="V104" s="491" t="s">
        <v>154</v>
      </c>
      <c r="W104" s="492"/>
      <c r="X104" s="587" t="s">
        <v>154</v>
      </c>
      <c r="Y104" s="506"/>
      <c r="Z104" s="489" t="s">
        <v>154</v>
      </c>
      <c r="AA104" s="506"/>
      <c r="AB104" s="493" t="s">
        <v>154</v>
      </c>
      <c r="AC104" s="680"/>
      <c r="AD104" s="801"/>
      <c r="AE104" s="801"/>
      <c r="AF104" s="797"/>
      <c r="AG104" s="797"/>
      <c r="AH104" s="731"/>
      <c r="AI104" s="725"/>
      <c r="AJ104" s="869"/>
      <c r="AK104" s="869"/>
      <c r="AL104" s="869"/>
      <c r="AM104" s="869"/>
      <c r="AN104" s="869"/>
      <c r="AO104" s="869"/>
      <c r="AP104" s="379"/>
      <c r="AQ104" s="867"/>
      <c r="AR104" s="733"/>
      <c r="AS104" s="734"/>
      <c r="AT104" s="734"/>
      <c r="AU104" s="468"/>
      <c r="AV104" s="506"/>
      <c r="AW104" s="506"/>
      <c r="AX104" s="506"/>
      <c r="AY104" s="506"/>
      <c r="AZ104" s="732"/>
      <c r="BA104" s="732"/>
      <c r="BB104" s="506"/>
      <c r="BC104" s="506"/>
      <c r="BD104" s="506"/>
      <c r="BE104" s="506"/>
      <c r="BF104" s="505"/>
      <c r="BG104" s="916"/>
    </row>
    <row r="105" spans="3:65" ht="100" customHeight="1" x14ac:dyDescent="1">
      <c r="D105" s="475"/>
      <c r="E105" s="465"/>
      <c r="F105" s="684"/>
      <c r="G105" s="506"/>
      <c r="H105" s="579" t="s">
        <v>179</v>
      </c>
      <c r="I105" s="579"/>
      <c r="J105" s="579"/>
      <c r="K105" s="579"/>
      <c r="L105" s="579"/>
      <c r="M105" s="579"/>
      <c r="N105" s="728" t="s">
        <v>175</v>
      </c>
      <c r="O105" s="728"/>
      <c r="P105" s="686"/>
      <c r="Q105" s="680"/>
      <c r="R105" s="488" t="s">
        <v>121</v>
      </c>
      <c r="S105" s="489"/>
      <c r="T105" s="587" t="s">
        <v>125</v>
      </c>
      <c r="U105" s="507"/>
      <c r="V105" s="491" t="s">
        <v>121</v>
      </c>
      <c r="W105" s="492"/>
      <c r="X105" s="587" t="s">
        <v>20</v>
      </c>
      <c r="Y105" s="506"/>
      <c r="Z105" s="489" t="s">
        <v>20</v>
      </c>
      <c r="AA105" s="506"/>
      <c r="AB105" s="493" t="s">
        <v>121</v>
      </c>
      <c r="AC105" s="680"/>
      <c r="AD105" s="801"/>
      <c r="AE105" s="801"/>
      <c r="AF105" s="801" t="s">
        <v>138</v>
      </c>
      <c r="AG105" s="801"/>
      <c r="AH105" s="731"/>
      <c r="AI105" s="725"/>
      <c r="AJ105" s="2073" t="s">
        <v>124</v>
      </c>
      <c r="AK105" s="2107"/>
      <c r="AL105" s="2107"/>
      <c r="AM105" s="2107"/>
      <c r="AN105" s="2107"/>
      <c r="AO105" s="869"/>
      <c r="AP105" s="379" t="s">
        <v>178</v>
      </c>
      <c r="AQ105" s="867"/>
      <c r="AR105" s="2075" t="s">
        <v>139</v>
      </c>
      <c r="AS105" s="2076"/>
      <c r="AT105" s="2076"/>
      <c r="AU105" s="468"/>
      <c r="AV105" s="506"/>
      <c r="AW105" s="506"/>
      <c r="AX105" s="506"/>
      <c r="AY105" s="506"/>
      <c r="AZ105" s="728" t="s">
        <v>175</v>
      </c>
      <c r="BA105" s="728"/>
      <c r="BB105" s="648"/>
      <c r="BC105" s="648"/>
      <c r="BD105" s="506"/>
      <c r="BE105" s="506"/>
      <c r="BF105" s="686"/>
      <c r="BG105" s="916"/>
    </row>
    <row r="106" spans="3:65" ht="100" customHeight="1" x14ac:dyDescent="1">
      <c r="D106" s="475"/>
      <c r="E106" s="465"/>
      <c r="F106" s="508"/>
      <c r="G106" s="386"/>
      <c r="H106" s="786">
        <v>2700</v>
      </c>
      <c r="I106" s="786"/>
      <c r="J106" s="579"/>
      <c r="K106" s="579"/>
      <c r="L106" s="579"/>
      <c r="M106" s="579"/>
      <c r="N106" s="728" t="s">
        <v>127</v>
      </c>
      <c r="O106" s="728"/>
      <c r="P106" s="505"/>
      <c r="Q106" s="465"/>
      <c r="R106" s="488">
        <v>300</v>
      </c>
      <c r="S106" s="489"/>
      <c r="T106" s="587">
        <v>500</v>
      </c>
      <c r="U106" s="507"/>
      <c r="V106" s="491">
        <v>300</v>
      </c>
      <c r="W106" s="492"/>
      <c r="X106" s="587">
        <v>450</v>
      </c>
      <c r="Y106" s="506"/>
      <c r="Z106" s="489">
        <v>450</v>
      </c>
      <c r="AA106" s="506"/>
      <c r="AB106" s="493">
        <v>300</v>
      </c>
      <c r="AC106" s="680"/>
      <c r="AD106" s="797"/>
      <c r="AE106" s="797"/>
      <c r="AF106" s="917">
        <v>400</v>
      </c>
      <c r="AG106" s="918"/>
      <c r="AH106" s="721"/>
      <c r="AI106" s="704"/>
      <c r="AJ106" s="388"/>
      <c r="AK106" s="388"/>
      <c r="AL106" s="388"/>
      <c r="AM106" s="388"/>
      <c r="AN106" s="388"/>
      <c r="AO106" s="388"/>
      <c r="AP106" s="379" t="s">
        <v>127</v>
      </c>
      <c r="AQ106" s="867"/>
      <c r="AR106" s="738">
        <v>300</v>
      </c>
      <c r="AS106" s="739"/>
      <c r="AT106" s="739"/>
      <c r="AU106" s="468"/>
      <c r="AV106" s="386"/>
      <c r="AW106" s="386"/>
      <c r="AX106" s="386"/>
      <c r="AY106" s="386"/>
      <c r="AZ106" s="728" t="s">
        <v>127</v>
      </c>
      <c r="BA106" s="728"/>
      <c r="BB106" s="386"/>
      <c r="BC106" s="386"/>
      <c r="BD106" s="386"/>
      <c r="BE106" s="386"/>
      <c r="BF106" s="505"/>
      <c r="BG106" s="916"/>
      <c r="BJ106" s="358"/>
      <c r="BK106" s="358"/>
      <c r="BL106" s="358"/>
      <c r="BM106" s="358"/>
    </row>
    <row r="107" spans="3:65" ht="100" customHeight="1" thickBot="1" x14ac:dyDescent="1.05">
      <c r="D107" s="475"/>
      <c r="E107" s="465"/>
      <c r="F107" s="508"/>
      <c r="G107" s="386"/>
      <c r="H107" s="386"/>
      <c r="I107" s="386"/>
      <c r="J107" s="386"/>
      <c r="K107" s="386"/>
      <c r="L107" s="386"/>
      <c r="M107" s="386"/>
      <c r="N107" s="392"/>
      <c r="O107" s="392"/>
      <c r="P107" s="505"/>
      <c r="Q107" s="465"/>
      <c r="R107" s="488"/>
      <c r="S107" s="489"/>
      <c r="T107" s="587"/>
      <c r="U107" s="507"/>
      <c r="V107" s="491"/>
      <c r="W107" s="492"/>
      <c r="X107" s="587"/>
      <c r="Y107" s="506"/>
      <c r="Z107" s="489"/>
      <c r="AA107" s="506"/>
      <c r="AB107" s="493"/>
      <c r="AC107" s="680"/>
      <c r="AD107" s="797"/>
      <c r="AE107" s="797"/>
      <c r="AF107" s="797"/>
      <c r="AG107" s="797"/>
      <c r="AH107" s="721"/>
      <c r="AI107" s="704"/>
      <c r="AJ107" s="388"/>
      <c r="AK107" s="388"/>
      <c r="AL107" s="388"/>
      <c r="AM107" s="388"/>
      <c r="AN107" s="388"/>
      <c r="AO107" s="388"/>
      <c r="AP107" s="391"/>
      <c r="AQ107" s="861"/>
      <c r="AR107" s="722"/>
      <c r="AS107" s="723"/>
      <c r="AT107" s="723"/>
      <c r="AU107" s="469"/>
      <c r="AV107" s="386"/>
      <c r="AW107" s="386"/>
      <c r="AX107" s="386"/>
      <c r="AY107" s="386"/>
      <c r="AZ107" s="392"/>
      <c r="BA107" s="392"/>
      <c r="BB107" s="386"/>
      <c r="BC107" s="386"/>
      <c r="BD107" s="386"/>
      <c r="BE107" s="386"/>
      <c r="BF107" s="505"/>
      <c r="BG107" s="916"/>
    </row>
    <row r="108" spans="3:65" ht="100" customHeight="1" thickTop="1" thickBot="1" x14ac:dyDescent="1.05">
      <c r="D108" s="475"/>
      <c r="E108" s="465"/>
      <c r="F108" s="743"/>
      <c r="G108" s="500"/>
      <c r="H108" s="500"/>
      <c r="I108" s="500"/>
      <c r="J108" s="500"/>
      <c r="K108" s="500"/>
      <c r="L108" s="500"/>
      <c r="M108" s="500"/>
      <c r="N108" s="744"/>
      <c r="O108" s="744"/>
      <c r="P108" s="509"/>
      <c r="Q108" s="467"/>
      <c r="R108" s="494"/>
      <c r="S108" s="495"/>
      <c r="T108" s="496"/>
      <c r="U108" s="497"/>
      <c r="V108" s="498"/>
      <c r="W108" s="499"/>
      <c r="X108" s="496"/>
      <c r="Y108" s="497"/>
      <c r="Z108" s="495"/>
      <c r="AA108" s="500"/>
      <c r="AB108" s="501"/>
      <c r="AC108" s="465"/>
      <c r="AD108" s="720"/>
      <c r="AE108" s="720"/>
      <c r="AF108" s="720"/>
      <c r="AG108" s="720"/>
      <c r="AH108" s="721"/>
      <c r="AI108" s="704"/>
      <c r="AJ108" s="388"/>
      <c r="AK108" s="388"/>
      <c r="AL108" s="388"/>
      <c r="AM108" s="388"/>
      <c r="AN108" s="388"/>
      <c r="AO108" s="388"/>
      <c r="AP108" s="391"/>
      <c r="AQ108" s="861"/>
      <c r="AR108" s="750"/>
      <c r="AS108" s="751"/>
      <c r="AT108" s="751"/>
      <c r="AU108" s="469"/>
      <c r="AV108" s="386"/>
      <c r="AW108" s="386"/>
      <c r="AX108" s="386"/>
      <c r="AY108" s="386"/>
      <c r="AZ108" s="392"/>
      <c r="BA108" s="392"/>
      <c r="BB108" s="386"/>
      <c r="BC108" s="386"/>
      <c r="BD108" s="386"/>
      <c r="BE108" s="386"/>
      <c r="BF108" s="505"/>
      <c r="BG108" s="919"/>
    </row>
    <row r="109" spans="3:65" ht="10" customHeight="1" thickTop="1" thickBot="1" x14ac:dyDescent="1.05">
      <c r="D109" s="475"/>
      <c r="E109" s="467"/>
      <c r="F109" s="467"/>
      <c r="G109" s="467"/>
      <c r="H109" s="467"/>
      <c r="I109" s="467"/>
      <c r="J109" s="467"/>
      <c r="K109" s="467"/>
      <c r="L109" s="467"/>
      <c r="M109" s="467"/>
      <c r="N109" s="467"/>
      <c r="O109" s="467"/>
      <c r="P109" s="467"/>
      <c r="Q109" s="467"/>
      <c r="R109" s="467"/>
      <c r="S109" s="467"/>
      <c r="T109" s="467"/>
      <c r="U109" s="467"/>
      <c r="V109" s="467"/>
      <c r="W109" s="467"/>
      <c r="X109" s="467"/>
      <c r="Y109" s="467"/>
      <c r="Z109" s="467"/>
      <c r="AA109" s="467"/>
      <c r="AB109" s="467"/>
      <c r="AC109" s="467"/>
      <c r="AD109" s="874"/>
      <c r="AE109" s="874"/>
      <c r="AF109" s="874"/>
      <c r="AG109" s="874"/>
      <c r="AH109" s="874"/>
      <c r="AI109" s="748"/>
      <c r="AJ109" s="813"/>
      <c r="AK109" s="814"/>
      <c r="AL109" s="814"/>
      <c r="AM109" s="814"/>
      <c r="AN109" s="814"/>
      <c r="AO109" s="814"/>
      <c r="AP109" s="814"/>
      <c r="AQ109" s="874"/>
      <c r="AR109" s="861"/>
      <c r="AS109" s="861"/>
      <c r="AT109" s="861"/>
      <c r="AU109" s="478"/>
      <c r="AV109" s="386"/>
      <c r="AW109" s="386"/>
      <c r="AX109" s="386"/>
      <c r="AY109" s="386"/>
      <c r="AZ109" s="392"/>
      <c r="BA109" s="392"/>
      <c r="BB109" s="386"/>
      <c r="BC109" s="386"/>
      <c r="BD109" s="386"/>
      <c r="BE109" s="386"/>
      <c r="BF109" s="386"/>
      <c r="BG109" s="916"/>
    </row>
    <row r="110" spans="3:65" ht="100" customHeight="1" thickTop="1" x14ac:dyDescent="1">
      <c r="D110" s="408"/>
      <c r="E110" s="2096" t="s">
        <v>168</v>
      </c>
      <c r="F110" s="2079"/>
      <c r="G110" s="2079"/>
      <c r="H110" s="2079"/>
      <c r="I110" s="2079"/>
      <c r="J110" s="2079"/>
      <c r="K110" s="2079"/>
      <c r="L110" s="2079"/>
      <c r="M110" s="2079"/>
      <c r="N110" s="2079"/>
      <c r="O110" s="2079"/>
      <c r="P110" s="2080"/>
      <c r="Q110" s="2098" t="s">
        <v>168</v>
      </c>
      <c r="R110" s="2079"/>
      <c r="S110" s="2079"/>
      <c r="T110" s="2079"/>
      <c r="U110" s="2079"/>
      <c r="V110" s="2079"/>
      <c r="W110" s="2079"/>
      <c r="X110" s="2079"/>
      <c r="Y110" s="2079"/>
      <c r="Z110" s="2079"/>
      <c r="AA110" s="2079"/>
      <c r="AB110" s="2080"/>
      <c r="AC110" s="2100" t="s">
        <v>171</v>
      </c>
      <c r="AD110" s="1990"/>
      <c r="AE110" s="1990"/>
      <c r="AF110" s="1990"/>
      <c r="AG110" s="1990"/>
      <c r="AH110" s="2084"/>
      <c r="AI110" s="2092" t="s">
        <v>186</v>
      </c>
      <c r="AJ110" s="2066"/>
      <c r="AK110" s="2066"/>
      <c r="AL110" s="2066"/>
      <c r="AM110" s="2066"/>
      <c r="AN110" s="2066"/>
      <c r="AO110" s="2066"/>
      <c r="AP110" s="2066"/>
      <c r="AQ110" s="2064" t="s">
        <v>170</v>
      </c>
      <c r="AR110" s="2064"/>
      <c r="AS110" s="2064"/>
      <c r="AT110" s="2064"/>
      <c r="AU110" s="776"/>
      <c r="AV110" s="2054" t="s">
        <v>133</v>
      </c>
      <c r="AW110" s="2054"/>
      <c r="AX110" s="2054"/>
      <c r="AY110" s="2054"/>
      <c r="AZ110" s="2054"/>
      <c r="BA110" s="2054"/>
      <c r="BB110" s="2054"/>
      <c r="BC110" s="2054"/>
      <c r="BD110" s="2054"/>
      <c r="BE110" s="2054"/>
      <c r="BF110" s="2054"/>
      <c r="BG110" s="916"/>
    </row>
    <row r="111" spans="3:65" ht="100" customHeight="1" thickBot="1" x14ac:dyDescent="1.05">
      <c r="D111" s="408"/>
      <c r="E111" s="2097"/>
      <c r="F111" s="2082"/>
      <c r="G111" s="2082"/>
      <c r="H111" s="2082"/>
      <c r="I111" s="2082"/>
      <c r="J111" s="2082"/>
      <c r="K111" s="2082"/>
      <c r="L111" s="2082"/>
      <c r="M111" s="2082"/>
      <c r="N111" s="2082"/>
      <c r="O111" s="2082"/>
      <c r="P111" s="2083"/>
      <c r="Q111" s="2099"/>
      <c r="R111" s="2082"/>
      <c r="S111" s="2082"/>
      <c r="T111" s="2082"/>
      <c r="U111" s="2082"/>
      <c r="V111" s="2082"/>
      <c r="W111" s="2082"/>
      <c r="X111" s="2082"/>
      <c r="Y111" s="2082"/>
      <c r="Z111" s="2082"/>
      <c r="AA111" s="2082"/>
      <c r="AB111" s="2083"/>
      <c r="AC111" s="2099"/>
      <c r="AD111" s="2082"/>
      <c r="AE111" s="2082"/>
      <c r="AF111" s="2082"/>
      <c r="AG111" s="2082"/>
      <c r="AH111" s="2083"/>
      <c r="AI111" s="2092"/>
      <c r="AJ111" s="2066"/>
      <c r="AK111" s="2066"/>
      <c r="AL111" s="2066"/>
      <c r="AM111" s="2066"/>
      <c r="AN111" s="2066"/>
      <c r="AO111" s="2066"/>
      <c r="AP111" s="2066"/>
      <c r="AQ111" s="2086"/>
      <c r="AR111" s="2086"/>
      <c r="AS111" s="2086"/>
      <c r="AT111" s="2086"/>
      <c r="AU111" s="776"/>
      <c r="AV111" s="2054"/>
      <c r="AW111" s="2054"/>
      <c r="AX111" s="2054"/>
      <c r="AY111" s="2054"/>
      <c r="AZ111" s="2054"/>
      <c r="BA111" s="2054"/>
      <c r="BB111" s="2054"/>
      <c r="BC111" s="2054"/>
      <c r="BD111" s="2054"/>
      <c r="BE111" s="2054"/>
      <c r="BF111" s="2054"/>
      <c r="BG111" s="916"/>
    </row>
    <row r="112" spans="3:65" ht="10" customHeight="1" thickTop="1" thickBot="1" x14ac:dyDescent="1.05">
      <c r="D112" s="475"/>
      <c r="E112" s="471"/>
      <c r="F112" s="775"/>
      <c r="G112" s="775"/>
      <c r="H112" s="775"/>
      <c r="I112" s="775"/>
      <c r="J112" s="775"/>
      <c r="K112" s="775"/>
      <c r="L112" s="775"/>
      <c r="M112" s="775"/>
      <c r="N112" s="775"/>
      <c r="O112" s="775"/>
      <c r="P112" s="775"/>
      <c r="Q112" s="775"/>
      <c r="R112" s="775"/>
      <c r="S112" s="775"/>
      <c r="T112" s="775"/>
      <c r="U112" s="775"/>
      <c r="V112" s="775"/>
      <c r="W112" s="775"/>
      <c r="X112" s="775"/>
      <c r="Y112" s="775"/>
      <c r="Z112" s="775"/>
      <c r="AA112" s="775"/>
      <c r="AB112" s="775"/>
      <c r="AC112" s="775"/>
      <c r="AD112" s="775"/>
      <c r="AE112" s="775"/>
      <c r="AF112" s="775"/>
      <c r="AG112" s="775"/>
      <c r="AH112" s="775"/>
      <c r="AI112" s="762"/>
      <c r="AJ112" s="920"/>
      <c r="AK112" s="920"/>
      <c r="AL112" s="920"/>
      <c r="AM112" s="920"/>
      <c r="AN112" s="920"/>
      <c r="AO112" s="921"/>
      <c r="AP112" s="766"/>
      <c r="AQ112" s="766"/>
      <c r="AR112" s="766"/>
      <c r="AS112" s="766"/>
      <c r="AT112" s="766"/>
      <c r="AU112" s="922"/>
      <c r="AV112" s="829"/>
      <c r="AW112" s="829"/>
      <c r="AX112" s="829"/>
      <c r="AY112" s="829"/>
      <c r="AZ112" s="829"/>
      <c r="BA112" s="829"/>
      <c r="BB112" s="829"/>
      <c r="BC112" s="829"/>
      <c r="BD112" s="829"/>
      <c r="BE112" s="829"/>
      <c r="BF112" s="829"/>
      <c r="BG112" s="916"/>
    </row>
    <row r="113" spans="3:60" ht="100" customHeight="1" thickTop="1" thickBot="1" x14ac:dyDescent="1.05">
      <c r="D113" s="475"/>
      <c r="E113" s="465"/>
      <c r="F113" s="504"/>
      <c r="G113" s="716"/>
      <c r="H113" s="909"/>
      <c r="I113" s="908"/>
      <c r="J113" s="716"/>
      <c r="K113" s="716"/>
      <c r="L113" s="908"/>
      <c r="M113" s="923"/>
      <c r="N113" s="716"/>
      <c r="O113" s="716"/>
      <c r="P113" s="718"/>
      <c r="Q113" s="769"/>
      <c r="R113" s="906"/>
      <c r="S113" s="907"/>
      <c r="T113" s="924"/>
      <c r="U113" s="909"/>
      <c r="V113" s="910"/>
      <c r="W113" s="925"/>
      <c r="X113" s="924"/>
      <c r="Y113" s="909"/>
      <c r="Z113" s="911"/>
      <c r="AA113" s="926"/>
      <c r="AB113" s="927"/>
      <c r="AC113" s="769"/>
      <c r="AD113" s="504"/>
      <c r="AE113" s="716"/>
      <c r="AF113" s="909"/>
      <c r="AG113" s="907"/>
      <c r="AH113" s="716"/>
      <c r="AI113" s="386"/>
      <c r="AJ113" s="390"/>
      <c r="AK113" s="386"/>
      <c r="AL113" s="386"/>
      <c r="AM113" s="386"/>
      <c r="AN113" s="505"/>
      <c r="AO113" s="919"/>
      <c r="AP113" s="720"/>
      <c r="AQ113" s="720"/>
      <c r="AR113" s="720"/>
      <c r="AS113" s="720"/>
      <c r="AT113" s="720"/>
      <c r="AU113" s="702"/>
      <c r="AV113" s="386"/>
      <c r="AW113" s="386"/>
      <c r="AX113" s="386"/>
      <c r="AY113" s="386"/>
      <c r="AZ113" s="386"/>
      <c r="BA113" s="386"/>
      <c r="BB113" s="386"/>
      <c r="BC113" s="386"/>
      <c r="BD113" s="386"/>
      <c r="BE113" s="386"/>
      <c r="BF113" s="505"/>
      <c r="BG113" s="928"/>
    </row>
    <row r="114" spans="3:60" ht="100" customHeight="1" thickTop="1" x14ac:dyDescent="1">
      <c r="D114" s="475"/>
      <c r="E114" s="465"/>
      <c r="F114" s="2005" t="s">
        <v>132</v>
      </c>
      <c r="G114" s="1867"/>
      <c r="H114" s="1869"/>
      <c r="I114" s="587"/>
      <c r="J114" s="1867" t="s">
        <v>132</v>
      </c>
      <c r="K114" s="1867"/>
      <c r="L114" s="1868"/>
      <c r="M114" s="929"/>
      <c r="N114" s="1867" t="s">
        <v>132</v>
      </c>
      <c r="O114" s="1867"/>
      <c r="P114" s="1983"/>
      <c r="Q114" s="465"/>
      <c r="R114" s="488" t="s">
        <v>152</v>
      </c>
      <c r="S114" s="489"/>
      <c r="T114" s="506" t="s">
        <v>152</v>
      </c>
      <c r="U114" s="930"/>
      <c r="V114" s="491" t="s">
        <v>152</v>
      </c>
      <c r="W114" s="689"/>
      <c r="X114" s="533" t="s">
        <v>152</v>
      </c>
      <c r="Y114" s="506"/>
      <c r="Z114" s="492" t="s">
        <v>152</v>
      </c>
      <c r="AA114" s="507"/>
      <c r="AB114" s="493" t="s">
        <v>152</v>
      </c>
      <c r="AC114" s="680"/>
      <c r="AD114" s="2005" t="s">
        <v>132</v>
      </c>
      <c r="AE114" s="1867"/>
      <c r="AF114" s="1869"/>
      <c r="AG114" s="481"/>
      <c r="AH114" s="1886" t="s">
        <v>132</v>
      </c>
      <c r="AI114" s="1867"/>
      <c r="AJ114" s="1869"/>
      <c r="AK114" s="386"/>
      <c r="AL114" s="1867" t="s">
        <v>132</v>
      </c>
      <c r="AM114" s="1867"/>
      <c r="AN114" s="1983"/>
      <c r="AO114" s="916"/>
      <c r="AP114" s="797"/>
      <c r="AQ114" s="797"/>
      <c r="AR114" s="797"/>
      <c r="AS114" s="797"/>
      <c r="AT114" s="720"/>
      <c r="AU114" s="465"/>
      <c r="AV114" s="508"/>
      <c r="AW114" s="386"/>
      <c r="AX114" s="386"/>
      <c r="AY114" s="386"/>
      <c r="AZ114" s="386"/>
      <c r="BA114" s="386"/>
      <c r="BB114" s="386"/>
      <c r="BC114" s="386"/>
      <c r="BD114" s="386"/>
      <c r="BE114" s="386"/>
      <c r="BF114" s="505"/>
      <c r="BG114" s="916"/>
    </row>
    <row r="115" spans="3:60" ht="100" customHeight="1" x14ac:dyDescent="1">
      <c r="D115" s="475"/>
      <c r="E115" s="465"/>
      <c r="F115" s="2005" t="s">
        <v>153</v>
      </c>
      <c r="G115" s="1867"/>
      <c r="H115" s="1867"/>
      <c r="I115" s="931"/>
      <c r="J115" s="1867" t="s">
        <v>153</v>
      </c>
      <c r="K115" s="1867"/>
      <c r="L115" s="1868"/>
      <c r="M115" s="929"/>
      <c r="N115" s="1867" t="s">
        <v>153</v>
      </c>
      <c r="O115" s="1867"/>
      <c r="P115" s="1983"/>
      <c r="Q115" s="932"/>
      <c r="R115" s="488" t="s">
        <v>153</v>
      </c>
      <c r="S115" s="489"/>
      <c r="T115" s="615" t="s">
        <v>154</v>
      </c>
      <c r="U115" s="507"/>
      <c r="V115" s="491" t="s">
        <v>154</v>
      </c>
      <c r="W115" s="689"/>
      <c r="X115" s="533" t="s">
        <v>154</v>
      </c>
      <c r="Y115" s="506"/>
      <c r="Z115" s="492" t="s">
        <v>154</v>
      </c>
      <c r="AA115" s="506"/>
      <c r="AB115" s="493" t="s">
        <v>154</v>
      </c>
      <c r="AC115" s="680"/>
      <c r="AD115" s="2005" t="s">
        <v>153</v>
      </c>
      <c r="AE115" s="1867"/>
      <c r="AF115" s="1869"/>
      <c r="AG115" s="489"/>
      <c r="AH115" s="1886" t="s">
        <v>153</v>
      </c>
      <c r="AI115" s="1867"/>
      <c r="AJ115" s="1869"/>
      <c r="AK115" s="689"/>
      <c r="AL115" s="1867" t="s">
        <v>153</v>
      </c>
      <c r="AM115" s="1867"/>
      <c r="AN115" s="1983"/>
      <c r="AO115" s="932"/>
      <c r="AP115" s="797"/>
      <c r="AQ115" s="797"/>
      <c r="AR115" s="801"/>
      <c r="AS115" s="801"/>
      <c r="AT115" s="720"/>
      <c r="AU115" s="465"/>
      <c r="AV115" s="508"/>
      <c r="AW115" s="386"/>
      <c r="AX115" s="1867"/>
      <c r="AY115" s="1867"/>
      <c r="AZ115" s="1867"/>
      <c r="BA115" s="1867"/>
      <c r="BB115" s="1867"/>
      <c r="BC115" s="1867"/>
      <c r="BD115" s="1867"/>
      <c r="BE115" s="506"/>
      <c r="BF115" s="505"/>
      <c r="BG115" s="916"/>
    </row>
    <row r="116" spans="3:60" ht="100" customHeight="1" x14ac:dyDescent="1">
      <c r="D116" s="475"/>
      <c r="E116" s="465"/>
      <c r="F116" s="2005" t="s">
        <v>121</v>
      </c>
      <c r="G116" s="1867"/>
      <c r="H116" s="1869"/>
      <c r="I116" s="587"/>
      <c r="J116" s="1867" t="s">
        <v>20</v>
      </c>
      <c r="K116" s="1867"/>
      <c r="L116" s="1868"/>
      <c r="M116" s="929"/>
      <c r="N116" s="1867" t="s">
        <v>121</v>
      </c>
      <c r="O116" s="1867"/>
      <c r="P116" s="1983"/>
      <c r="Q116" s="680"/>
      <c r="R116" s="488" t="s">
        <v>121</v>
      </c>
      <c r="S116" s="489"/>
      <c r="T116" s="615" t="s">
        <v>125</v>
      </c>
      <c r="U116" s="507"/>
      <c r="V116" s="491" t="s">
        <v>121</v>
      </c>
      <c r="W116" s="689"/>
      <c r="X116" s="533" t="s">
        <v>20</v>
      </c>
      <c r="Y116" s="506"/>
      <c r="Z116" s="492" t="s">
        <v>20</v>
      </c>
      <c r="AA116" s="506"/>
      <c r="AB116" s="493" t="s">
        <v>121</v>
      </c>
      <c r="AC116" s="680"/>
      <c r="AD116" s="2005" t="s">
        <v>121</v>
      </c>
      <c r="AE116" s="1867"/>
      <c r="AF116" s="1869"/>
      <c r="AG116" s="489"/>
      <c r="AH116" s="1867" t="s">
        <v>20</v>
      </c>
      <c r="AI116" s="1867"/>
      <c r="AJ116" s="1869"/>
      <c r="AK116" s="506"/>
      <c r="AL116" s="1867" t="s">
        <v>121</v>
      </c>
      <c r="AM116" s="1867"/>
      <c r="AN116" s="1983"/>
      <c r="AO116" s="932"/>
      <c r="AP116" s="801"/>
      <c r="AQ116" s="801"/>
      <c r="AR116" s="801" t="s">
        <v>138</v>
      </c>
      <c r="AS116" s="801"/>
      <c r="AT116" s="730"/>
      <c r="AU116" s="680"/>
      <c r="AV116" s="684"/>
      <c r="AW116" s="506"/>
      <c r="AX116" s="2101" t="s">
        <v>196</v>
      </c>
      <c r="AY116" s="2101"/>
      <c r="AZ116" s="2101"/>
      <c r="BA116" s="2101"/>
      <c r="BB116" s="2101"/>
      <c r="BC116" s="2101"/>
      <c r="BD116" s="2101"/>
      <c r="BE116" s="933"/>
      <c r="BF116" s="686"/>
      <c r="BG116" s="916"/>
    </row>
    <row r="117" spans="3:60" ht="100" customHeight="1" x14ac:dyDescent="1">
      <c r="D117" s="475"/>
      <c r="E117" s="465"/>
      <c r="F117" s="2005">
        <v>800</v>
      </c>
      <c r="G117" s="1867"/>
      <c r="H117" s="1869"/>
      <c r="I117" s="587"/>
      <c r="J117" s="1972">
        <v>1100</v>
      </c>
      <c r="K117" s="1972"/>
      <c r="L117" s="1868"/>
      <c r="M117" s="929"/>
      <c r="N117" s="1867">
        <v>800</v>
      </c>
      <c r="O117" s="1867"/>
      <c r="P117" s="1983"/>
      <c r="Q117" s="680"/>
      <c r="R117" s="488">
        <v>300</v>
      </c>
      <c r="S117" s="489"/>
      <c r="T117" s="615">
        <v>500</v>
      </c>
      <c r="U117" s="507"/>
      <c r="V117" s="491">
        <v>300</v>
      </c>
      <c r="W117" s="492"/>
      <c r="X117" s="615">
        <v>450</v>
      </c>
      <c r="Y117" s="506"/>
      <c r="Z117" s="492">
        <v>450</v>
      </c>
      <c r="AA117" s="507"/>
      <c r="AB117" s="493">
        <v>300</v>
      </c>
      <c r="AC117" s="680"/>
      <c r="AD117" s="2005">
        <v>300</v>
      </c>
      <c r="AE117" s="1867"/>
      <c r="AF117" s="1869"/>
      <c r="AG117" s="489"/>
      <c r="AH117" s="1972">
        <v>1100</v>
      </c>
      <c r="AI117" s="1972"/>
      <c r="AJ117" s="1869"/>
      <c r="AK117" s="506"/>
      <c r="AL117" s="1867">
        <v>800</v>
      </c>
      <c r="AM117" s="1867"/>
      <c r="AN117" s="1983"/>
      <c r="AO117" s="932"/>
      <c r="AP117" s="801"/>
      <c r="AQ117" s="801"/>
      <c r="AR117" s="917">
        <v>400</v>
      </c>
      <c r="AS117" s="917"/>
      <c r="AT117" s="737"/>
      <c r="AU117" s="784"/>
      <c r="AV117" s="934"/>
      <c r="AW117" s="648"/>
      <c r="AX117" s="648">
        <v>5400</v>
      </c>
      <c r="AY117" s="648"/>
      <c r="AZ117" s="648"/>
      <c r="BA117" s="648"/>
      <c r="BB117" s="648"/>
      <c r="BC117" s="648"/>
      <c r="BD117" s="648"/>
      <c r="BE117" s="648"/>
      <c r="BF117" s="686"/>
      <c r="BG117" s="916"/>
    </row>
    <row r="118" spans="3:60" ht="100" customHeight="1" x14ac:dyDescent="1">
      <c r="D118" s="475"/>
      <c r="E118" s="465"/>
      <c r="F118" s="508"/>
      <c r="G118" s="386"/>
      <c r="H118" s="390"/>
      <c r="I118" s="482"/>
      <c r="J118" s="386"/>
      <c r="K118" s="386"/>
      <c r="L118" s="482"/>
      <c r="M118" s="935"/>
      <c r="N118" s="386"/>
      <c r="O118" s="386"/>
      <c r="P118" s="505"/>
      <c r="Q118" s="465"/>
      <c r="R118" s="488"/>
      <c r="S118" s="489"/>
      <c r="T118" s="615"/>
      <c r="U118" s="507"/>
      <c r="V118" s="491"/>
      <c r="W118" s="492"/>
      <c r="X118" s="506"/>
      <c r="Y118" s="930"/>
      <c r="Z118" s="492"/>
      <c r="AA118" s="506"/>
      <c r="AB118" s="493"/>
      <c r="AC118" s="680"/>
      <c r="AD118" s="508"/>
      <c r="AE118" s="386"/>
      <c r="AF118" s="390"/>
      <c r="AG118" s="481"/>
      <c r="AH118" s="386"/>
      <c r="AI118" s="386"/>
      <c r="AJ118" s="390"/>
      <c r="AK118" s="386"/>
      <c r="AL118" s="386"/>
      <c r="AM118" s="386"/>
      <c r="AN118" s="505"/>
      <c r="AO118" s="916"/>
      <c r="AP118" s="797"/>
      <c r="AQ118" s="797"/>
      <c r="AR118" s="797"/>
      <c r="AS118" s="797"/>
      <c r="AT118" s="720"/>
      <c r="AU118" s="465"/>
      <c r="AV118" s="508"/>
      <c r="AW118" s="386"/>
      <c r="AX118" s="386"/>
      <c r="AY118" s="386"/>
      <c r="AZ118" s="386"/>
      <c r="BA118" s="386"/>
      <c r="BB118" s="386"/>
      <c r="BC118" s="386"/>
      <c r="BD118" s="386"/>
      <c r="BE118" s="386"/>
      <c r="BF118" s="505"/>
      <c r="BG118" s="916"/>
    </row>
    <row r="119" spans="3:60" ht="100" customHeight="1" thickBot="1" x14ac:dyDescent="1.05">
      <c r="D119" s="475"/>
      <c r="E119" s="465"/>
      <c r="F119" s="743"/>
      <c r="G119" s="500"/>
      <c r="H119" s="497"/>
      <c r="I119" s="496"/>
      <c r="J119" s="500"/>
      <c r="K119" s="500"/>
      <c r="L119" s="496"/>
      <c r="M119" s="936"/>
      <c r="N119" s="500"/>
      <c r="O119" s="500"/>
      <c r="P119" s="509"/>
      <c r="Q119" s="467"/>
      <c r="R119" s="494"/>
      <c r="S119" s="495"/>
      <c r="T119" s="937"/>
      <c r="U119" s="497"/>
      <c r="V119" s="498"/>
      <c r="W119" s="938"/>
      <c r="X119" s="939"/>
      <c r="Y119" s="497"/>
      <c r="Z119" s="499"/>
      <c r="AA119" s="940"/>
      <c r="AB119" s="509"/>
      <c r="AC119" s="467"/>
      <c r="AD119" s="743"/>
      <c r="AE119" s="500"/>
      <c r="AF119" s="497"/>
      <c r="AG119" s="495"/>
      <c r="AH119" s="500"/>
      <c r="AI119" s="500"/>
      <c r="AJ119" s="497"/>
      <c r="AK119" s="500"/>
      <c r="AL119" s="500"/>
      <c r="AM119" s="500"/>
      <c r="AN119" s="509"/>
      <c r="AO119" s="916"/>
      <c r="AP119" s="797"/>
      <c r="AQ119" s="797"/>
      <c r="AR119" s="797"/>
      <c r="AS119" s="797"/>
      <c r="AT119" s="720"/>
      <c r="AU119" s="788"/>
      <c r="AV119" s="508"/>
      <c r="AW119" s="386"/>
      <c r="AX119" s="386"/>
      <c r="AY119" s="386"/>
      <c r="AZ119" s="386"/>
      <c r="BA119" s="386"/>
      <c r="BB119" s="386"/>
      <c r="BC119" s="386"/>
      <c r="BD119" s="386"/>
      <c r="BE119" s="386"/>
      <c r="BF119" s="505"/>
      <c r="BG119" s="916"/>
      <c r="BH119" s="408"/>
    </row>
    <row r="120" spans="3:60" ht="10" customHeight="1" thickTop="1" thickBot="1" x14ac:dyDescent="1.05">
      <c r="D120" s="475"/>
      <c r="E120" s="467"/>
      <c r="F120" s="477"/>
      <c r="G120" s="476"/>
      <c r="H120" s="476"/>
      <c r="I120" s="476"/>
      <c r="J120" s="476"/>
      <c r="K120" s="476"/>
      <c r="L120" s="701"/>
      <c r="M120" s="476"/>
      <c r="N120" s="699"/>
      <c r="O120" s="476"/>
      <c r="P120" s="476"/>
      <c r="Q120" s="476"/>
      <c r="R120" s="476"/>
      <c r="S120" s="476"/>
      <c r="T120" s="476"/>
      <c r="U120" s="476"/>
      <c r="V120" s="476"/>
      <c r="W120" s="476"/>
      <c r="X120" s="477"/>
      <c r="Y120" s="476"/>
      <c r="Z120" s="476"/>
      <c r="AA120" s="476"/>
      <c r="AB120" s="477"/>
      <c r="AC120" s="476"/>
      <c r="AD120" s="477"/>
      <c r="AE120" s="476"/>
      <c r="AF120" s="476"/>
      <c r="AG120" s="476"/>
      <c r="AH120" s="478"/>
      <c r="AI120" s="476"/>
      <c r="AJ120" s="477"/>
      <c r="AK120" s="476"/>
      <c r="AL120" s="476"/>
      <c r="AM120" s="476"/>
      <c r="AN120" s="478"/>
      <c r="AO120" s="928"/>
      <c r="AP120" s="754"/>
      <c r="AQ120" s="754"/>
      <c r="AR120" s="754"/>
      <c r="AS120" s="754"/>
      <c r="AT120" s="755"/>
      <c r="AU120" s="465"/>
      <c r="AV120" s="941"/>
      <c r="AW120" s="476"/>
      <c r="AX120" s="701"/>
      <c r="AY120" s="701"/>
      <c r="AZ120" s="701"/>
      <c r="BA120" s="476"/>
      <c r="BB120" s="476"/>
      <c r="BC120" s="476"/>
      <c r="BD120" s="476"/>
      <c r="BE120" s="476"/>
      <c r="BF120" s="478"/>
      <c r="BG120" s="928"/>
      <c r="BH120" s="408"/>
    </row>
    <row r="121" spans="3:60" ht="100" customHeight="1" thickTop="1" x14ac:dyDescent="1">
      <c r="F121" s="961"/>
      <c r="G121" s="961"/>
      <c r="H121" s="942"/>
      <c r="I121" s="942"/>
      <c r="J121" s="942"/>
      <c r="K121" s="942"/>
      <c r="L121" s="942"/>
      <c r="M121" s="942"/>
      <c r="N121" s="942"/>
      <c r="O121" s="942"/>
      <c r="P121" s="942"/>
      <c r="Q121" s="942"/>
      <c r="R121" s="961"/>
      <c r="S121" s="961"/>
      <c r="T121" s="961"/>
      <c r="U121" s="961"/>
      <c r="V121" s="961"/>
      <c r="W121" s="961"/>
      <c r="X121" s="961"/>
      <c r="Y121" s="961"/>
      <c r="Z121" s="961"/>
      <c r="AA121" s="961"/>
      <c r="AB121" s="961"/>
      <c r="AC121" s="961"/>
      <c r="AD121" s="961"/>
      <c r="AE121" s="961"/>
      <c r="AF121" s="942"/>
      <c r="AG121" s="942"/>
      <c r="AH121" s="961"/>
      <c r="AI121" s="961"/>
      <c r="AJ121" s="961"/>
      <c r="AK121" s="961"/>
      <c r="AL121" s="961"/>
      <c r="AM121" s="961"/>
      <c r="AN121" s="961"/>
      <c r="AO121" s="961"/>
      <c r="AP121" s="961"/>
      <c r="AQ121" s="961"/>
      <c r="AR121" s="961"/>
      <c r="AS121" s="961"/>
      <c r="AT121" s="961"/>
      <c r="AU121" s="943"/>
      <c r="AV121" s="961"/>
      <c r="AW121" s="961"/>
      <c r="AX121" s="961"/>
      <c r="AY121" s="961"/>
      <c r="AZ121" s="961"/>
      <c r="BA121" s="961"/>
      <c r="BB121" s="961"/>
      <c r="BC121" s="961"/>
      <c r="BD121" s="961"/>
      <c r="BE121" s="961"/>
      <c r="BF121" s="942"/>
      <c r="BG121" s="408"/>
      <c r="BH121" s="408"/>
    </row>
    <row r="122" spans="3:60" s="1426" customFormat="1" ht="100" customHeight="1" x14ac:dyDescent="1.2">
      <c r="C122" s="1431"/>
      <c r="F122" s="1426" t="s">
        <v>254</v>
      </c>
      <c r="G122" s="1425"/>
      <c r="H122" s="1452"/>
      <c r="I122" s="1452"/>
      <c r="J122" s="1452"/>
      <c r="K122" s="1452"/>
      <c r="L122" s="1452"/>
      <c r="M122" s="1452"/>
      <c r="N122" s="1452"/>
      <c r="O122" s="1452"/>
      <c r="P122" s="1452"/>
      <c r="Q122" s="1452"/>
      <c r="R122" s="1425"/>
      <c r="S122" s="1425"/>
      <c r="T122" s="1425"/>
      <c r="U122" s="1425"/>
      <c r="V122" s="1425"/>
      <c r="W122" s="1425"/>
      <c r="X122" s="1425"/>
      <c r="Y122" s="1425"/>
      <c r="Z122" s="1425"/>
      <c r="AA122" s="1425"/>
      <c r="AB122" s="1425"/>
      <c r="AC122" s="1425"/>
      <c r="AD122" s="1425"/>
      <c r="AE122" s="1425"/>
      <c r="AF122" s="1452"/>
      <c r="AG122" s="1452"/>
      <c r="AH122" s="1425"/>
      <c r="AI122" s="1425"/>
      <c r="AJ122" s="1425"/>
      <c r="AK122" s="1425"/>
      <c r="AL122" s="1425"/>
      <c r="AM122" s="1425"/>
      <c r="AN122" s="1425"/>
      <c r="AO122" s="1425"/>
      <c r="AP122" s="1425"/>
      <c r="AQ122" s="1425"/>
      <c r="AR122" s="1425"/>
      <c r="AS122" s="1425"/>
      <c r="AT122" s="1425"/>
      <c r="AU122" s="1452"/>
      <c r="AV122" s="1425"/>
      <c r="AW122" s="1425"/>
      <c r="AX122" s="1425"/>
      <c r="AY122" s="1425"/>
      <c r="AZ122" s="1425"/>
      <c r="BA122" s="1425"/>
      <c r="BB122" s="1425"/>
      <c r="BC122" s="1425"/>
      <c r="BD122" s="1425"/>
      <c r="BE122" s="1425"/>
      <c r="BF122" s="1452"/>
      <c r="BG122" s="1431"/>
      <c r="BH122" s="1431"/>
    </row>
    <row r="123" spans="3:60" s="1426" customFormat="1" ht="25" customHeight="1" x14ac:dyDescent="1.2">
      <c r="C123" s="1431"/>
      <c r="H123" s="1431"/>
      <c r="I123" s="1431"/>
      <c r="J123" s="1431"/>
      <c r="K123" s="1431"/>
      <c r="L123" s="1431"/>
      <c r="M123" s="1431"/>
      <c r="N123" s="1431"/>
      <c r="O123" s="1431"/>
      <c r="P123" s="1431"/>
      <c r="Q123" s="1431"/>
      <c r="AD123" s="1436"/>
      <c r="AE123" s="1436"/>
      <c r="BG123" s="1431"/>
      <c r="BH123" s="1431"/>
    </row>
    <row r="124" spans="3:60" s="1426" customFormat="1" ht="100" customHeight="1" x14ac:dyDescent="1.2">
      <c r="C124" s="1431"/>
      <c r="F124" s="1436" t="s">
        <v>131</v>
      </c>
      <c r="G124" s="1436"/>
      <c r="J124" s="1440"/>
      <c r="K124" s="1440"/>
      <c r="M124" s="1427"/>
      <c r="P124" s="1427" t="s">
        <v>134</v>
      </c>
      <c r="R124" s="1440">
        <v>20000</v>
      </c>
      <c r="S124" s="1440"/>
      <c r="T124" s="1426" t="s">
        <v>33</v>
      </c>
    </row>
    <row r="125" spans="3:60" ht="25" customHeight="1" thickBot="1" x14ac:dyDescent="1.05">
      <c r="E125" s="372"/>
      <c r="F125" s="355"/>
      <c r="G125" s="355"/>
      <c r="AD125" s="697"/>
      <c r="AE125" s="408"/>
      <c r="AH125" s="408"/>
      <c r="AI125" s="697"/>
      <c r="AJ125" s="408"/>
      <c r="AK125" s="408"/>
      <c r="AQ125" s="697"/>
      <c r="AR125" s="697"/>
      <c r="AS125" s="697"/>
      <c r="AT125" s="697"/>
      <c r="AU125" s="372"/>
    </row>
    <row r="126" spans="3:60" ht="10" customHeight="1" thickTop="1" thickBot="1" x14ac:dyDescent="1.05">
      <c r="E126" s="471"/>
      <c r="F126" s="477"/>
      <c r="G126" s="476"/>
      <c r="H126" s="476"/>
      <c r="I126" s="476"/>
      <c r="J126" s="476"/>
      <c r="K126" s="476"/>
      <c r="L126" s="476"/>
      <c r="M126" s="476"/>
      <c r="N126" s="478"/>
      <c r="O126" s="476"/>
      <c r="P126" s="476"/>
      <c r="Q126" s="477"/>
      <c r="R126" s="476"/>
      <c r="S126" s="476"/>
      <c r="T126" s="476"/>
      <c r="U126" s="477"/>
      <c r="V126" s="476"/>
      <c r="W126" s="476"/>
      <c r="X126" s="476"/>
      <c r="Y126" s="944"/>
      <c r="Z126" s="477"/>
      <c r="AA126" s="476"/>
      <c r="AB126" s="478"/>
      <c r="AC126" s="698"/>
      <c r="AD126" s="945"/>
      <c r="AE126" s="946"/>
      <c r="AF126" s="946"/>
      <c r="AG126" s="946"/>
      <c r="AH126" s="947"/>
      <c r="AI126" s="795"/>
      <c r="AJ126" s="388"/>
      <c r="AK126" s="388"/>
      <c r="AL126" s="388"/>
      <c r="AM126" s="388"/>
      <c r="AN126" s="388"/>
      <c r="AO126" s="388"/>
      <c r="AP126" s="948"/>
      <c r="AQ126" s="861"/>
      <c r="AR126" s="945"/>
      <c r="AS126" s="945"/>
      <c r="AT126" s="945"/>
      <c r="AU126" s="465"/>
      <c r="AV126" s="949"/>
      <c r="AW126" s="949"/>
      <c r="AX126" s="949"/>
      <c r="AY126" s="949"/>
      <c r="AZ126" s="949"/>
      <c r="BA126" s="949"/>
      <c r="BB126" s="949"/>
      <c r="BC126" s="949"/>
      <c r="BD126" s="949"/>
      <c r="BE126" s="949"/>
      <c r="BF126" s="949"/>
      <c r="BG126" s="702"/>
    </row>
    <row r="127" spans="3:60" ht="100" customHeight="1" thickTop="1" x14ac:dyDescent="1">
      <c r="E127" s="465"/>
      <c r="F127" s="508"/>
      <c r="G127" s="386"/>
      <c r="H127" s="386"/>
      <c r="I127" s="386"/>
      <c r="J127" s="386"/>
      <c r="K127" s="386"/>
      <c r="L127" s="386"/>
      <c r="M127" s="386"/>
      <c r="N127" s="392"/>
      <c r="O127" s="392"/>
      <c r="P127" s="387"/>
      <c r="Q127" s="950"/>
      <c r="R127" s="716"/>
      <c r="S127" s="386"/>
      <c r="T127" s="386"/>
      <c r="U127" s="386"/>
      <c r="V127" s="386"/>
      <c r="W127" s="386"/>
      <c r="X127" s="386"/>
      <c r="Y127" s="386"/>
      <c r="Z127" s="386"/>
      <c r="AA127" s="386"/>
      <c r="AB127" s="505"/>
      <c r="AC127" s="465"/>
      <c r="AD127" s="797"/>
      <c r="AE127" s="797"/>
      <c r="AF127" s="797"/>
      <c r="AG127" s="797"/>
      <c r="AH127" s="865"/>
      <c r="AI127" s="798"/>
      <c r="AJ127" s="388"/>
      <c r="AK127" s="388"/>
      <c r="AL127" s="388"/>
      <c r="AM127" s="388"/>
      <c r="AN127" s="388"/>
      <c r="AO127" s="388"/>
      <c r="AP127" s="860"/>
      <c r="AQ127" s="798"/>
      <c r="AR127" s="838"/>
      <c r="AS127" s="838"/>
      <c r="AT127" s="723"/>
      <c r="AU127" s="465"/>
      <c r="AV127" s="504"/>
      <c r="AW127" s="716"/>
      <c r="AX127" s="716"/>
      <c r="AY127" s="716"/>
      <c r="AZ127" s="717"/>
      <c r="BA127" s="717"/>
      <c r="BB127" s="716"/>
      <c r="BC127" s="716"/>
      <c r="BD127" s="716"/>
      <c r="BE127" s="716"/>
      <c r="BF127" s="718"/>
      <c r="BG127" s="469"/>
    </row>
    <row r="128" spans="3:60" ht="100" customHeight="1" x14ac:dyDescent="1">
      <c r="E128" s="465"/>
      <c r="F128" s="508"/>
      <c r="G128" s="386"/>
      <c r="H128" s="386"/>
      <c r="I128" s="386"/>
      <c r="J128" s="386"/>
      <c r="K128" s="386"/>
      <c r="L128" s="386"/>
      <c r="M128" s="386"/>
      <c r="N128" s="392"/>
      <c r="O128" s="392"/>
      <c r="P128" s="387"/>
      <c r="Q128" s="385"/>
      <c r="R128" s="386"/>
      <c r="S128" s="386"/>
      <c r="T128" s="386"/>
      <c r="U128" s="386"/>
      <c r="V128" s="386"/>
      <c r="W128" s="386"/>
      <c r="X128" s="386"/>
      <c r="Y128" s="386"/>
      <c r="Z128" s="386"/>
      <c r="AA128" s="386"/>
      <c r="AB128" s="505"/>
      <c r="AC128" s="465"/>
      <c r="AD128" s="797"/>
      <c r="AE128" s="797"/>
      <c r="AF128" s="797"/>
      <c r="AG128" s="797"/>
      <c r="AH128" s="721"/>
      <c r="AI128" s="798"/>
      <c r="AJ128" s="388"/>
      <c r="AK128" s="388"/>
      <c r="AL128" s="388"/>
      <c r="AM128" s="388"/>
      <c r="AN128" s="388"/>
      <c r="AO128" s="388"/>
      <c r="AP128" s="860"/>
      <c r="AQ128" s="798"/>
      <c r="AR128" s="838"/>
      <c r="AS128" s="838"/>
      <c r="AT128" s="723"/>
      <c r="AU128" s="465"/>
      <c r="AV128" s="508"/>
      <c r="AW128" s="386"/>
      <c r="AX128" s="386"/>
      <c r="AY128" s="386"/>
      <c r="AZ128" s="392"/>
      <c r="BA128" s="392"/>
      <c r="BB128" s="386"/>
      <c r="BC128" s="386"/>
      <c r="BD128" s="386"/>
      <c r="BE128" s="386"/>
      <c r="BF128" s="505"/>
      <c r="BG128" s="469"/>
    </row>
    <row r="129" spans="5:59" ht="100" customHeight="1" x14ac:dyDescent="1">
      <c r="E129" s="465"/>
      <c r="F129" s="684"/>
      <c r="G129" s="506"/>
      <c r="H129" s="1867"/>
      <c r="I129" s="1867"/>
      <c r="J129" s="1867"/>
      <c r="K129" s="1867"/>
      <c r="L129" s="1867"/>
      <c r="M129" s="506"/>
      <c r="N129" s="732"/>
      <c r="O129" s="732"/>
      <c r="P129" s="387"/>
      <c r="Q129" s="375"/>
      <c r="R129" s="1867"/>
      <c r="S129" s="1867"/>
      <c r="T129" s="1867"/>
      <c r="U129" s="506"/>
      <c r="V129" s="1867"/>
      <c r="W129" s="1867"/>
      <c r="X129" s="1867"/>
      <c r="Y129" s="506"/>
      <c r="Z129" s="1867"/>
      <c r="AA129" s="1867"/>
      <c r="AB129" s="1983"/>
      <c r="AC129" s="680"/>
      <c r="AD129" s="801"/>
      <c r="AE129" s="801"/>
      <c r="AF129" s="801" t="s">
        <v>138</v>
      </c>
      <c r="AG129" s="801"/>
      <c r="AH129" s="731"/>
      <c r="AI129" s="802"/>
      <c r="AJ129" s="869"/>
      <c r="AK129" s="869"/>
      <c r="AL129" s="869"/>
      <c r="AM129" s="869"/>
      <c r="AN129" s="869"/>
      <c r="AO129" s="869"/>
      <c r="AP129" s="866"/>
      <c r="AQ129" s="802"/>
      <c r="AR129" s="951"/>
      <c r="AS129" s="951"/>
      <c r="AT129" s="734"/>
      <c r="AU129" s="680"/>
      <c r="AV129" s="684"/>
      <c r="AW129" s="506"/>
      <c r="AX129" s="506"/>
      <c r="AY129" s="506"/>
      <c r="AZ129" s="732"/>
      <c r="BA129" s="732"/>
      <c r="BB129" s="506"/>
      <c r="BC129" s="506"/>
      <c r="BD129" s="506"/>
      <c r="BE129" s="506"/>
      <c r="BF129" s="505"/>
      <c r="BG129" s="469"/>
    </row>
    <row r="130" spans="5:59" ht="100" customHeight="1" x14ac:dyDescent="1">
      <c r="E130" s="465"/>
      <c r="F130" s="684"/>
      <c r="G130" s="506"/>
      <c r="H130" s="1867"/>
      <c r="I130" s="1867"/>
      <c r="J130" s="1867"/>
      <c r="K130" s="1867"/>
      <c r="L130" s="1867"/>
      <c r="M130" s="506"/>
      <c r="N130" s="728" t="s">
        <v>175</v>
      </c>
      <c r="O130" s="728"/>
      <c r="P130" s="387"/>
      <c r="Q130" s="375"/>
      <c r="R130" s="1867"/>
      <c r="S130" s="1867"/>
      <c r="T130" s="1867"/>
      <c r="U130" s="506"/>
      <c r="V130" s="1867"/>
      <c r="W130" s="1867"/>
      <c r="X130" s="1867"/>
      <c r="Y130" s="506"/>
      <c r="Z130" s="1867"/>
      <c r="AA130" s="1867"/>
      <c r="AB130" s="1983"/>
      <c r="AC130" s="680"/>
      <c r="AD130" s="801"/>
      <c r="AE130" s="801"/>
      <c r="AF130" s="918">
        <v>1350</v>
      </c>
      <c r="AG130" s="918"/>
      <c r="AH130" s="731"/>
      <c r="AI130" s="802"/>
      <c r="AJ130" s="2107" t="s">
        <v>124</v>
      </c>
      <c r="AK130" s="2107"/>
      <c r="AL130" s="2107"/>
      <c r="AM130" s="2107"/>
      <c r="AN130" s="2107"/>
      <c r="AO130" s="869"/>
      <c r="AP130" s="866" t="s">
        <v>177</v>
      </c>
      <c r="AQ130" s="802"/>
      <c r="AR130" s="2108" t="s">
        <v>139</v>
      </c>
      <c r="AS130" s="2108"/>
      <c r="AT130" s="2076"/>
      <c r="AU130" s="680"/>
      <c r="AV130" s="684"/>
      <c r="AW130" s="506"/>
      <c r="AX130" s="506"/>
      <c r="AY130" s="506"/>
      <c r="AZ130" s="728" t="s">
        <v>175</v>
      </c>
      <c r="BA130" s="728"/>
      <c r="BB130" s="648"/>
      <c r="BC130" s="648"/>
      <c r="BD130" s="506"/>
      <c r="BE130" s="506"/>
      <c r="BF130" s="686"/>
      <c r="BG130" s="469"/>
    </row>
    <row r="131" spans="5:59" ht="100" customHeight="1" x14ac:dyDescent="1">
      <c r="E131" s="465"/>
      <c r="F131" s="508"/>
      <c r="G131" s="386"/>
      <c r="H131" s="1972"/>
      <c r="I131" s="1972"/>
      <c r="J131" s="1867"/>
      <c r="K131" s="1867"/>
      <c r="L131" s="1867"/>
      <c r="M131" s="506"/>
      <c r="N131" s="728" t="s">
        <v>127</v>
      </c>
      <c r="O131" s="728"/>
      <c r="P131" s="387"/>
      <c r="Q131" s="385"/>
      <c r="R131" s="1867"/>
      <c r="S131" s="1867"/>
      <c r="T131" s="1867"/>
      <c r="U131" s="506"/>
      <c r="V131" s="1972"/>
      <c r="W131" s="1972"/>
      <c r="X131" s="1867"/>
      <c r="Y131" s="506"/>
      <c r="Z131" s="1867"/>
      <c r="AA131" s="1867"/>
      <c r="AB131" s="1983"/>
      <c r="AC131" s="680"/>
      <c r="AD131" s="797"/>
      <c r="AE131" s="797"/>
      <c r="AF131" s="801"/>
      <c r="AG131" s="801"/>
      <c r="AH131" s="721"/>
      <c r="AI131" s="798"/>
      <c r="AJ131" s="388"/>
      <c r="AK131" s="388"/>
      <c r="AL131" s="388"/>
      <c r="AM131" s="388"/>
      <c r="AN131" s="388"/>
      <c r="AO131" s="388"/>
      <c r="AP131" s="866" t="s">
        <v>127</v>
      </c>
      <c r="AQ131" s="802"/>
      <c r="AR131" s="2108">
        <v>900</v>
      </c>
      <c r="AS131" s="2108"/>
      <c r="AT131" s="2076"/>
      <c r="AU131" s="680"/>
      <c r="AV131" s="508"/>
      <c r="AW131" s="386"/>
      <c r="AX131" s="386"/>
      <c r="AY131" s="386"/>
      <c r="AZ131" s="728" t="s">
        <v>127</v>
      </c>
      <c r="BA131" s="728"/>
      <c r="BB131" s="386"/>
      <c r="BC131" s="386"/>
      <c r="BD131" s="386"/>
      <c r="BE131" s="386"/>
      <c r="BF131" s="505"/>
      <c r="BG131" s="469"/>
    </row>
    <row r="132" spans="5:59" ht="100" customHeight="1" x14ac:dyDescent="1">
      <c r="E132" s="465"/>
      <c r="F132" s="508"/>
      <c r="G132" s="386"/>
      <c r="H132" s="386"/>
      <c r="I132" s="386"/>
      <c r="J132" s="386"/>
      <c r="K132" s="386"/>
      <c r="L132" s="386"/>
      <c r="M132" s="386"/>
      <c r="N132" s="392"/>
      <c r="O132" s="392"/>
      <c r="P132" s="387"/>
      <c r="Q132" s="385"/>
      <c r="R132" s="386"/>
      <c r="S132" s="386"/>
      <c r="T132" s="386"/>
      <c r="U132" s="386"/>
      <c r="V132" s="386"/>
      <c r="W132" s="386"/>
      <c r="X132" s="386"/>
      <c r="Y132" s="386"/>
      <c r="Z132" s="386"/>
      <c r="AA132" s="386"/>
      <c r="AB132" s="505"/>
      <c r="AC132" s="465"/>
      <c r="AD132" s="797"/>
      <c r="AE132" s="797"/>
      <c r="AF132" s="797"/>
      <c r="AG132" s="797"/>
      <c r="AH132" s="721"/>
      <c r="AI132" s="798"/>
      <c r="AJ132" s="388"/>
      <c r="AK132" s="388"/>
      <c r="AL132" s="388"/>
      <c r="AM132" s="388"/>
      <c r="AN132" s="388"/>
      <c r="AO132" s="388"/>
      <c r="AP132" s="860"/>
      <c r="AQ132" s="798"/>
      <c r="AR132" s="838"/>
      <c r="AS132" s="838"/>
      <c r="AT132" s="723"/>
      <c r="AU132" s="465"/>
      <c r="AV132" s="508"/>
      <c r="AW132" s="386"/>
      <c r="AX132" s="386"/>
      <c r="AY132" s="386"/>
      <c r="AZ132" s="392"/>
      <c r="BA132" s="392"/>
      <c r="BB132" s="386"/>
      <c r="BC132" s="386"/>
      <c r="BD132" s="386"/>
      <c r="BE132" s="386"/>
      <c r="BF132" s="505"/>
      <c r="BG132" s="469"/>
    </row>
    <row r="133" spans="5:59" ht="100" customHeight="1" thickBot="1" x14ac:dyDescent="1.05">
      <c r="E133" s="469"/>
      <c r="F133" s="386"/>
      <c r="G133" s="386"/>
      <c r="H133" s="386"/>
      <c r="I133" s="386"/>
      <c r="J133" s="386"/>
      <c r="K133" s="386"/>
      <c r="L133" s="386"/>
      <c r="M133" s="386"/>
      <c r="N133" s="392"/>
      <c r="O133" s="392"/>
      <c r="P133" s="387"/>
      <c r="Q133" s="385"/>
      <c r="R133" s="386"/>
      <c r="S133" s="386"/>
      <c r="T133" s="386"/>
      <c r="U133" s="386"/>
      <c r="V133" s="386"/>
      <c r="W133" s="386"/>
      <c r="X133" s="386"/>
      <c r="Y133" s="386"/>
      <c r="Z133" s="386"/>
      <c r="AA133" s="386"/>
      <c r="AB133" s="505"/>
      <c r="AC133" s="465"/>
      <c r="AD133" s="720"/>
      <c r="AE133" s="720"/>
      <c r="AF133" s="720"/>
      <c r="AG133" s="720"/>
      <c r="AH133" s="721"/>
      <c r="AI133" s="798"/>
      <c r="AJ133" s="388"/>
      <c r="AK133" s="388"/>
      <c r="AL133" s="388"/>
      <c r="AM133" s="388"/>
      <c r="AN133" s="388"/>
      <c r="AO133" s="388"/>
      <c r="AP133" s="860"/>
      <c r="AQ133" s="798"/>
      <c r="AR133" s="723"/>
      <c r="AS133" s="723"/>
      <c r="AT133" s="723"/>
      <c r="AU133" s="469"/>
      <c r="AV133" s="386"/>
      <c r="AW133" s="386"/>
      <c r="AX133" s="386"/>
      <c r="AY133" s="386"/>
      <c r="AZ133" s="392"/>
      <c r="BA133" s="392"/>
      <c r="BB133" s="386"/>
      <c r="BC133" s="386"/>
      <c r="BD133" s="386"/>
      <c r="BE133" s="386"/>
      <c r="BF133" s="505"/>
      <c r="BG133" s="469"/>
    </row>
    <row r="134" spans="5:59" ht="10" customHeight="1" thickTop="1" thickBot="1" x14ac:dyDescent="1.05">
      <c r="E134" s="469"/>
      <c r="F134" s="386"/>
      <c r="G134" s="386"/>
      <c r="H134" s="386"/>
      <c r="I134" s="386"/>
      <c r="J134" s="386"/>
      <c r="K134" s="386"/>
      <c r="L134" s="386"/>
      <c r="M134" s="386"/>
      <c r="N134" s="392"/>
      <c r="O134" s="392"/>
      <c r="P134" s="387"/>
      <c r="Q134" s="386"/>
      <c r="R134" s="386"/>
      <c r="S134" s="386"/>
      <c r="T134" s="386"/>
      <c r="U134" s="386"/>
      <c r="V134" s="386"/>
      <c r="W134" s="386"/>
      <c r="X134" s="386"/>
      <c r="Y134" s="386"/>
      <c r="Z134" s="386"/>
      <c r="AA134" s="386"/>
      <c r="AB134" s="505"/>
      <c r="AC134" s="465"/>
      <c r="AD134" s="861"/>
      <c r="AE134" s="861"/>
      <c r="AF134" s="861"/>
      <c r="AG134" s="861"/>
      <c r="AH134" s="861"/>
      <c r="AI134" s="861"/>
      <c r="AJ134" s="952"/>
      <c r="AK134" s="388"/>
      <c r="AL134" s="388"/>
      <c r="AM134" s="388"/>
      <c r="AN134" s="388"/>
      <c r="AO134" s="388"/>
      <c r="AP134" s="948"/>
      <c r="AQ134" s="861"/>
      <c r="AR134" s="861"/>
      <c r="AS134" s="861"/>
      <c r="AT134" s="861"/>
      <c r="AU134" s="469"/>
      <c r="AV134" s="386"/>
      <c r="AW134" s="386"/>
      <c r="AX134" s="386"/>
      <c r="AY134" s="386"/>
      <c r="AZ134" s="392"/>
      <c r="BA134" s="392"/>
      <c r="BB134" s="386"/>
      <c r="BC134" s="386"/>
      <c r="BD134" s="386"/>
      <c r="BE134" s="386"/>
      <c r="BF134" s="386"/>
      <c r="BG134" s="919"/>
    </row>
    <row r="135" spans="5:59" ht="100" customHeight="1" thickTop="1" x14ac:dyDescent="1">
      <c r="E135" s="469"/>
      <c r="F135" s="2054" t="s">
        <v>133</v>
      </c>
      <c r="G135" s="2054"/>
      <c r="H135" s="2054"/>
      <c r="I135" s="2054"/>
      <c r="J135" s="2054"/>
      <c r="K135" s="2054"/>
      <c r="L135" s="2054"/>
      <c r="M135" s="2054"/>
      <c r="N135" s="2054"/>
      <c r="O135" s="2054"/>
      <c r="P135" s="2054"/>
      <c r="Q135" s="2054"/>
      <c r="R135" s="2054"/>
      <c r="S135" s="2054"/>
      <c r="T135" s="2054"/>
      <c r="U135" s="2054"/>
      <c r="V135" s="2054"/>
      <c r="W135" s="2054"/>
      <c r="X135" s="2054"/>
      <c r="Y135" s="2054"/>
      <c r="Z135" s="2054"/>
      <c r="AA135" s="2054"/>
      <c r="AB135" s="2055"/>
      <c r="AC135" s="775"/>
      <c r="AD135" s="2064" t="s">
        <v>168</v>
      </c>
      <c r="AE135" s="2064"/>
      <c r="AF135" s="2064"/>
      <c r="AG135" s="2064"/>
      <c r="AH135" s="2064"/>
      <c r="AI135" s="2065"/>
      <c r="AJ135" s="2104" t="s">
        <v>186</v>
      </c>
      <c r="AK135" s="2085"/>
      <c r="AL135" s="2085"/>
      <c r="AM135" s="2085"/>
      <c r="AN135" s="2085"/>
      <c r="AO135" s="2085"/>
      <c r="AP135" s="2085"/>
      <c r="AQ135" s="2064" t="s">
        <v>171</v>
      </c>
      <c r="AR135" s="2064"/>
      <c r="AS135" s="2064"/>
      <c r="AT135" s="2064"/>
      <c r="AU135" s="758"/>
      <c r="AV135" s="2054" t="s">
        <v>133</v>
      </c>
      <c r="AW135" s="2054"/>
      <c r="AX135" s="2054"/>
      <c r="AY135" s="2054"/>
      <c r="AZ135" s="2054"/>
      <c r="BA135" s="2054"/>
      <c r="BB135" s="2054"/>
      <c r="BC135" s="2054"/>
      <c r="BD135" s="2054"/>
      <c r="BE135" s="2054"/>
      <c r="BF135" s="2054"/>
      <c r="BG135" s="916"/>
    </row>
    <row r="136" spans="5:59" ht="100" customHeight="1" x14ac:dyDescent="1">
      <c r="E136" s="469"/>
      <c r="F136" s="2054"/>
      <c r="G136" s="2054"/>
      <c r="H136" s="2054"/>
      <c r="I136" s="2054"/>
      <c r="J136" s="2054"/>
      <c r="K136" s="2054"/>
      <c r="L136" s="2054"/>
      <c r="M136" s="2054"/>
      <c r="N136" s="2054"/>
      <c r="O136" s="2054"/>
      <c r="P136" s="2054"/>
      <c r="Q136" s="2054"/>
      <c r="R136" s="2054"/>
      <c r="S136" s="2054"/>
      <c r="T136" s="2054"/>
      <c r="U136" s="2054"/>
      <c r="V136" s="2054"/>
      <c r="W136" s="2054"/>
      <c r="X136" s="2054"/>
      <c r="Y136" s="2054"/>
      <c r="Z136" s="2054"/>
      <c r="AA136" s="2054"/>
      <c r="AB136" s="2055"/>
      <c r="AC136" s="775"/>
      <c r="AD136" s="1990"/>
      <c r="AE136" s="1990"/>
      <c r="AF136" s="1990"/>
      <c r="AG136" s="1990"/>
      <c r="AH136" s="1990"/>
      <c r="AI136" s="2084"/>
      <c r="AJ136" s="2092"/>
      <c r="AK136" s="2066"/>
      <c r="AL136" s="2066"/>
      <c r="AM136" s="2066"/>
      <c r="AN136" s="2066"/>
      <c r="AO136" s="2066"/>
      <c r="AP136" s="2066"/>
      <c r="AQ136" s="1990"/>
      <c r="AR136" s="1990"/>
      <c r="AS136" s="1990"/>
      <c r="AT136" s="1990"/>
      <c r="AU136" s="758"/>
      <c r="AV136" s="2054"/>
      <c r="AW136" s="2054"/>
      <c r="AX136" s="2054"/>
      <c r="AY136" s="2054"/>
      <c r="AZ136" s="2054"/>
      <c r="BA136" s="2054"/>
      <c r="BB136" s="2054"/>
      <c r="BC136" s="2054"/>
      <c r="BD136" s="2054"/>
      <c r="BE136" s="2054"/>
      <c r="BF136" s="2054"/>
      <c r="BG136" s="916"/>
    </row>
    <row r="137" spans="5:59" ht="10" customHeight="1" thickBot="1" x14ac:dyDescent="1.05">
      <c r="E137" s="469"/>
      <c r="F137" s="829"/>
      <c r="G137" s="829"/>
      <c r="H137" s="829"/>
      <c r="I137" s="829"/>
      <c r="J137" s="829"/>
      <c r="K137" s="829"/>
      <c r="L137" s="829"/>
      <c r="M137" s="829"/>
      <c r="N137" s="829"/>
      <c r="O137" s="829"/>
      <c r="P137" s="829"/>
      <c r="Q137" s="829"/>
      <c r="R137" s="829"/>
      <c r="S137" s="829"/>
      <c r="T137" s="829"/>
      <c r="U137" s="829"/>
      <c r="V137" s="829"/>
      <c r="W137" s="829"/>
      <c r="X137" s="829"/>
      <c r="Y137" s="829"/>
      <c r="Z137" s="829"/>
      <c r="AA137" s="829"/>
      <c r="AB137" s="953"/>
      <c r="AC137" s="775"/>
      <c r="AD137" s="775"/>
      <c r="AE137" s="775"/>
      <c r="AF137" s="775"/>
      <c r="AG137" s="775"/>
      <c r="AH137" s="775"/>
      <c r="AI137" s="775"/>
      <c r="AJ137" s="775"/>
      <c r="AK137" s="775"/>
      <c r="AL137" s="775"/>
      <c r="AM137" s="775"/>
      <c r="AN137" s="775"/>
      <c r="AO137" s="775"/>
      <c r="AP137" s="954"/>
      <c r="AQ137" s="954"/>
      <c r="AR137" s="954"/>
      <c r="AS137" s="954"/>
      <c r="AT137" s="954"/>
      <c r="AU137" s="758"/>
      <c r="AV137" s="829"/>
      <c r="AW137" s="829"/>
      <c r="AX137" s="829"/>
      <c r="AY137" s="829"/>
      <c r="AZ137" s="829"/>
      <c r="BA137" s="829"/>
      <c r="BB137" s="829"/>
      <c r="BC137" s="829"/>
      <c r="BD137" s="829"/>
      <c r="BE137" s="829"/>
      <c r="BF137" s="829"/>
      <c r="BG137" s="916"/>
    </row>
    <row r="138" spans="5:59" ht="100" customHeight="1" thickTop="1" thickBot="1" x14ac:dyDescent="1.05">
      <c r="E138" s="469"/>
      <c r="F138" s="386"/>
      <c r="G138" s="386"/>
      <c r="H138" s="386"/>
      <c r="I138" s="386"/>
      <c r="J138" s="386"/>
      <c r="K138" s="386"/>
      <c r="L138" s="386"/>
      <c r="M138" s="386"/>
      <c r="N138" s="386"/>
      <c r="O138" s="386"/>
      <c r="P138" s="386"/>
      <c r="Q138" s="385"/>
      <c r="R138" s="386"/>
      <c r="S138" s="386"/>
      <c r="T138" s="386"/>
      <c r="U138" s="386"/>
      <c r="V138" s="386"/>
      <c r="W138" s="386"/>
      <c r="X138" s="386"/>
      <c r="Y138" s="386"/>
      <c r="Z138" s="386"/>
      <c r="AA138" s="386"/>
      <c r="AB138" s="505"/>
      <c r="AC138" s="465"/>
      <c r="AD138" s="504"/>
      <c r="AE138" s="716"/>
      <c r="AF138" s="909"/>
      <c r="AG138" s="716"/>
      <c r="AH138" s="955"/>
      <c r="AI138" s="716"/>
      <c r="AJ138" s="924"/>
      <c r="AK138" s="956"/>
      <c r="AL138" s="716"/>
      <c r="AM138" s="716"/>
      <c r="AN138" s="718"/>
      <c r="AO138" s="465"/>
      <c r="AP138" s="710"/>
      <c r="AQ138" s="710"/>
      <c r="AR138" s="710"/>
      <c r="AS138" s="710"/>
      <c r="AT138" s="710"/>
      <c r="AU138" s="469"/>
      <c r="AV138" s="386"/>
      <c r="AW138" s="386"/>
      <c r="AX138" s="386"/>
      <c r="AY138" s="386"/>
      <c r="AZ138" s="386"/>
      <c r="BA138" s="386"/>
      <c r="BB138" s="386"/>
      <c r="BC138" s="386"/>
      <c r="BD138" s="386"/>
      <c r="BE138" s="386"/>
      <c r="BF138" s="386"/>
      <c r="BG138" s="928"/>
    </row>
    <row r="139" spans="5:59" ht="100" customHeight="1" thickTop="1" x14ac:dyDescent="1">
      <c r="E139" s="465"/>
      <c r="F139" s="508"/>
      <c r="G139" s="386"/>
      <c r="H139" s="386"/>
      <c r="I139" s="386"/>
      <c r="J139" s="386"/>
      <c r="K139" s="386"/>
      <c r="L139" s="386"/>
      <c r="M139" s="386"/>
      <c r="N139" s="386"/>
      <c r="O139" s="386"/>
      <c r="P139" s="386"/>
      <c r="Q139" s="385"/>
      <c r="R139" s="386"/>
      <c r="S139" s="386"/>
      <c r="T139" s="386"/>
      <c r="U139" s="386"/>
      <c r="V139" s="386"/>
      <c r="W139" s="386"/>
      <c r="X139" s="386"/>
      <c r="Y139" s="386"/>
      <c r="Z139" s="386"/>
      <c r="AA139" s="386"/>
      <c r="AB139" s="505"/>
      <c r="AC139" s="465"/>
      <c r="AD139" s="2005" t="s">
        <v>132</v>
      </c>
      <c r="AE139" s="1867"/>
      <c r="AF139" s="1869"/>
      <c r="AG139" s="386"/>
      <c r="AH139" s="2105" t="s">
        <v>132</v>
      </c>
      <c r="AI139" s="1959"/>
      <c r="AJ139" s="2106"/>
      <c r="AK139" s="957"/>
      <c r="AL139" s="2095" t="s">
        <v>132</v>
      </c>
      <c r="AM139" s="1867"/>
      <c r="AN139" s="1983"/>
      <c r="AO139" s="465"/>
      <c r="AP139" s="797"/>
      <c r="AQ139" s="797"/>
      <c r="AR139" s="797"/>
      <c r="AS139" s="797"/>
      <c r="AT139" s="720"/>
      <c r="AU139" s="465"/>
      <c r="AV139" s="508"/>
      <c r="AW139" s="386"/>
      <c r="AX139" s="386"/>
      <c r="AY139" s="386"/>
      <c r="AZ139" s="386"/>
      <c r="BA139" s="386"/>
      <c r="BB139" s="386"/>
      <c r="BC139" s="386"/>
      <c r="BD139" s="386"/>
      <c r="BE139" s="386"/>
      <c r="BF139" s="505"/>
      <c r="BG139" s="469"/>
    </row>
    <row r="140" spans="5:59" ht="100" customHeight="1" x14ac:dyDescent="1">
      <c r="E140" s="465"/>
      <c r="F140" s="778"/>
      <c r="G140" s="579"/>
      <c r="H140" s="579"/>
      <c r="I140" s="579"/>
      <c r="J140" s="579"/>
      <c r="K140" s="579"/>
      <c r="L140" s="579"/>
      <c r="M140" s="579"/>
      <c r="N140" s="579"/>
      <c r="O140" s="579"/>
      <c r="P140" s="579"/>
      <c r="Q140" s="375"/>
      <c r="R140" s="579"/>
      <c r="S140" s="579"/>
      <c r="T140" s="579"/>
      <c r="U140" s="506"/>
      <c r="V140" s="579"/>
      <c r="W140" s="579"/>
      <c r="X140" s="579"/>
      <c r="Y140" s="506"/>
      <c r="Z140" s="1867"/>
      <c r="AA140" s="1867"/>
      <c r="AB140" s="1983"/>
      <c r="AC140" s="680"/>
      <c r="AD140" s="2005" t="s">
        <v>153</v>
      </c>
      <c r="AE140" s="1867"/>
      <c r="AF140" s="1869"/>
      <c r="AG140" s="506"/>
      <c r="AH140" s="1866" t="s">
        <v>153</v>
      </c>
      <c r="AI140" s="1867"/>
      <c r="AJ140" s="1874"/>
      <c r="AK140" s="958"/>
      <c r="AL140" s="1867" t="s">
        <v>153</v>
      </c>
      <c r="AM140" s="1867"/>
      <c r="AN140" s="1983"/>
      <c r="AO140" s="680"/>
      <c r="AP140" s="797"/>
      <c r="AQ140" s="797"/>
      <c r="AR140" s="801" t="s">
        <v>138</v>
      </c>
      <c r="AS140" s="801"/>
      <c r="AT140" s="720"/>
      <c r="AU140" s="465"/>
      <c r="AV140" s="508"/>
      <c r="AW140" s="386"/>
      <c r="AX140" s="579"/>
      <c r="AY140" s="579"/>
      <c r="AZ140" s="579"/>
      <c r="BA140" s="579"/>
      <c r="BB140" s="579"/>
      <c r="BC140" s="579"/>
      <c r="BD140" s="579"/>
      <c r="BE140" s="579"/>
      <c r="BF140" s="505"/>
      <c r="BG140" s="469"/>
    </row>
    <row r="141" spans="5:59" ht="100" customHeight="1" x14ac:dyDescent="1">
      <c r="E141" s="465"/>
      <c r="F141" s="778"/>
      <c r="G141" s="579"/>
      <c r="H141" s="727" t="s">
        <v>197</v>
      </c>
      <c r="I141" s="727"/>
      <c r="J141" s="579"/>
      <c r="K141" s="579"/>
      <c r="L141" s="786"/>
      <c r="M141" s="786"/>
      <c r="N141" s="786"/>
      <c r="O141" s="786"/>
      <c r="P141" s="786"/>
      <c r="Q141" s="375"/>
      <c r="R141" s="1867"/>
      <c r="S141" s="1867"/>
      <c r="T141" s="1867"/>
      <c r="U141" s="506"/>
      <c r="V141" s="1867"/>
      <c r="W141" s="1867"/>
      <c r="X141" s="1867"/>
      <c r="Y141" s="506"/>
      <c r="Z141" s="1867"/>
      <c r="AA141" s="1867"/>
      <c r="AB141" s="1983"/>
      <c r="AC141" s="680"/>
      <c r="AD141" s="2005" t="s">
        <v>121</v>
      </c>
      <c r="AE141" s="1867"/>
      <c r="AF141" s="1869"/>
      <c r="AG141" s="506"/>
      <c r="AH141" s="2109" t="s">
        <v>20</v>
      </c>
      <c r="AI141" s="1922"/>
      <c r="AJ141" s="2110"/>
      <c r="AK141" s="958"/>
      <c r="AL141" s="1867" t="s">
        <v>121</v>
      </c>
      <c r="AM141" s="1867"/>
      <c r="AN141" s="1983"/>
      <c r="AO141" s="680"/>
      <c r="AP141" s="801"/>
      <c r="AQ141" s="801"/>
      <c r="AR141" s="918">
        <v>1350</v>
      </c>
      <c r="AS141" s="918"/>
      <c r="AT141" s="730"/>
      <c r="AU141" s="680"/>
      <c r="AV141" s="684"/>
      <c r="AW141" s="506"/>
      <c r="AX141" s="727" t="s">
        <v>196</v>
      </c>
      <c r="AY141" s="727"/>
      <c r="AZ141" s="786"/>
      <c r="BA141" s="786"/>
      <c r="BB141" s="786"/>
      <c r="BC141" s="786"/>
      <c r="BD141" s="786"/>
      <c r="BE141" s="786"/>
      <c r="BF141" s="686"/>
      <c r="BG141" s="469"/>
    </row>
    <row r="142" spans="5:59" ht="100" customHeight="1" x14ac:dyDescent="1">
      <c r="E142" s="465"/>
      <c r="F142" s="778"/>
      <c r="G142" s="579"/>
      <c r="H142" s="648">
        <f>2700+2700+2700+2700</f>
        <v>10800</v>
      </c>
      <c r="I142" s="648"/>
      <c r="J142" s="1972"/>
      <c r="K142" s="1972"/>
      <c r="L142" s="1867"/>
      <c r="M142" s="506"/>
      <c r="N142" s="1867"/>
      <c r="O142" s="1867"/>
      <c r="P142" s="1867"/>
      <c r="Q142" s="375"/>
      <c r="R142" s="1867"/>
      <c r="S142" s="1867"/>
      <c r="T142" s="1867"/>
      <c r="U142" s="506"/>
      <c r="V142" s="1972"/>
      <c r="W142" s="1972"/>
      <c r="X142" s="1867"/>
      <c r="Y142" s="506"/>
      <c r="Z142" s="1867"/>
      <c r="AA142" s="1867"/>
      <c r="AB142" s="1983"/>
      <c r="AC142" s="680"/>
      <c r="AD142" s="2005">
        <v>300</v>
      </c>
      <c r="AE142" s="1867"/>
      <c r="AF142" s="1869"/>
      <c r="AG142" s="506"/>
      <c r="AH142" s="2118">
        <v>1100</v>
      </c>
      <c r="AI142" s="2119"/>
      <c r="AJ142" s="2106"/>
      <c r="AK142" s="958"/>
      <c r="AL142" s="1867">
        <v>800</v>
      </c>
      <c r="AM142" s="1867"/>
      <c r="AN142" s="1983"/>
      <c r="AO142" s="680"/>
      <c r="AP142" s="801"/>
      <c r="AQ142" s="801"/>
      <c r="AR142" s="918"/>
      <c r="AS142" s="918"/>
      <c r="AT142" s="737"/>
      <c r="AU142" s="784"/>
      <c r="AV142" s="934"/>
      <c r="AW142" s="648"/>
      <c r="AX142" s="648">
        <f>2700+2700</f>
        <v>5400</v>
      </c>
      <c r="AY142" s="648"/>
      <c r="AZ142" s="786"/>
      <c r="BA142" s="786"/>
      <c r="BB142" s="786"/>
      <c r="BC142" s="786"/>
      <c r="BD142" s="786"/>
      <c r="BE142" s="786"/>
      <c r="BF142" s="686"/>
      <c r="BG142" s="469"/>
    </row>
    <row r="143" spans="5:59" ht="100" customHeight="1" thickBot="1" x14ac:dyDescent="1.05">
      <c r="E143" s="465"/>
      <c r="F143" s="508"/>
      <c r="G143" s="386"/>
      <c r="H143" s="386"/>
      <c r="I143" s="386"/>
      <c r="J143" s="386"/>
      <c r="K143" s="386"/>
      <c r="L143" s="386"/>
      <c r="M143" s="386"/>
      <c r="N143" s="386"/>
      <c r="O143" s="386"/>
      <c r="P143" s="386"/>
      <c r="Q143" s="385"/>
      <c r="R143" s="386"/>
      <c r="S143" s="386"/>
      <c r="T143" s="386"/>
      <c r="U143" s="386"/>
      <c r="V143" s="386"/>
      <c r="W143" s="386"/>
      <c r="X143" s="386"/>
      <c r="Y143" s="386"/>
      <c r="Z143" s="386"/>
      <c r="AA143" s="386"/>
      <c r="AB143" s="505"/>
      <c r="AC143" s="465"/>
      <c r="AD143" s="508"/>
      <c r="AE143" s="386"/>
      <c r="AF143" s="390"/>
      <c r="AG143" s="539"/>
      <c r="AH143" s="386"/>
      <c r="AI143" s="386"/>
      <c r="AJ143" s="541"/>
      <c r="AK143" s="957"/>
      <c r="AL143" s="386"/>
      <c r="AM143" s="386"/>
      <c r="AN143" s="505"/>
      <c r="AO143" s="465"/>
      <c r="AP143" s="797"/>
      <c r="AQ143" s="797"/>
      <c r="AR143" s="797"/>
      <c r="AS143" s="797"/>
      <c r="AT143" s="720"/>
      <c r="AU143" s="465"/>
      <c r="AV143" s="508"/>
      <c r="AW143" s="386"/>
      <c r="AX143" s="386"/>
      <c r="AY143" s="386"/>
      <c r="AZ143" s="386"/>
      <c r="BA143" s="386"/>
      <c r="BB143" s="386"/>
      <c r="BC143" s="386"/>
      <c r="BD143" s="386"/>
      <c r="BE143" s="386"/>
      <c r="BF143" s="505"/>
      <c r="BG143" s="788"/>
    </row>
    <row r="144" spans="5:59" ht="100" customHeight="1" thickTop="1" thickBot="1" x14ac:dyDescent="1.05">
      <c r="E144" s="465"/>
      <c r="F144" s="743"/>
      <c r="G144" s="500"/>
      <c r="H144" s="500"/>
      <c r="I144" s="500"/>
      <c r="J144" s="500"/>
      <c r="K144" s="500"/>
      <c r="L144" s="500"/>
      <c r="M144" s="500"/>
      <c r="N144" s="500"/>
      <c r="O144" s="500"/>
      <c r="P144" s="500"/>
      <c r="Q144" s="959"/>
      <c r="R144" s="500"/>
      <c r="S144" s="500"/>
      <c r="T144" s="500"/>
      <c r="U144" s="500"/>
      <c r="V144" s="500"/>
      <c r="W144" s="500"/>
      <c r="X144" s="500"/>
      <c r="Y144" s="500"/>
      <c r="Z144" s="500"/>
      <c r="AA144" s="500"/>
      <c r="AB144" s="509"/>
      <c r="AC144" s="467"/>
      <c r="AD144" s="743"/>
      <c r="AE144" s="500"/>
      <c r="AF144" s="497"/>
      <c r="AG144" s="500"/>
      <c r="AH144" s="960"/>
      <c r="AI144" s="500"/>
      <c r="AJ144" s="937"/>
      <c r="AK144" s="940"/>
      <c r="AL144" s="500"/>
      <c r="AM144" s="500"/>
      <c r="AN144" s="509"/>
      <c r="AO144" s="465"/>
      <c r="AP144" s="797"/>
      <c r="AQ144" s="797"/>
      <c r="AR144" s="797"/>
      <c r="AS144" s="797"/>
      <c r="AT144" s="720"/>
      <c r="AU144" s="465"/>
      <c r="AV144" s="508"/>
      <c r="AW144" s="386"/>
      <c r="AX144" s="386"/>
      <c r="AY144" s="386"/>
      <c r="AZ144" s="386"/>
      <c r="BA144" s="386"/>
      <c r="BB144" s="386"/>
      <c r="BC144" s="386"/>
      <c r="BD144" s="386"/>
      <c r="BE144" s="386"/>
      <c r="BF144" s="505"/>
      <c r="BG144" s="919"/>
    </row>
    <row r="145" spans="3:60" ht="10" customHeight="1" thickTop="1" thickBot="1" x14ac:dyDescent="1.05">
      <c r="E145" s="471"/>
      <c r="F145" s="477"/>
      <c r="G145" s="476"/>
      <c r="H145" s="476"/>
      <c r="I145" s="476"/>
      <c r="J145" s="476"/>
      <c r="K145" s="476"/>
      <c r="L145" s="476"/>
      <c r="M145" s="476"/>
      <c r="N145" s="944"/>
      <c r="O145" s="476"/>
      <c r="P145" s="476"/>
      <c r="Q145" s="476"/>
      <c r="R145" s="476"/>
      <c r="S145" s="476"/>
      <c r="T145" s="476"/>
      <c r="U145" s="476"/>
      <c r="V145" s="476"/>
      <c r="W145" s="476"/>
      <c r="X145" s="476"/>
      <c r="Y145" s="477"/>
      <c r="Z145" s="476"/>
      <c r="AA145" s="476"/>
      <c r="AB145" s="476"/>
      <c r="AC145" s="476"/>
      <c r="AD145" s="477"/>
      <c r="AE145" s="476"/>
      <c r="AF145" s="476"/>
      <c r="AG145" s="476"/>
      <c r="AH145" s="476"/>
      <c r="AI145" s="944"/>
      <c r="AJ145" s="476"/>
      <c r="AK145" s="476"/>
      <c r="AL145" s="476"/>
      <c r="AM145" s="476"/>
      <c r="AN145" s="478"/>
      <c r="AO145" s="742"/>
      <c r="AP145" s="753"/>
      <c r="AQ145" s="754"/>
      <c r="AR145" s="754"/>
      <c r="AS145" s="754"/>
      <c r="AT145" s="755"/>
      <c r="AU145" s="476"/>
      <c r="AV145" s="476"/>
      <c r="AW145" s="476"/>
      <c r="AX145" s="701"/>
      <c r="AY145" s="701"/>
      <c r="AZ145" s="701"/>
      <c r="BA145" s="476"/>
      <c r="BB145" s="476"/>
      <c r="BC145" s="476"/>
      <c r="BD145" s="476"/>
      <c r="BE145" s="476"/>
      <c r="BF145" s="478"/>
      <c r="BG145" s="928"/>
    </row>
    <row r="146" spans="3:60" ht="25" customHeight="1" thickTop="1" x14ac:dyDescent="1"/>
    <row r="147" spans="3:60" ht="54" customHeight="1" x14ac:dyDescent="1"/>
    <row r="148" spans="3:60" ht="344" customHeight="1" x14ac:dyDescent="1"/>
    <row r="149" spans="3:60" s="1454" customFormat="1" ht="190" customHeight="1" x14ac:dyDescent="1.2">
      <c r="C149" s="1453"/>
      <c r="F149" s="1434" t="s">
        <v>148</v>
      </c>
      <c r="G149" s="1434"/>
      <c r="H149" s="1455"/>
      <c r="I149" s="1455"/>
      <c r="J149" s="1455"/>
      <c r="K149" s="1455"/>
      <c r="L149" s="1455"/>
      <c r="M149" s="1455"/>
      <c r="N149" s="1455"/>
      <c r="O149" s="1455"/>
      <c r="P149" s="1455"/>
      <c r="Q149" s="1455"/>
      <c r="R149" s="1455"/>
      <c r="S149" s="1455"/>
      <c r="T149" s="1455"/>
      <c r="U149" s="1455"/>
      <c r="V149" s="1455"/>
      <c r="W149" s="1455"/>
      <c r="X149" s="1455"/>
      <c r="Y149" s="1455"/>
      <c r="Z149" s="1455"/>
      <c r="AA149" s="1455"/>
      <c r="AB149" s="1455"/>
      <c r="AC149" s="1455"/>
      <c r="AD149" s="1455"/>
      <c r="AE149" s="1455"/>
      <c r="AF149" s="1455"/>
      <c r="AG149" s="1455"/>
      <c r="AH149" s="1455"/>
      <c r="AI149" s="1455"/>
      <c r="AJ149" s="1455"/>
      <c r="AK149" s="1455"/>
      <c r="AL149" s="1455"/>
      <c r="AM149" s="1455"/>
      <c r="AN149" s="1455"/>
      <c r="AO149" s="1455"/>
      <c r="AP149" s="1455"/>
      <c r="AQ149" s="1455"/>
      <c r="AR149" s="1455"/>
      <c r="AS149" s="1455"/>
      <c r="AT149" s="1455"/>
      <c r="AU149" s="1455"/>
      <c r="AV149" s="1455"/>
      <c r="AW149" s="1455"/>
      <c r="AX149" s="1455"/>
      <c r="AY149" s="1455"/>
      <c r="AZ149" s="1455"/>
      <c r="BA149" s="1455"/>
      <c r="BB149" s="1455"/>
      <c r="BC149" s="1455"/>
      <c r="BD149" s="1455"/>
      <c r="BE149" s="1455"/>
      <c r="BF149" s="1435"/>
      <c r="BG149" s="1435"/>
      <c r="BH149" s="1435"/>
    </row>
    <row r="150" spans="3:60" s="1426" customFormat="1" ht="25" customHeight="1" x14ac:dyDescent="1.2">
      <c r="C150" s="1431"/>
      <c r="F150" s="1436"/>
      <c r="G150" s="1436"/>
    </row>
    <row r="151" spans="3:60" s="1426" customFormat="1" ht="100" customHeight="1" x14ac:dyDescent="1.2">
      <c r="C151" s="1431"/>
      <c r="F151" s="1436" t="s">
        <v>140</v>
      </c>
      <c r="G151" s="1436"/>
      <c r="N151" s="2121"/>
      <c r="O151" s="2121"/>
      <c r="P151" s="2121"/>
      <c r="Q151" s="1425"/>
      <c r="R151" s="1456"/>
      <c r="S151" s="1456"/>
      <c r="T151" s="1456"/>
      <c r="U151" s="1456"/>
      <c r="V151" s="1456"/>
      <c r="W151" s="1456"/>
      <c r="X151" s="1456"/>
      <c r="Y151" s="1456"/>
      <c r="Z151" s="1454"/>
      <c r="AA151" s="1454"/>
      <c r="AB151" s="1454"/>
      <c r="AC151" s="1454"/>
    </row>
    <row r="152" spans="3:60" s="1426" customFormat="1" ht="100" customHeight="1" x14ac:dyDescent="1.2">
      <c r="C152" s="1431"/>
      <c r="F152" s="1426" t="s">
        <v>141</v>
      </c>
      <c r="J152" s="1440"/>
      <c r="K152" s="1440"/>
      <c r="P152" s="1427" t="s">
        <v>134</v>
      </c>
      <c r="Q152" s="1440">
        <v>20000</v>
      </c>
      <c r="R152" s="1440">
        <v>20000</v>
      </c>
      <c r="S152" s="1426" t="s">
        <v>33</v>
      </c>
      <c r="T152" s="1456"/>
      <c r="U152" s="1456"/>
      <c r="V152" s="1456"/>
      <c r="W152" s="1456"/>
      <c r="X152" s="1456"/>
      <c r="Y152" s="1456"/>
    </row>
    <row r="153" spans="3:60" ht="25" customHeight="1" thickBot="1" x14ac:dyDescent="1.05">
      <c r="E153" s="562"/>
      <c r="F153" s="562"/>
      <c r="G153" s="562"/>
      <c r="H153" s="562"/>
      <c r="I153" s="562"/>
      <c r="J153" s="562"/>
      <c r="K153" s="562"/>
      <c r="L153" s="562"/>
      <c r="M153" s="562"/>
      <c r="N153" s="562"/>
      <c r="O153" s="562"/>
      <c r="P153" s="562"/>
      <c r="Q153" s="562"/>
      <c r="R153" s="562"/>
      <c r="S153" s="562"/>
      <c r="T153" s="562"/>
      <c r="U153" s="408"/>
      <c r="AJ153" s="793"/>
      <c r="AK153" s="793"/>
      <c r="AL153" s="793"/>
      <c r="AM153" s="793"/>
      <c r="AN153" s="793"/>
      <c r="AO153" s="793"/>
      <c r="AP153" s="793"/>
      <c r="AQ153" s="562"/>
    </row>
    <row r="154" spans="3:60" ht="10" customHeight="1" thickTop="1" thickBot="1" x14ac:dyDescent="1.05">
      <c r="D154" s="794"/>
      <c r="E154" s="514"/>
      <c r="F154" s="575"/>
      <c r="G154" s="513"/>
      <c r="H154" s="513"/>
      <c r="I154" s="513"/>
      <c r="J154" s="513"/>
      <c r="K154" s="513"/>
      <c r="L154" s="561"/>
      <c r="M154" s="561"/>
      <c r="N154" s="561"/>
      <c r="O154" s="561"/>
      <c r="P154" s="561"/>
      <c r="Q154" s="561"/>
      <c r="R154" s="575"/>
      <c r="S154" s="561"/>
      <c r="T154" s="576"/>
      <c r="U154" s="962"/>
      <c r="V154" s="963"/>
      <c r="W154" s="963"/>
      <c r="X154" s="963"/>
      <c r="Y154" s="963"/>
      <c r="Z154" s="963"/>
      <c r="AA154" s="963"/>
      <c r="AB154" s="963"/>
      <c r="AC154" s="963"/>
      <c r="AD154" s="963"/>
      <c r="AE154" s="964"/>
      <c r="AF154" s="963"/>
      <c r="AG154" s="964"/>
      <c r="AH154" s="965"/>
      <c r="AI154" s="966"/>
      <c r="AJ154" s="388"/>
      <c r="AK154" s="388"/>
      <c r="AL154" s="388"/>
      <c r="AM154" s="388"/>
      <c r="AN154" s="388"/>
      <c r="AO154" s="388"/>
      <c r="AP154" s="796"/>
      <c r="AQ154" s="514"/>
      <c r="AR154" s="575"/>
      <c r="AS154" s="561"/>
      <c r="AT154" s="561"/>
      <c r="AU154" s="561"/>
      <c r="AV154" s="561"/>
      <c r="AW154" s="561"/>
      <c r="AX154" s="561"/>
      <c r="AY154" s="561"/>
      <c r="AZ154" s="561"/>
      <c r="BA154" s="561"/>
      <c r="BB154" s="561"/>
      <c r="BC154" s="561"/>
      <c r="BD154" s="561"/>
      <c r="BE154" s="561"/>
      <c r="BF154" s="576"/>
      <c r="BG154" s="512"/>
    </row>
    <row r="155" spans="3:60" ht="100" customHeight="1" thickTop="1" x14ac:dyDescent="1">
      <c r="D155" s="794"/>
      <c r="E155" s="514"/>
      <c r="F155" s="538"/>
      <c r="G155" s="525"/>
      <c r="H155" s="526"/>
      <c r="I155" s="967"/>
      <c r="J155" s="528"/>
      <c r="K155" s="968"/>
      <c r="L155" s="386"/>
      <c r="M155" s="386"/>
      <c r="N155" s="392"/>
      <c r="O155" s="392"/>
      <c r="P155" s="386"/>
      <c r="Q155" s="969"/>
      <c r="R155" s="390"/>
      <c r="S155" s="525"/>
      <c r="T155" s="546"/>
      <c r="U155" s="970"/>
      <c r="V155" s="971"/>
      <c r="W155" s="863"/>
      <c r="X155" s="972"/>
      <c r="Y155" s="971"/>
      <c r="Z155" s="973"/>
      <c r="AA155" s="974"/>
      <c r="AB155" s="975"/>
      <c r="AC155" s="971"/>
      <c r="AD155" s="976"/>
      <c r="AE155" s="977"/>
      <c r="AF155" s="973"/>
      <c r="AG155" s="976"/>
      <c r="AH155" s="978"/>
      <c r="AI155" s="704"/>
      <c r="AJ155" s="388"/>
      <c r="AK155" s="388"/>
      <c r="AL155" s="388"/>
      <c r="AM155" s="388"/>
      <c r="AN155" s="392"/>
      <c r="AO155" s="799"/>
      <c r="AP155" s="796"/>
      <c r="AQ155" s="547"/>
      <c r="AR155" s="568"/>
      <c r="AS155" s="386"/>
      <c r="AT155" s="386"/>
      <c r="AU155" s="386"/>
      <c r="AV155" s="386"/>
      <c r="AW155" s="386"/>
      <c r="AX155" s="386"/>
      <c r="AY155" s="386"/>
      <c r="AZ155" s="392"/>
      <c r="BA155" s="392"/>
      <c r="BB155" s="386"/>
      <c r="BC155" s="386"/>
      <c r="BD155" s="386"/>
      <c r="BE155" s="386"/>
      <c r="BF155" s="546"/>
      <c r="BG155" s="514"/>
    </row>
    <row r="156" spans="3:60" ht="100" customHeight="1" x14ac:dyDescent="1">
      <c r="D156" s="794"/>
      <c r="E156" s="514"/>
      <c r="F156" s="532" t="s">
        <v>152</v>
      </c>
      <c r="G156" s="492"/>
      <c r="H156" s="615" t="s">
        <v>152</v>
      </c>
      <c r="I156" s="507"/>
      <c r="J156" s="491" t="s">
        <v>152</v>
      </c>
      <c r="K156" s="492"/>
      <c r="L156" s="506" t="s">
        <v>152</v>
      </c>
      <c r="M156" s="506"/>
      <c r="N156" s="392"/>
      <c r="O156" s="392"/>
      <c r="P156" s="587" t="s">
        <v>152</v>
      </c>
      <c r="Q156" s="507"/>
      <c r="R156" s="491" t="s">
        <v>152</v>
      </c>
      <c r="S156" s="492"/>
      <c r="T156" s="1077" t="s">
        <v>152</v>
      </c>
      <c r="U156" s="979"/>
      <c r="V156" s="980" t="s">
        <v>152</v>
      </c>
      <c r="W156" s="730"/>
      <c r="X156" s="981" t="s">
        <v>152</v>
      </c>
      <c r="Y156" s="980"/>
      <c r="Z156" s="982" t="s">
        <v>152</v>
      </c>
      <c r="AA156" s="983"/>
      <c r="AB156" s="981" t="s">
        <v>152</v>
      </c>
      <c r="AC156" s="980"/>
      <c r="AD156" s="984" t="s">
        <v>152</v>
      </c>
      <c r="AE156" s="980"/>
      <c r="AF156" s="982" t="s">
        <v>152</v>
      </c>
      <c r="AG156" s="985"/>
      <c r="AH156" s="731" t="s">
        <v>152</v>
      </c>
      <c r="AI156" s="725"/>
      <c r="AJ156" s="388"/>
      <c r="AK156" s="388"/>
      <c r="AL156" s="388"/>
      <c r="AM156" s="388"/>
      <c r="AN156" s="392"/>
      <c r="AO156" s="799"/>
      <c r="AP156" s="796"/>
      <c r="AQ156" s="547"/>
      <c r="AR156" s="568"/>
      <c r="AS156" s="386"/>
      <c r="AT156" s="386"/>
      <c r="AU156" s="386"/>
      <c r="AV156" s="386"/>
      <c r="AW156" s="386"/>
      <c r="AX156" s="386"/>
      <c r="AY156" s="386"/>
      <c r="AZ156" s="392"/>
      <c r="BA156" s="392"/>
      <c r="BB156" s="386"/>
      <c r="BC156" s="386"/>
      <c r="BD156" s="386"/>
      <c r="BE156" s="386"/>
      <c r="BF156" s="546"/>
      <c r="BG156" s="514"/>
    </row>
    <row r="157" spans="3:60" ht="100" customHeight="1" x14ac:dyDescent="1">
      <c r="D157" s="794"/>
      <c r="E157" s="514"/>
      <c r="F157" s="532" t="s">
        <v>153</v>
      </c>
      <c r="G157" s="492"/>
      <c r="H157" s="615" t="s">
        <v>154</v>
      </c>
      <c r="I157" s="507"/>
      <c r="J157" s="491" t="s">
        <v>154</v>
      </c>
      <c r="K157" s="492"/>
      <c r="L157" s="506" t="s">
        <v>154</v>
      </c>
      <c r="M157" s="506"/>
      <c r="N157" s="732"/>
      <c r="O157" s="732"/>
      <c r="P157" s="587" t="s">
        <v>154</v>
      </c>
      <c r="Q157" s="507"/>
      <c r="R157" s="491" t="s">
        <v>154</v>
      </c>
      <c r="S157" s="492"/>
      <c r="T157" s="1077" t="s">
        <v>154</v>
      </c>
      <c r="U157" s="979"/>
      <c r="V157" s="980" t="s">
        <v>153</v>
      </c>
      <c r="W157" s="730"/>
      <c r="X157" s="981" t="s">
        <v>154</v>
      </c>
      <c r="Y157" s="980"/>
      <c r="Z157" s="982" t="s">
        <v>154</v>
      </c>
      <c r="AA157" s="983"/>
      <c r="AB157" s="981" t="s">
        <v>154</v>
      </c>
      <c r="AC157" s="980"/>
      <c r="AD157" s="984" t="s">
        <v>154</v>
      </c>
      <c r="AE157" s="980"/>
      <c r="AF157" s="982" t="s">
        <v>154</v>
      </c>
      <c r="AG157" s="985"/>
      <c r="AH157" s="731" t="s">
        <v>154</v>
      </c>
      <c r="AI157" s="725"/>
      <c r="AJ157" s="869"/>
      <c r="AK157" s="869"/>
      <c r="AL157" s="869"/>
      <c r="AM157" s="869"/>
      <c r="AN157" s="732"/>
      <c r="AO157" s="803"/>
      <c r="AP157" s="804"/>
      <c r="AQ157" s="805"/>
      <c r="AR157" s="688"/>
      <c r="AS157" s="506"/>
      <c r="AT157" s="506"/>
      <c r="AU157" s="506"/>
      <c r="AV157" s="506"/>
      <c r="AW157" s="506"/>
      <c r="AX157" s="506"/>
      <c r="AY157" s="506"/>
      <c r="AZ157" s="732"/>
      <c r="BA157" s="732"/>
      <c r="BB157" s="506"/>
      <c r="BC157" s="506"/>
      <c r="BD157" s="506"/>
      <c r="BE157" s="506"/>
      <c r="BF157" s="546"/>
      <c r="BG157" s="514"/>
    </row>
    <row r="158" spans="3:60" ht="100" customHeight="1" x14ac:dyDescent="1">
      <c r="D158" s="794"/>
      <c r="E158" s="514"/>
      <c r="F158" s="532" t="s">
        <v>121</v>
      </c>
      <c r="G158" s="492"/>
      <c r="H158" s="615" t="s">
        <v>125</v>
      </c>
      <c r="I158" s="507"/>
      <c r="J158" s="491" t="s">
        <v>121</v>
      </c>
      <c r="K158" s="492"/>
      <c r="L158" s="506" t="s">
        <v>20</v>
      </c>
      <c r="M158" s="506"/>
      <c r="N158" s="728" t="s">
        <v>175</v>
      </c>
      <c r="O158" s="728"/>
      <c r="P158" s="506" t="s">
        <v>20</v>
      </c>
      <c r="Q158" s="645"/>
      <c r="R158" s="491" t="s">
        <v>121</v>
      </c>
      <c r="S158" s="492"/>
      <c r="T158" s="1077" t="s">
        <v>121</v>
      </c>
      <c r="U158" s="979"/>
      <c r="V158" s="980" t="s">
        <v>121</v>
      </c>
      <c r="W158" s="985"/>
      <c r="X158" s="986" t="s">
        <v>125</v>
      </c>
      <c r="Y158" s="980"/>
      <c r="Z158" s="982" t="s">
        <v>121</v>
      </c>
      <c r="AA158" s="985"/>
      <c r="AB158" s="986" t="s">
        <v>20</v>
      </c>
      <c r="AC158" s="980"/>
      <c r="AD158" s="984" t="s">
        <v>20</v>
      </c>
      <c r="AE158" s="980"/>
      <c r="AF158" s="982" t="s">
        <v>121</v>
      </c>
      <c r="AG158" s="985"/>
      <c r="AH158" s="731" t="s">
        <v>121</v>
      </c>
      <c r="AI158" s="725"/>
      <c r="AJ158" s="2073" t="s">
        <v>124</v>
      </c>
      <c r="AK158" s="2107"/>
      <c r="AL158" s="2107"/>
      <c r="AM158" s="2107"/>
      <c r="AN158" s="2107"/>
      <c r="AO158" s="803"/>
      <c r="AP158" s="804" t="s">
        <v>178</v>
      </c>
      <c r="AQ158" s="805"/>
      <c r="AR158" s="688"/>
      <c r="AS158" s="506"/>
      <c r="AT158" s="506"/>
      <c r="AU158" s="506"/>
      <c r="AV158" s="506"/>
      <c r="AW158" s="506"/>
      <c r="AX158" s="506"/>
      <c r="AY158" s="506"/>
      <c r="AZ158" s="728" t="s">
        <v>175</v>
      </c>
      <c r="BA158" s="728"/>
      <c r="BB158" s="648"/>
      <c r="BC158" s="648"/>
      <c r="BD158" s="506"/>
      <c r="BE158" s="506"/>
      <c r="BF158" s="1077"/>
      <c r="BG158" s="514"/>
    </row>
    <row r="159" spans="3:60" ht="100" customHeight="1" x14ac:dyDescent="1">
      <c r="D159" s="794"/>
      <c r="E159" s="514"/>
      <c r="F159" s="532">
        <v>300</v>
      </c>
      <c r="G159" s="492"/>
      <c r="H159" s="615">
        <v>500</v>
      </c>
      <c r="I159" s="507"/>
      <c r="J159" s="491">
        <v>300</v>
      </c>
      <c r="K159" s="492"/>
      <c r="L159" s="506">
        <v>450</v>
      </c>
      <c r="M159" s="506"/>
      <c r="N159" s="728" t="s">
        <v>127</v>
      </c>
      <c r="O159" s="728"/>
      <c r="P159" s="506">
        <v>450</v>
      </c>
      <c r="Q159" s="645"/>
      <c r="R159" s="491">
        <v>300</v>
      </c>
      <c r="S159" s="492"/>
      <c r="T159" s="1077">
        <v>300</v>
      </c>
      <c r="U159" s="979"/>
      <c r="V159" s="980">
        <v>300</v>
      </c>
      <c r="W159" s="985"/>
      <c r="X159" s="986">
        <v>500</v>
      </c>
      <c r="Y159" s="980"/>
      <c r="Z159" s="982">
        <v>300</v>
      </c>
      <c r="AA159" s="985"/>
      <c r="AB159" s="986">
        <v>450</v>
      </c>
      <c r="AC159" s="980"/>
      <c r="AD159" s="984">
        <v>450</v>
      </c>
      <c r="AE159" s="980"/>
      <c r="AF159" s="982">
        <v>300</v>
      </c>
      <c r="AG159" s="985"/>
      <c r="AH159" s="731">
        <v>300</v>
      </c>
      <c r="AI159" s="725"/>
      <c r="AJ159" s="388"/>
      <c r="AK159" s="388"/>
      <c r="AL159" s="388"/>
      <c r="AM159" s="388"/>
      <c r="AN159" s="388"/>
      <c r="AO159" s="388"/>
      <c r="AP159" s="987" t="s">
        <v>127</v>
      </c>
      <c r="AQ159" s="805"/>
      <c r="AR159" s="568"/>
      <c r="AS159" s="386"/>
      <c r="AT159" s="386"/>
      <c r="AU159" s="386"/>
      <c r="AV159" s="386"/>
      <c r="AW159" s="386"/>
      <c r="AX159" s="386"/>
      <c r="AY159" s="386"/>
      <c r="AZ159" s="728" t="s">
        <v>127</v>
      </c>
      <c r="BA159" s="728"/>
      <c r="BB159" s="386"/>
      <c r="BC159" s="386"/>
      <c r="BD159" s="386"/>
      <c r="BE159" s="386"/>
      <c r="BF159" s="546"/>
      <c r="BG159" s="514"/>
    </row>
    <row r="160" spans="3:60" ht="100" customHeight="1" thickBot="1" x14ac:dyDescent="1.05">
      <c r="D160" s="794"/>
      <c r="E160" s="514"/>
      <c r="F160" s="538"/>
      <c r="G160" s="539"/>
      <c r="H160" s="541"/>
      <c r="I160" s="390"/>
      <c r="J160" s="483"/>
      <c r="K160" s="386"/>
      <c r="L160" s="386"/>
      <c r="M160" s="386"/>
      <c r="N160" s="392"/>
      <c r="O160" s="392"/>
      <c r="P160" s="386"/>
      <c r="Q160" s="486"/>
      <c r="R160" s="483"/>
      <c r="S160" s="539"/>
      <c r="T160" s="546"/>
      <c r="U160" s="970"/>
      <c r="V160" s="988"/>
      <c r="W160" s="989"/>
      <c r="X160" s="990"/>
      <c r="Y160" s="988"/>
      <c r="Z160" s="991"/>
      <c r="AA160" s="992"/>
      <c r="AB160" s="993"/>
      <c r="AC160" s="988"/>
      <c r="AD160" s="994"/>
      <c r="AE160" s="988"/>
      <c r="AF160" s="991"/>
      <c r="AG160" s="989"/>
      <c r="AH160" s="721"/>
      <c r="AI160" s="704"/>
      <c r="AJ160" s="388"/>
      <c r="AK160" s="388"/>
      <c r="AL160" s="388"/>
      <c r="AM160" s="388"/>
      <c r="AN160" s="388"/>
      <c r="AO160" s="388"/>
      <c r="AP160" s="995"/>
      <c r="AQ160" s="547"/>
      <c r="AR160" s="568"/>
      <c r="AS160" s="386"/>
      <c r="AT160" s="386"/>
      <c r="AU160" s="386"/>
      <c r="AV160" s="386"/>
      <c r="AW160" s="386"/>
      <c r="AX160" s="386"/>
      <c r="AY160" s="386"/>
      <c r="AZ160" s="392"/>
      <c r="BA160" s="392"/>
      <c r="BB160" s="386"/>
      <c r="BC160" s="386"/>
      <c r="BD160" s="386"/>
      <c r="BE160" s="386"/>
      <c r="BF160" s="546"/>
      <c r="BG160" s="514"/>
    </row>
    <row r="161" spans="3:59" ht="100" customHeight="1" thickTop="1" thickBot="1" x14ac:dyDescent="1.05">
      <c r="D161" s="794"/>
      <c r="E161" s="514"/>
      <c r="F161" s="996"/>
      <c r="G161" s="570"/>
      <c r="H161" s="570"/>
      <c r="I161" s="570"/>
      <c r="J161" s="997"/>
      <c r="K161" s="570"/>
      <c r="L161" s="570"/>
      <c r="M161" s="570"/>
      <c r="N161" s="811"/>
      <c r="O161" s="811"/>
      <c r="P161" s="998"/>
      <c r="Q161" s="556"/>
      <c r="R161" s="997"/>
      <c r="S161" s="999"/>
      <c r="T161" s="626"/>
      <c r="U161" s="970"/>
      <c r="V161" s="1000"/>
      <c r="W161" s="1001"/>
      <c r="X161" s="1002"/>
      <c r="Y161" s="1000"/>
      <c r="Z161" s="1003"/>
      <c r="AA161" s="1001"/>
      <c r="AB161" s="1002"/>
      <c r="AC161" s="1000"/>
      <c r="AD161" s="1004"/>
      <c r="AE161" s="1000"/>
      <c r="AF161" s="1003"/>
      <c r="AG161" s="1001"/>
      <c r="AH161" s="747"/>
      <c r="AI161" s="704"/>
      <c r="AJ161" s="388"/>
      <c r="AK161" s="388"/>
      <c r="AL161" s="388"/>
      <c r="AM161" s="388"/>
      <c r="AN161" s="388"/>
      <c r="AO161" s="388"/>
      <c r="AP161" s="995"/>
      <c r="AQ161" s="577"/>
      <c r="AR161" s="386"/>
      <c r="AS161" s="386"/>
      <c r="AT161" s="386"/>
      <c r="AU161" s="386"/>
      <c r="AV161" s="386"/>
      <c r="AW161" s="386"/>
      <c r="AX161" s="386"/>
      <c r="AY161" s="386"/>
      <c r="AZ161" s="392"/>
      <c r="BA161" s="392"/>
      <c r="BB161" s="386"/>
      <c r="BC161" s="386"/>
      <c r="BD161" s="386"/>
      <c r="BE161" s="386"/>
      <c r="BF161" s="546"/>
      <c r="BG161" s="514"/>
    </row>
    <row r="162" spans="3:59" ht="10" customHeight="1" thickTop="1" thickBot="1" x14ac:dyDescent="1.05">
      <c r="D162" s="408"/>
      <c r="E162" s="518"/>
      <c r="F162" s="519"/>
      <c r="G162" s="519"/>
      <c r="H162" s="519"/>
      <c r="I162" s="519"/>
      <c r="J162" s="519"/>
      <c r="K162" s="519"/>
      <c r="L162" s="519"/>
      <c r="M162" s="519"/>
      <c r="N162" s="519"/>
      <c r="O162" s="519"/>
      <c r="P162" s="519"/>
      <c r="Q162" s="519"/>
      <c r="R162" s="519"/>
      <c r="S162" s="519"/>
      <c r="T162" s="519"/>
      <c r="U162" s="1005"/>
      <c r="V162" s="861"/>
      <c r="W162" s="861"/>
      <c r="X162" s="861"/>
      <c r="Y162" s="861"/>
      <c r="Z162" s="861"/>
      <c r="AA162" s="861"/>
      <c r="AB162" s="861"/>
      <c r="AC162" s="861"/>
      <c r="AD162" s="861"/>
      <c r="AE162" s="861"/>
      <c r="AF162" s="861"/>
      <c r="AG162" s="861"/>
      <c r="AH162" s="861"/>
      <c r="AI162" s="748"/>
      <c r="AJ162" s="813"/>
      <c r="AK162" s="814"/>
      <c r="AL162" s="814"/>
      <c r="AM162" s="814"/>
      <c r="AN162" s="814"/>
      <c r="AO162" s="814"/>
      <c r="AP162" s="815"/>
      <c r="AQ162" s="578"/>
      <c r="AR162" s="386"/>
      <c r="AS162" s="386"/>
      <c r="AT162" s="386"/>
      <c r="AU162" s="386"/>
      <c r="AV162" s="386"/>
      <c r="AW162" s="386"/>
      <c r="AX162" s="386"/>
      <c r="AY162" s="386"/>
      <c r="AZ162" s="392"/>
      <c r="BA162" s="392"/>
      <c r="BB162" s="386"/>
      <c r="BC162" s="386"/>
      <c r="BD162" s="386"/>
      <c r="BE162" s="386"/>
      <c r="BF162" s="546"/>
      <c r="BG162" s="514"/>
    </row>
    <row r="163" spans="3:59" ht="100" customHeight="1" thickTop="1" thickBot="1" x14ac:dyDescent="1.05">
      <c r="D163" s="408"/>
      <c r="E163" s="2122" t="s">
        <v>168</v>
      </c>
      <c r="F163" s="2058"/>
      <c r="G163" s="2058"/>
      <c r="H163" s="2058"/>
      <c r="I163" s="2058"/>
      <c r="J163" s="2058"/>
      <c r="K163" s="2058"/>
      <c r="L163" s="2058"/>
      <c r="M163" s="2058"/>
      <c r="N163" s="2058"/>
      <c r="O163" s="2058"/>
      <c r="P163" s="2058"/>
      <c r="Q163" s="2058"/>
      <c r="R163" s="2058"/>
      <c r="S163" s="2058"/>
      <c r="T163" s="2059"/>
      <c r="U163" s="817"/>
      <c r="V163" s="2063" t="s">
        <v>171</v>
      </c>
      <c r="W163" s="2064"/>
      <c r="X163" s="2064"/>
      <c r="Y163" s="2064"/>
      <c r="Z163" s="2064"/>
      <c r="AA163" s="2064"/>
      <c r="AB163" s="2064"/>
      <c r="AC163" s="2064"/>
      <c r="AD163" s="2064"/>
      <c r="AE163" s="2064"/>
      <c r="AF163" s="2064"/>
      <c r="AG163" s="2064"/>
      <c r="AH163" s="2065"/>
      <c r="AI163" s="2092" t="s">
        <v>186</v>
      </c>
      <c r="AJ163" s="2066"/>
      <c r="AK163" s="2066"/>
      <c r="AL163" s="2066"/>
      <c r="AM163" s="2066"/>
      <c r="AN163" s="2066"/>
      <c r="AO163" s="2066"/>
      <c r="AP163" s="2067"/>
      <c r="AQ163" s="1006"/>
      <c r="AR163" s="2068" t="s">
        <v>133</v>
      </c>
      <c r="AS163" s="2054"/>
      <c r="AT163" s="2054"/>
      <c r="AU163" s="2054"/>
      <c r="AV163" s="2054"/>
      <c r="AW163" s="2054"/>
      <c r="AX163" s="2054"/>
      <c r="AY163" s="2054"/>
      <c r="AZ163" s="2054"/>
      <c r="BA163" s="2054"/>
      <c r="BB163" s="2054"/>
      <c r="BC163" s="2054"/>
      <c r="BD163" s="2054"/>
      <c r="BE163" s="2054"/>
      <c r="BF163" s="2069"/>
      <c r="BG163" s="547"/>
    </row>
    <row r="164" spans="3:59" ht="100" customHeight="1" thickTop="1" thickBot="1" x14ac:dyDescent="1.05">
      <c r="D164" s="408"/>
      <c r="E164" s="2123"/>
      <c r="F164" s="2061"/>
      <c r="G164" s="2061"/>
      <c r="H164" s="2061"/>
      <c r="I164" s="2061"/>
      <c r="J164" s="2061"/>
      <c r="K164" s="2061"/>
      <c r="L164" s="2061"/>
      <c r="M164" s="2061"/>
      <c r="N164" s="2061"/>
      <c r="O164" s="2061"/>
      <c r="P164" s="2061"/>
      <c r="Q164" s="2061"/>
      <c r="R164" s="2061"/>
      <c r="S164" s="2061"/>
      <c r="T164" s="2062"/>
      <c r="U164" s="1007"/>
      <c r="V164" s="2124"/>
      <c r="W164" s="2086"/>
      <c r="X164" s="2086"/>
      <c r="Y164" s="2086"/>
      <c r="Z164" s="2086"/>
      <c r="AA164" s="2086"/>
      <c r="AB164" s="2086"/>
      <c r="AC164" s="2086"/>
      <c r="AD164" s="2086"/>
      <c r="AE164" s="2086"/>
      <c r="AF164" s="2086"/>
      <c r="AG164" s="2086"/>
      <c r="AH164" s="2091"/>
      <c r="AI164" s="2092"/>
      <c r="AJ164" s="2066"/>
      <c r="AK164" s="2066"/>
      <c r="AL164" s="2066"/>
      <c r="AM164" s="2066"/>
      <c r="AN164" s="2066"/>
      <c r="AO164" s="2066"/>
      <c r="AP164" s="2067"/>
      <c r="AQ164" s="1008"/>
      <c r="AR164" s="2068"/>
      <c r="AS164" s="2054"/>
      <c r="AT164" s="2054"/>
      <c r="AU164" s="2054"/>
      <c r="AV164" s="2054"/>
      <c r="AW164" s="2054"/>
      <c r="AX164" s="2054"/>
      <c r="AY164" s="2054"/>
      <c r="AZ164" s="2054"/>
      <c r="BA164" s="2054"/>
      <c r="BB164" s="2054"/>
      <c r="BC164" s="2054"/>
      <c r="BD164" s="2054"/>
      <c r="BE164" s="2054"/>
      <c r="BF164" s="2054"/>
      <c r="BG164" s="1009"/>
    </row>
    <row r="165" spans="3:59" ht="10" customHeight="1" thickTop="1" thickBot="1" x14ac:dyDescent="1.05">
      <c r="D165" s="794"/>
      <c r="E165" s="547"/>
      <c r="F165" s="834"/>
      <c r="G165" s="834"/>
      <c r="H165" s="834"/>
      <c r="I165" s="834"/>
      <c r="J165" s="834"/>
      <c r="K165" s="834"/>
      <c r="L165" s="834"/>
      <c r="M165" s="834"/>
      <c r="N165" s="834"/>
      <c r="O165" s="834"/>
      <c r="P165" s="834"/>
      <c r="Q165" s="834"/>
      <c r="R165" s="834"/>
      <c r="S165" s="834"/>
      <c r="T165" s="834"/>
      <c r="U165" s="1010"/>
      <c r="V165" s="954"/>
      <c r="W165" s="954"/>
      <c r="X165" s="954"/>
      <c r="Y165" s="954"/>
      <c r="Z165" s="954"/>
      <c r="AA165" s="954"/>
      <c r="AB165" s="954"/>
      <c r="AC165" s="954"/>
      <c r="AD165" s="954"/>
      <c r="AE165" s="1011"/>
      <c r="AF165" s="954"/>
      <c r="AG165" s="954"/>
      <c r="AH165" s="954"/>
      <c r="AI165" s="1012"/>
      <c r="AJ165" s="1188"/>
      <c r="AK165" s="1188"/>
      <c r="AL165" s="1188"/>
      <c r="AM165" s="1188"/>
      <c r="AN165" s="1188"/>
      <c r="AO165" s="1188"/>
      <c r="AP165" s="1013"/>
      <c r="AQ165" s="1008"/>
      <c r="AR165" s="829"/>
      <c r="AS165" s="829"/>
      <c r="AT165" s="829"/>
      <c r="AU165" s="829"/>
      <c r="AV165" s="829"/>
      <c r="AW165" s="829"/>
      <c r="AX165" s="829"/>
      <c r="AY165" s="829"/>
      <c r="AZ165" s="829"/>
      <c r="BA165" s="829"/>
      <c r="BB165" s="829"/>
      <c r="BC165" s="829"/>
      <c r="BD165" s="829"/>
      <c r="BE165" s="829"/>
      <c r="BF165" s="829"/>
      <c r="BG165" s="512"/>
    </row>
    <row r="166" spans="3:59" ht="100" customHeight="1" thickTop="1" x14ac:dyDescent="1">
      <c r="D166" s="794"/>
      <c r="E166" s="514"/>
      <c r="F166" s="524"/>
      <c r="G166" s="525"/>
      <c r="H166" s="526"/>
      <c r="I166" s="527"/>
      <c r="J166" s="528"/>
      <c r="K166" s="525"/>
      <c r="L166" s="529"/>
      <c r="M166" s="527"/>
      <c r="N166" s="525"/>
      <c r="O166" s="527"/>
      <c r="P166" s="528"/>
      <c r="Q166" s="530"/>
      <c r="R166" s="527"/>
      <c r="S166" s="525"/>
      <c r="T166" s="531"/>
      <c r="U166" s="1014"/>
      <c r="V166" s="971"/>
      <c r="W166" s="863"/>
      <c r="X166" s="972"/>
      <c r="Y166" s="971"/>
      <c r="Z166" s="973"/>
      <c r="AA166" s="974"/>
      <c r="AB166" s="975"/>
      <c r="AC166" s="971"/>
      <c r="AD166" s="976"/>
      <c r="AE166" s="977"/>
      <c r="AF166" s="973"/>
      <c r="AG166" s="976"/>
      <c r="AH166" s="978"/>
      <c r="AI166" s="704"/>
      <c r="AJ166" s="1015"/>
      <c r="AK166" s="1015"/>
      <c r="AL166" s="1015"/>
      <c r="AM166" s="1015"/>
      <c r="AN166" s="1015"/>
      <c r="AO166" s="1015"/>
      <c r="AP166" s="1016"/>
      <c r="AQ166" s="578"/>
      <c r="AR166" s="386"/>
      <c r="AS166" s="386"/>
      <c r="AT166" s="386"/>
      <c r="AU166" s="386"/>
      <c r="AV166" s="386"/>
      <c r="AW166" s="386"/>
      <c r="AX166" s="386"/>
      <c r="AY166" s="386"/>
      <c r="AZ166" s="386"/>
      <c r="BA166" s="386"/>
      <c r="BB166" s="386"/>
      <c r="BC166" s="386"/>
      <c r="BD166" s="386"/>
      <c r="BE166" s="386"/>
      <c r="BF166" s="386"/>
      <c r="BG166" s="1009"/>
    </row>
    <row r="167" spans="3:59" ht="100" customHeight="1" x14ac:dyDescent="1">
      <c r="D167" s="794"/>
      <c r="E167" s="514"/>
      <c r="F167" s="532" t="s">
        <v>152</v>
      </c>
      <c r="G167" s="492"/>
      <c r="H167" s="533" t="s">
        <v>152</v>
      </c>
      <c r="I167" s="507"/>
      <c r="J167" s="491" t="s">
        <v>152</v>
      </c>
      <c r="K167" s="492"/>
      <c r="L167" s="615" t="s">
        <v>152</v>
      </c>
      <c r="M167" s="507"/>
      <c r="N167" s="492" t="s">
        <v>152</v>
      </c>
      <c r="O167" s="507"/>
      <c r="P167" s="491" t="s">
        <v>152</v>
      </c>
      <c r="Q167" s="489"/>
      <c r="R167" s="507" t="s">
        <v>152</v>
      </c>
      <c r="S167" s="492"/>
      <c r="T167" s="1077" t="s">
        <v>152</v>
      </c>
      <c r="U167" s="1017"/>
      <c r="V167" s="980" t="s">
        <v>152</v>
      </c>
      <c r="W167" s="730"/>
      <c r="X167" s="981" t="s">
        <v>152</v>
      </c>
      <c r="Y167" s="980"/>
      <c r="Z167" s="982" t="s">
        <v>152</v>
      </c>
      <c r="AA167" s="983"/>
      <c r="AB167" s="981" t="s">
        <v>152</v>
      </c>
      <c r="AC167" s="980"/>
      <c r="AD167" s="983" t="s">
        <v>152</v>
      </c>
      <c r="AE167" s="1018"/>
      <c r="AF167" s="982" t="s">
        <v>152</v>
      </c>
      <c r="AG167" s="985"/>
      <c r="AH167" s="731" t="s">
        <v>152</v>
      </c>
      <c r="AI167" s="704"/>
      <c r="AJ167" s="1019"/>
      <c r="AK167" s="1019"/>
      <c r="AL167" s="1015"/>
      <c r="AM167" s="1015"/>
      <c r="AN167" s="1015"/>
      <c r="AO167" s="1015"/>
      <c r="AP167" s="1016"/>
      <c r="AQ167" s="547"/>
      <c r="AR167" s="568"/>
      <c r="AS167" s="386"/>
      <c r="AT167" s="579"/>
      <c r="AU167" s="386"/>
      <c r="AV167" s="386"/>
      <c r="AW167" s="386"/>
      <c r="AX167" s="386"/>
      <c r="AY167" s="386"/>
      <c r="AZ167" s="598"/>
      <c r="BA167" s="598"/>
      <c r="BB167" s="598"/>
      <c r="BC167" s="598"/>
      <c r="BD167" s="386"/>
      <c r="BE167" s="386"/>
      <c r="BF167" s="546"/>
      <c r="BG167" s="514"/>
    </row>
    <row r="168" spans="3:59" ht="100" customHeight="1" x14ac:dyDescent="1">
      <c r="D168" s="794"/>
      <c r="E168" s="514"/>
      <c r="F168" s="532" t="s">
        <v>153</v>
      </c>
      <c r="G168" s="492"/>
      <c r="H168" s="533" t="s">
        <v>154</v>
      </c>
      <c r="I168" s="507"/>
      <c r="J168" s="491" t="s">
        <v>154</v>
      </c>
      <c r="K168" s="492"/>
      <c r="L168" s="615" t="s">
        <v>154</v>
      </c>
      <c r="M168" s="507"/>
      <c r="N168" s="492" t="s">
        <v>154</v>
      </c>
      <c r="O168" s="507"/>
      <c r="P168" s="491" t="s">
        <v>154</v>
      </c>
      <c r="Q168" s="489"/>
      <c r="R168" s="507" t="s">
        <v>154</v>
      </c>
      <c r="S168" s="492"/>
      <c r="T168" s="1077" t="s">
        <v>154</v>
      </c>
      <c r="U168" s="1017"/>
      <c r="V168" s="980" t="s">
        <v>153</v>
      </c>
      <c r="W168" s="730"/>
      <c r="X168" s="981" t="s">
        <v>154</v>
      </c>
      <c r="Y168" s="980"/>
      <c r="Z168" s="982" t="s">
        <v>154</v>
      </c>
      <c r="AA168" s="983"/>
      <c r="AB168" s="981" t="s">
        <v>154</v>
      </c>
      <c r="AC168" s="980"/>
      <c r="AD168" s="984" t="s">
        <v>154</v>
      </c>
      <c r="AE168" s="980"/>
      <c r="AF168" s="982" t="s">
        <v>154</v>
      </c>
      <c r="AG168" s="985"/>
      <c r="AH168" s="731" t="s">
        <v>154</v>
      </c>
      <c r="AI168" s="725"/>
      <c r="AJ168" s="1019"/>
      <c r="AK168" s="1019"/>
      <c r="AL168" s="1015"/>
      <c r="AM168" s="1015"/>
      <c r="AN168" s="1015"/>
      <c r="AO168" s="1015"/>
      <c r="AP168" s="1016"/>
      <c r="AQ168" s="547"/>
      <c r="AR168" s="688"/>
      <c r="AS168" s="506"/>
      <c r="AT168" s="1020" t="s">
        <v>27</v>
      </c>
      <c r="AU168" s="506"/>
      <c r="AV168" s="579"/>
      <c r="AW168" s="579"/>
      <c r="AX168" s="579"/>
      <c r="AY168" s="579"/>
      <c r="AZ168" s="579"/>
      <c r="BA168" s="579"/>
      <c r="BB168" s="579"/>
      <c r="BC168" s="579"/>
      <c r="BD168" s="386"/>
      <c r="BE168" s="386"/>
      <c r="BF168" s="546"/>
      <c r="BG168" s="514"/>
    </row>
    <row r="169" spans="3:59" ht="100" customHeight="1" x14ac:dyDescent="1">
      <c r="D169" s="794"/>
      <c r="E169" s="514"/>
      <c r="F169" s="532" t="s">
        <v>121</v>
      </c>
      <c r="G169" s="492"/>
      <c r="H169" s="533" t="s">
        <v>125</v>
      </c>
      <c r="I169" s="507"/>
      <c r="J169" s="491" t="s">
        <v>121</v>
      </c>
      <c r="K169" s="492"/>
      <c r="L169" s="615" t="s">
        <v>20</v>
      </c>
      <c r="M169" s="507"/>
      <c r="N169" s="492" t="s">
        <v>20</v>
      </c>
      <c r="O169" s="507"/>
      <c r="P169" s="491" t="s">
        <v>121</v>
      </c>
      <c r="Q169" s="489"/>
      <c r="R169" s="507" t="s">
        <v>121</v>
      </c>
      <c r="S169" s="492"/>
      <c r="T169" s="1077" t="s">
        <v>121</v>
      </c>
      <c r="U169" s="1017"/>
      <c r="V169" s="980" t="s">
        <v>121</v>
      </c>
      <c r="W169" s="985"/>
      <c r="X169" s="986" t="s">
        <v>125</v>
      </c>
      <c r="Y169" s="980"/>
      <c r="Z169" s="982" t="s">
        <v>121</v>
      </c>
      <c r="AA169" s="985"/>
      <c r="AB169" s="986" t="s">
        <v>20</v>
      </c>
      <c r="AC169" s="980"/>
      <c r="AD169" s="984" t="s">
        <v>20</v>
      </c>
      <c r="AE169" s="980"/>
      <c r="AF169" s="982" t="s">
        <v>121</v>
      </c>
      <c r="AG169" s="985"/>
      <c r="AH169" s="731" t="s">
        <v>121</v>
      </c>
      <c r="AI169" s="725"/>
      <c r="AJ169" s="1019"/>
      <c r="AK169" s="1019"/>
      <c r="AL169" s="2111" t="s">
        <v>149</v>
      </c>
      <c r="AM169" s="2111"/>
      <c r="AN169" s="2111"/>
      <c r="AO169" s="1021"/>
      <c r="AP169" s="1022"/>
      <c r="AQ169" s="840"/>
      <c r="AR169" s="688"/>
      <c r="AS169" s="506"/>
      <c r="AT169" s="727" t="s">
        <v>196</v>
      </c>
      <c r="AU169" s="506"/>
      <c r="AV169" s="598"/>
      <c r="AW169" s="598"/>
      <c r="AX169" s="598"/>
      <c r="AY169" s="598"/>
      <c r="AZ169" s="598"/>
      <c r="BA169" s="598"/>
      <c r="BB169" s="598"/>
      <c r="BC169" s="598"/>
      <c r="BD169" s="682"/>
      <c r="BE169" s="682"/>
      <c r="BF169" s="833"/>
      <c r="BG169" s="514"/>
    </row>
    <row r="170" spans="3:59" ht="100" customHeight="1" x14ac:dyDescent="1">
      <c r="D170" s="794"/>
      <c r="E170" s="514"/>
      <c r="F170" s="532">
        <v>300</v>
      </c>
      <c r="G170" s="492"/>
      <c r="H170" s="533">
        <v>500</v>
      </c>
      <c r="I170" s="507"/>
      <c r="J170" s="491">
        <v>300</v>
      </c>
      <c r="K170" s="492"/>
      <c r="L170" s="615">
        <v>450</v>
      </c>
      <c r="M170" s="507"/>
      <c r="N170" s="492">
        <v>450</v>
      </c>
      <c r="O170" s="507"/>
      <c r="P170" s="491">
        <v>300</v>
      </c>
      <c r="Q170" s="489"/>
      <c r="R170" s="507">
        <v>300</v>
      </c>
      <c r="S170" s="492"/>
      <c r="T170" s="1077">
        <v>300</v>
      </c>
      <c r="U170" s="1017"/>
      <c r="V170" s="980">
        <v>300</v>
      </c>
      <c r="W170" s="985"/>
      <c r="X170" s="986">
        <v>500</v>
      </c>
      <c r="Y170" s="980"/>
      <c r="Z170" s="982">
        <v>300</v>
      </c>
      <c r="AA170" s="985"/>
      <c r="AB170" s="986">
        <v>450</v>
      </c>
      <c r="AC170" s="980"/>
      <c r="AD170" s="984">
        <v>450</v>
      </c>
      <c r="AE170" s="980"/>
      <c r="AF170" s="982">
        <v>300</v>
      </c>
      <c r="AG170" s="985"/>
      <c r="AH170" s="731">
        <v>300</v>
      </c>
      <c r="AI170" s="704"/>
      <c r="AJ170" s="1019"/>
      <c r="AK170" s="1019"/>
      <c r="AL170" s="1023"/>
      <c r="AM170" s="1023"/>
      <c r="AN170" s="1023"/>
      <c r="AO170" s="1023"/>
      <c r="AP170" s="1016"/>
      <c r="AQ170" s="547"/>
      <c r="AR170" s="568"/>
      <c r="AS170" s="386"/>
      <c r="AT170" s="1024">
        <f>3500+3500</f>
        <v>7000</v>
      </c>
      <c r="AU170" s="1025"/>
      <c r="AV170" s="1025"/>
      <c r="AW170" s="1025"/>
      <c r="AX170" s="1025"/>
      <c r="AY170" s="1025"/>
      <c r="AZ170" s="1025"/>
      <c r="BA170" s="780"/>
      <c r="BB170" s="682"/>
      <c r="BC170" s="682"/>
      <c r="BD170" s="780"/>
      <c r="BE170" s="780"/>
      <c r="BF170" s="841"/>
      <c r="BG170" s="514"/>
    </row>
    <row r="171" spans="3:59" ht="100" customHeight="1" thickBot="1" x14ac:dyDescent="1.05">
      <c r="D171" s="794"/>
      <c r="E171" s="514"/>
      <c r="F171" s="538"/>
      <c r="G171" s="539"/>
      <c r="H171" s="540"/>
      <c r="I171" s="390"/>
      <c r="J171" s="483"/>
      <c r="K171" s="539"/>
      <c r="L171" s="541"/>
      <c r="M171" s="390"/>
      <c r="N171" s="542"/>
      <c r="O171" s="543"/>
      <c r="P171" s="544"/>
      <c r="Q171" s="545"/>
      <c r="R171" s="390"/>
      <c r="S171" s="386"/>
      <c r="T171" s="546"/>
      <c r="U171" s="1014"/>
      <c r="V171" s="988"/>
      <c r="W171" s="989"/>
      <c r="X171" s="990"/>
      <c r="Y171" s="988"/>
      <c r="Z171" s="991"/>
      <c r="AA171" s="992"/>
      <c r="AB171" s="993"/>
      <c r="AC171" s="988"/>
      <c r="AD171" s="994"/>
      <c r="AE171" s="988"/>
      <c r="AF171" s="991"/>
      <c r="AG171" s="989"/>
      <c r="AH171" s="721"/>
      <c r="AI171" s="704"/>
      <c r="AJ171" s="1015"/>
      <c r="AK171" s="1015"/>
      <c r="AL171" s="1015"/>
      <c r="AM171" s="1015"/>
      <c r="AN171" s="1015"/>
      <c r="AO171" s="1015"/>
      <c r="AP171" s="1016"/>
      <c r="AQ171" s="547"/>
      <c r="AR171" s="568"/>
      <c r="AS171" s="386"/>
      <c r="AT171" s="386"/>
      <c r="AU171" s="386"/>
      <c r="AV171" s="386"/>
      <c r="AW171" s="386"/>
      <c r="AX171" s="386"/>
      <c r="AY171" s="386"/>
      <c r="AZ171" s="598"/>
      <c r="BA171" s="598"/>
      <c r="BB171" s="598"/>
      <c r="BC171" s="598"/>
      <c r="BD171" s="386"/>
      <c r="BE171" s="386"/>
      <c r="BF171" s="546"/>
      <c r="BG171" s="514"/>
    </row>
    <row r="172" spans="3:59" ht="100" customHeight="1" thickTop="1" thickBot="1" x14ac:dyDescent="1.05">
      <c r="D172" s="794"/>
      <c r="E172" s="514"/>
      <c r="F172" s="548"/>
      <c r="G172" s="549"/>
      <c r="H172" s="550"/>
      <c r="I172" s="551"/>
      <c r="J172" s="552"/>
      <c r="K172" s="553"/>
      <c r="L172" s="554"/>
      <c r="M172" s="553"/>
      <c r="N172" s="555"/>
      <c r="O172" s="386"/>
      <c r="P172" s="483"/>
      <c r="Q172" s="481"/>
      <c r="R172" s="390"/>
      <c r="S172" s="386"/>
      <c r="T172" s="558"/>
      <c r="U172" s="1014"/>
      <c r="V172" s="1000"/>
      <c r="W172" s="1001"/>
      <c r="X172" s="1002"/>
      <c r="Y172" s="1000"/>
      <c r="Z172" s="1003"/>
      <c r="AA172" s="1001"/>
      <c r="AB172" s="1002"/>
      <c r="AC172" s="1000"/>
      <c r="AD172" s="1004"/>
      <c r="AE172" s="1000"/>
      <c r="AF172" s="1003"/>
      <c r="AG172" s="1001"/>
      <c r="AH172" s="747"/>
      <c r="AI172" s="748"/>
      <c r="AJ172" s="1026"/>
      <c r="AK172" s="1026"/>
      <c r="AL172" s="1026"/>
      <c r="AM172" s="1027"/>
      <c r="AN172" s="1015"/>
      <c r="AO172" s="1015"/>
      <c r="AP172" s="1028"/>
      <c r="AQ172" s="577"/>
      <c r="AR172" s="553"/>
      <c r="AS172" s="553"/>
      <c r="AT172" s="553"/>
      <c r="AU172" s="553"/>
      <c r="AV172" s="553"/>
      <c r="AW172" s="553"/>
      <c r="AX172" s="553"/>
      <c r="AY172" s="553"/>
      <c r="AZ172" s="553"/>
      <c r="BA172" s="553"/>
      <c r="BB172" s="553"/>
      <c r="BC172" s="553"/>
      <c r="BD172" s="553"/>
      <c r="BE172" s="553"/>
      <c r="BF172" s="558"/>
      <c r="BG172" s="514"/>
    </row>
    <row r="173" spans="3:59" ht="10" customHeight="1" thickTop="1" thickBot="1" x14ac:dyDescent="1.05">
      <c r="D173" s="794"/>
      <c r="E173" s="514"/>
      <c r="F173" s="518"/>
      <c r="G173" s="519"/>
      <c r="H173" s="519"/>
      <c r="I173" s="519"/>
      <c r="J173" s="519"/>
      <c r="K173" s="519"/>
      <c r="L173" s="519"/>
      <c r="M173" s="519"/>
      <c r="N173" s="519"/>
      <c r="O173" s="576"/>
      <c r="P173" s="575"/>
      <c r="Q173" s="561"/>
      <c r="R173" s="576"/>
      <c r="S173" s="574"/>
      <c r="T173" s="520"/>
      <c r="U173" s="1029"/>
      <c r="V173" s="754"/>
      <c r="W173" s="754"/>
      <c r="X173" s="754"/>
      <c r="Y173" s="754"/>
      <c r="Z173" s="754"/>
      <c r="AA173" s="754"/>
      <c r="AB173" s="754"/>
      <c r="AC173" s="754"/>
      <c r="AD173" s="754"/>
      <c r="AE173" s="754"/>
      <c r="AF173" s="754"/>
      <c r="AG173" s="754"/>
      <c r="AH173" s="754"/>
      <c r="AI173" s="857"/>
      <c r="AJ173" s="1031"/>
      <c r="AK173" s="1032"/>
      <c r="AL173" s="1033"/>
      <c r="AM173" s="1032"/>
      <c r="AN173" s="1034"/>
      <c r="AO173" s="1034"/>
      <c r="AP173" s="1034"/>
      <c r="AQ173" s="623"/>
      <c r="AR173" s="1035"/>
      <c r="AS173" s="519"/>
      <c r="AT173" s="519"/>
      <c r="AU173" s="519"/>
      <c r="AV173" s="519"/>
      <c r="AW173" s="519"/>
      <c r="AX173" s="519"/>
      <c r="AY173" s="519"/>
      <c r="AZ173" s="519"/>
      <c r="BA173" s="519"/>
      <c r="BB173" s="519"/>
      <c r="BC173" s="519"/>
      <c r="BD173" s="519"/>
      <c r="BE173" s="519"/>
      <c r="BF173" s="520"/>
      <c r="BG173" s="512"/>
    </row>
    <row r="174" spans="3:59" s="358" customFormat="1" ht="43" customHeight="1" thickTop="1" x14ac:dyDescent="1">
      <c r="C174" s="356"/>
      <c r="D174" s="356"/>
      <c r="F174" s="356"/>
      <c r="G174" s="356"/>
      <c r="H174" s="356"/>
      <c r="I174" s="356"/>
      <c r="J174" s="356"/>
      <c r="K174" s="356"/>
      <c r="L174" s="356"/>
      <c r="M174" s="356"/>
      <c r="N174" s="356"/>
      <c r="O174" s="356"/>
      <c r="P174" s="356"/>
      <c r="Q174" s="356"/>
      <c r="R174" s="356"/>
      <c r="S174" s="356"/>
      <c r="T174" s="356"/>
      <c r="U174" s="356"/>
      <c r="V174" s="356"/>
      <c r="W174" s="356"/>
      <c r="X174" s="356"/>
      <c r="Y174" s="356"/>
      <c r="Z174" s="356"/>
      <c r="AA174" s="356"/>
      <c r="AB174" s="356"/>
      <c r="AC174" s="356"/>
      <c r="AD174" s="356"/>
      <c r="AE174" s="356"/>
      <c r="AF174" s="356"/>
      <c r="AG174" s="356"/>
      <c r="AH174" s="356"/>
      <c r="AI174" s="1404"/>
      <c r="AJ174" s="356"/>
      <c r="AK174" s="356"/>
      <c r="AL174" s="356"/>
      <c r="AM174" s="356"/>
      <c r="AN174" s="356"/>
      <c r="AO174" s="356"/>
      <c r="AP174" s="356"/>
      <c r="AQ174" s="356"/>
      <c r="AR174" s="356"/>
      <c r="AS174" s="356"/>
      <c r="AT174" s="356"/>
      <c r="AU174" s="356"/>
      <c r="AV174" s="356"/>
      <c r="AW174" s="356"/>
      <c r="AX174" s="356"/>
      <c r="AY174" s="356"/>
      <c r="AZ174" s="356"/>
      <c r="BA174" s="356"/>
      <c r="BB174" s="356"/>
      <c r="BC174" s="356"/>
      <c r="BD174" s="356"/>
      <c r="BE174" s="356"/>
      <c r="BF174" s="356"/>
      <c r="BG174" s="571"/>
    </row>
    <row r="175" spans="3:59" s="358" customFormat="1" ht="43" customHeight="1" x14ac:dyDescent="1">
      <c r="C175" s="356"/>
      <c r="D175" s="356"/>
      <c r="F175" s="356"/>
      <c r="G175" s="356"/>
      <c r="H175" s="356"/>
      <c r="I175" s="356"/>
      <c r="J175" s="356"/>
      <c r="K175" s="356"/>
      <c r="L175" s="356"/>
      <c r="M175" s="356"/>
      <c r="N175" s="356"/>
      <c r="O175" s="356"/>
      <c r="P175" s="356"/>
      <c r="Q175" s="356"/>
      <c r="R175" s="356"/>
      <c r="S175" s="356"/>
      <c r="T175" s="356"/>
      <c r="U175" s="356"/>
      <c r="V175" s="356"/>
      <c r="W175" s="356"/>
      <c r="X175" s="356"/>
      <c r="Y175" s="356"/>
      <c r="Z175" s="356"/>
      <c r="AA175" s="356"/>
      <c r="AB175" s="356"/>
      <c r="AC175" s="356"/>
      <c r="AD175" s="356"/>
      <c r="AE175" s="356"/>
      <c r="AF175" s="356"/>
      <c r="AG175" s="356"/>
      <c r="AH175" s="356"/>
      <c r="AI175" s="356"/>
      <c r="AJ175" s="356"/>
      <c r="AK175" s="356"/>
      <c r="AL175" s="356"/>
      <c r="AM175" s="356"/>
      <c r="AN175" s="356"/>
      <c r="AO175" s="356"/>
      <c r="AP175" s="356"/>
      <c r="AQ175" s="356"/>
      <c r="AR175" s="356"/>
      <c r="AS175" s="356"/>
      <c r="AT175" s="356"/>
      <c r="AU175" s="356"/>
      <c r="AV175" s="356"/>
      <c r="AW175" s="356"/>
      <c r="AX175" s="356"/>
      <c r="AY175" s="356"/>
      <c r="AZ175" s="356"/>
      <c r="BA175" s="356"/>
      <c r="BB175" s="356"/>
      <c r="BC175" s="356"/>
      <c r="BD175" s="356"/>
      <c r="BE175" s="356"/>
      <c r="BF175" s="356"/>
      <c r="BG175" s="356"/>
    </row>
    <row r="176" spans="3:59" s="1429" customFormat="1" ht="100" customHeight="1" x14ac:dyDescent="1.2">
      <c r="C176" s="1432"/>
      <c r="D176" s="1432"/>
      <c r="E176" s="1426" t="s">
        <v>195</v>
      </c>
      <c r="F176" s="1426" t="s">
        <v>254</v>
      </c>
      <c r="G176" s="1432"/>
      <c r="H176" s="1432"/>
      <c r="I176" s="1432"/>
      <c r="J176" s="1432"/>
      <c r="K176" s="1432"/>
      <c r="L176" s="1432"/>
      <c r="M176" s="1432"/>
      <c r="N176" s="1432"/>
      <c r="O176" s="1432"/>
      <c r="P176" s="1432"/>
      <c r="Q176" s="1432"/>
      <c r="R176" s="1432"/>
      <c r="S176" s="1432"/>
      <c r="T176" s="1432"/>
      <c r="U176" s="1432"/>
      <c r="V176" s="1432"/>
      <c r="W176" s="1432"/>
      <c r="X176" s="1432"/>
      <c r="Y176" s="1432"/>
      <c r="Z176" s="1432"/>
      <c r="AA176" s="1432"/>
      <c r="AB176" s="1432"/>
      <c r="AC176" s="1432"/>
      <c r="AD176" s="1432"/>
      <c r="AE176" s="1432"/>
      <c r="AF176" s="1432"/>
      <c r="AG176" s="1432"/>
      <c r="AH176" s="1432"/>
      <c r="AI176" s="1432"/>
      <c r="AJ176" s="1432"/>
      <c r="AK176" s="1432"/>
      <c r="AL176" s="1432"/>
      <c r="AM176" s="1432"/>
      <c r="AN176" s="1432"/>
      <c r="AO176" s="1432"/>
      <c r="AP176" s="1432"/>
      <c r="AQ176" s="1432"/>
      <c r="AR176" s="1432"/>
      <c r="AS176" s="1432"/>
      <c r="AT176" s="1432"/>
      <c r="AU176" s="1432"/>
      <c r="AV176" s="1432"/>
      <c r="AW176" s="1432"/>
      <c r="AX176" s="1432"/>
      <c r="AY176" s="1432"/>
      <c r="AZ176" s="1432"/>
      <c r="BA176" s="1432"/>
      <c r="BB176" s="1432"/>
      <c r="BC176" s="1432"/>
      <c r="BD176" s="1432"/>
      <c r="BE176" s="1432"/>
      <c r="BF176" s="1432"/>
      <c r="BG176" s="1432"/>
    </row>
    <row r="177" spans="5:60" ht="50" customHeight="1" thickBot="1" x14ac:dyDescent="1.05">
      <c r="AJ177" s="408"/>
      <c r="AK177" s="408"/>
      <c r="AL177" s="408"/>
      <c r="AM177" s="408"/>
      <c r="AN177" s="408"/>
      <c r="AO177" s="408"/>
      <c r="AP177" s="408"/>
    </row>
    <row r="178" spans="5:60" ht="10" customHeight="1" thickTop="1" thickBot="1" x14ac:dyDescent="1.05">
      <c r="E178" s="577"/>
      <c r="F178" s="512"/>
      <c r="G178" s="513"/>
      <c r="H178" s="513"/>
      <c r="I178" s="513"/>
      <c r="J178" s="513"/>
      <c r="K178" s="513"/>
      <c r="L178" s="513"/>
      <c r="M178" s="513"/>
      <c r="N178" s="513"/>
      <c r="O178" s="513"/>
      <c r="P178" s="513"/>
      <c r="Q178" s="513"/>
      <c r="R178" s="513"/>
      <c r="S178" s="513"/>
      <c r="T178" s="513"/>
      <c r="U178" s="513"/>
      <c r="V178" s="513"/>
      <c r="W178" s="513"/>
      <c r="X178" s="513"/>
      <c r="Y178" s="513"/>
      <c r="Z178" s="513"/>
      <c r="AA178" s="513"/>
      <c r="AB178" s="513"/>
      <c r="AC178" s="513"/>
      <c r="AD178" s="513"/>
      <c r="AE178" s="513"/>
      <c r="AF178" s="513"/>
      <c r="AG178" s="513"/>
      <c r="AH178" s="511"/>
      <c r="AI178" s="512"/>
      <c r="AJ178" s="1420"/>
      <c r="AK178" s="814"/>
      <c r="AL178" s="814"/>
      <c r="AM178" s="814"/>
      <c r="AN178" s="814"/>
      <c r="AO178" s="814"/>
      <c r="AP178" s="1421"/>
      <c r="AQ178" s="511"/>
      <c r="AR178" s="575"/>
      <c r="AS178" s="561"/>
      <c r="AT178" s="561"/>
      <c r="AU178" s="561"/>
      <c r="AV178" s="561"/>
      <c r="AW178" s="561"/>
      <c r="AX178" s="561"/>
      <c r="AY178" s="561"/>
      <c r="AZ178" s="561"/>
      <c r="BA178" s="561"/>
      <c r="BB178" s="561"/>
      <c r="BC178" s="561"/>
      <c r="BD178" s="561"/>
      <c r="BE178" s="561"/>
      <c r="BF178" s="576"/>
      <c r="BG178" s="513"/>
    </row>
    <row r="179" spans="5:60" ht="100" customHeight="1" thickTop="1" x14ac:dyDescent="1">
      <c r="E179" s="578"/>
      <c r="F179" s="568"/>
      <c r="G179" s="386"/>
      <c r="H179" s="386"/>
      <c r="I179" s="386"/>
      <c r="J179" s="386"/>
      <c r="K179" s="386"/>
      <c r="L179" s="386"/>
      <c r="M179" s="386"/>
      <c r="N179" s="392"/>
      <c r="O179" s="392"/>
      <c r="P179" s="386"/>
      <c r="Q179" s="386"/>
      <c r="R179" s="386"/>
      <c r="S179" s="386"/>
      <c r="T179" s="386"/>
      <c r="U179" s="386"/>
      <c r="V179" s="720"/>
      <c r="W179" s="720"/>
      <c r="X179" s="720"/>
      <c r="Y179" s="720"/>
      <c r="Z179" s="720"/>
      <c r="AA179" s="720"/>
      <c r="AB179" s="720"/>
      <c r="AC179" s="720"/>
      <c r="AD179" s="720"/>
      <c r="AE179" s="720"/>
      <c r="AF179" s="720"/>
      <c r="AG179" s="720"/>
      <c r="AH179" s="1036"/>
      <c r="AI179" s="578"/>
      <c r="AJ179" s="388"/>
      <c r="AK179" s="388"/>
      <c r="AL179" s="392"/>
      <c r="AM179" s="392"/>
      <c r="AN179" s="392"/>
      <c r="AO179" s="799"/>
      <c r="AP179" s="392"/>
      <c r="AQ179" s="578"/>
      <c r="AR179" s="1037"/>
      <c r="AS179" s="564"/>
      <c r="AT179" s="968"/>
      <c r="AU179" s="1038"/>
      <c r="AV179" s="528"/>
      <c r="AW179" s="564"/>
      <c r="AX179" s="564"/>
      <c r="AY179" s="564"/>
      <c r="AZ179" s="800"/>
      <c r="BA179" s="800"/>
      <c r="BB179" s="527"/>
      <c r="BC179" s="530"/>
      <c r="BD179" s="527"/>
      <c r="BE179" s="564"/>
      <c r="BF179" s="531"/>
      <c r="BG179" s="514"/>
    </row>
    <row r="180" spans="5:60" ht="100" customHeight="1" x14ac:dyDescent="1">
      <c r="E180" s="578"/>
      <c r="F180" s="568"/>
      <c r="G180" s="386"/>
      <c r="H180" s="386"/>
      <c r="I180" s="386"/>
      <c r="J180" s="386"/>
      <c r="K180" s="386"/>
      <c r="L180" s="386"/>
      <c r="M180" s="386"/>
      <c r="N180" s="392"/>
      <c r="O180" s="392"/>
      <c r="P180" s="386"/>
      <c r="Q180" s="386"/>
      <c r="R180" s="386"/>
      <c r="S180" s="386"/>
      <c r="T180" s="386"/>
      <c r="U180" s="386"/>
      <c r="V180" s="720"/>
      <c r="W180" s="720"/>
      <c r="X180" s="720"/>
      <c r="Y180" s="720"/>
      <c r="Z180" s="720"/>
      <c r="AA180" s="720"/>
      <c r="AB180" s="720"/>
      <c r="AC180" s="720"/>
      <c r="AD180" s="720"/>
      <c r="AE180" s="720"/>
      <c r="AF180" s="720"/>
      <c r="AG180" s="720"/>
      <c r="AH180" s="1036"/>
      <c r="AI180" s="578"/>
      <c r="AJ180" s="388"/>
      <c r="AK180" s="388"/>
      <c r="AL180" s="392"/>
      <c r="AM180" s="392"/>
      <c r="AN180" s="392"/>
      <c r="AO180" s="799"/>
      <c r="AP180" s="392"/>
      <c r="AQ180" s="578"/>
      <c r="AR180" s="1039" t="s">
        <v>152</v>
      </c>
      <c r="AS180" s="506"/>
      <c r="AT180" s="689" t="s">
        <v>152</v>
      </c>
      <c r="AU180" s="645"/>
      <c r="AV180" s="491" t="s">
        <v>152</v>
      </c>
      <c r="AW180" s="489"/>
      <c r="AX180" s="506" t="s">
        <v>152</v>
      </c>
      <c r="AY180" s="506"/>
      <c r="AZ180" s="392"/>
      <c r="BA180" s="392"/>
      <c r="BB180" s="507" t="s">
        <v>152</v>
      </c>
      <c r="BC180" s="489"/>
      <c r="BD180" s="507" t="s">
        <v>152</v>
      </c>
      <c r="BE180" s="489"/>
      <c r="BF180" s="1077" t="s">
        <v>152</v>
      </c>
      <c r="BG180" s="514"/>
    </row>
    <row r="181" spans="5:60" ht="100" customHeight="1" x14ac:dyDescent="1">
      <c r="E181" s="578"/>
      <c r="F181" s="688"/>
      <c r="G181" s="506"/>
      <c r="H181" s="506"/>
      <c r="I181" s="506"/>
      <c r="J181" s="506"/>
      <c r="K181" s="506"/>
      <c r="L181" s="506"/>
      <c r="M181" s="506"/>
      <c r="N181" s="732"/>
      <c r="O181" s="732"/>
      <c r="P181" s="506"/>
      <c r="Q181" s="506"/>
      <c r="R181" s="506"/>
      <c r="S181" s="506"/>
      <c r="T181" s="506"/>
      <c r="U181" s="506"/>
      <c r="V181" s="730"/>
      <c r="W181" s="730"/>
      <c r="X181" s="730"/>
      <c r="Y181" s="730"/>
      <c r="Z181" s="730"/>
      <c r="AA181" s="730"/>
      <c r="AB181" s="730"/>
      <c r="AC181" s="730"/>
      <c r="AD181" s="730"/>
      <c r="AE181" s="730"/>
      <c r="AF181" s="730"/>
      <c r="AG181" s="730"/>
      <c r="AH181" s="1040"/>
      <c r="AI181" s="1041"/>
      <c r="AJ181" s="869"/>
      <c r="AK181" s="869"/>
      <c r="AL181" s="732"/>
      <c r="AM181" s="732"/>
      <c r="AN181" s="732"/>
      <c r="AO181" s="803"/>
      <c r="AP181" s="732"/>
      <c r="AQ181" s="1041"/>
      <c r="AR181" s="1039" t="s">
        <v>153</v>
      </c>
      <c r="AS181" s="506"/>
      <c r="AT181" s="489" t="s">
        <v>154</v>
      </c>
      <c r="AU181" s="507"/>
      <c r="AV181" s="491" t="s">
        <v>154</v>
      </c>
      <c r="AW181" s="489"/>
      <c r="AX181" s="506" t="s">
        <v>154</v>
      </c>
      <c r="AY181" s="506"/>
      <c r="AZ181" s="732"/>
      <c r="BA181" s="732"/>
      <c r="BB181" s="507" t="s">
        <v>154</v>
      </c>
      <c r="BC181" s="489"/>
      <c r="BD181" s="507" t="s">
        <v>154</v>
      </c>
      <c r="BE181" s="489"/>
      <c r="BF181" s="1077" t="s">
        <v>154</v>
      </c>
      <c r="BG181" s="514"/>
    </row>
    <row r="182" spans="5:60" ht="100" customHeight="1" x14ac:dyDescent="1">
      <c r="E182" s="578"/>
      <c r="F182" s="688"/>
      <c r="G182" s="506"/>
      <c r="H182" s="506"/>
      <c r="I182" s="506"/>
      <c r="J182" s="648"/>
      <c r="K182" s="648"/>
      <c r="L182" s="506"/>
      <c r="M182" s="506"/>
      <c r="N182" s="728" t="s">
        <v>175</v>
      </c>
      <c r="O182" s="728"/>
      <c r="P182" s="506"/>
      <c r="Q182" s="506"/>
      <c r="R182" s="506"/>
      <c r="S182" s="506"/>
      <c r="T182" s="506"/>
      <c r="U182" s="506"/>
      <c r="V182" s="730"/>
      <c r="W182" s="730"/>
      <c r="X182" s="2071"/>
      <c r="Y182" s="2071"/>
      <c r="Z182" s="2071"/>
      <c r="AA182" s="2071"/>
      <c r="AB182" s="2071"/>
      <c r="AC182" s="2071"/>
      <c r="AD182" s="2071"/>
      <c r="AE182" s="2071"/>
      <c r="AF182" s="2071"/>
      <c r="AG182" s="730"/>
      <c r="AH182" s="1040"/>
      <c r="AI182" s="1041"/>
      <c r="AJ182" s="2112" t="s">
        <v>124</v>
      </c>
      <c r="AK182" s="2056"/>
      <c r="AL182" s="2056"/>
      <c r="AM182" s="2056"/>
      <c r="AN182" s="2056"/>
      <c r="AO182" s="803"/>
      <c r="AP182" s="732" t="s">
        <v>178</v>
      </c>
      <c r="AQ182" s="1041"/>
      <c r="AR182" s="1039" t="s">
        <v>121</v>
      </c>
      <c r="AS182" s="506"/>
      <c r="AT182" s="489" t="s">
        <v>125</v>
      </c>
      <c r="AU182" s="507"/>
      <c r="AV182" s="491" t="s">
        <v>121</v>
      </c>
      <c r="AW182" s="489"/>
      <c r="AX182" s="506" t="s">
        <v>20</v>
      </c>
      <c r="AY182" s="506"/>
      <c r="AZ182" s="728" t="s">
        <v>175</v>
      </c>
      <c r="BA182" s="728"/>
      <c r="BB182" s="507" t="s">
        <v>20</v>
      </c>
      <c r="BC182" s="489"/>
      <c r="BD182" s="507" t="s">
        <v>121</v>
      </c>
      <c r="BE182" s="489"/>
      <c r="BF182" s="1077" t="s">
        <v>121</v>
      </c>
      <c r="BG182" s="514"/>
    </row>
    <row r="183" spans="5:60" ht="100" customHeight="1" x14ac:dyDescent="1">
      <c r="E183" s="578"/>
      <c r="F183" s="568"/>
      <c r="G183" s="386"/>
      <c r="H183" s="386"/>
      <c r="I183" s="386"/>
      <c r="J183" s="386"/>
      <c r="K183" s="386"/>
      <c r="L183" s="386"/>
      <c r="M183" s="386"/>
      <c r="N183" s="728" t="s">
        <v>127</v>
      </c>
      <c r="O183" s="728"/>
      <c r="P183" s="386"/>
      <c r="Q183" s="386"/>
      <c r="R183" s="386"/>
      <c r="S183" s="386"/>
      <c r="T183" s="386"/>
      <c r="U183" s="386"/>
      <c r="V183" s="720"/>
      <c r="W183" s="720"/>
      <c r="X183" s="2113"/>
      <c r="Y183" s="2113"/>
      <c r="Z183" s="2216"/>
      <c r="AA183" s="2216"/>
      <c r="AB183" s="2216"/>
      <c r="AC183" s="2216"/>
      <c r="AD183" s="2216"/>
      <c r="AE183" s="2216"/>
      <c r="AF183" s="2216"/>
      <c r="AG183" s="1042"/>
      <c r="AH183" s="1036"/>
      <c r="AI183" s="578"/>
      <c r="AJ183" s="388"/>
      <c r="AK183" s="388"/>
      <c r="AL183" s="392"/>
      <c r="AM183" s="392"/>
      <c r="AN183" s="392"/>
      <c r="AO183" s="799"/>
      <c r="AP183" s="732" t="s">
        <v>127</v>
      </c>
      <c r="AQ183" s="1041"/>
      <c r="AR183" s="1039">
        <v>300</v>
      </c>
      <c r="AS183" s="506"/>
      <c r="AT183" s="489">
        <v>500</v>
      </c>
      <c r="AU183" s="507"/>
      <c r="AV183" s="491">
        <v>300</v>
      </c>
      <c r="AW183" s="489"/>
      <c r="AX183" s="506">
        <v>450</v>
      </c>
      <c r="AY183" s="506"/>
      <c r="AZ183" s="728" t="s">
        <v>127</v>
      </c>
      <c r="BA183" s="728"/>
      <c r="BB183" s="507">
        <v>450</v>
      </c>
      <c r="BC183" s="489"/>
      <c r="BD183" s="507">
        <v>300</v>
      </c>
      <c r="BE183" s="489"/>
      <c r="BF183" s="1077">
        <v>300</v>
      </c>
      <c r="BG183" s="514"/>
    </row>
    <row r="184" spans="5:60" ht="100" customHeight="1" thickBot="1" x14ac:dyDescent="1.05">
      <c r="E184" s="578"/>
      <c r="F184" s="568"/>
      <c r="G184" s="386"/>
      <c r="H184" s="386"/>
      <c r="I184" s="386"/>
      <c r="J184" s="386"/>
      <c r="K184" s="386"/>
      <c r="L184" s="386"/>
      <c r="M184" s="386"/>
      <c r="N184" s="392"/>
      <c r="O184" s="392"/>
      <c r="P184" s="386"/>
      <c r="Q184" s="386"/>
      <c r="R184" s="386"/>
      <c r="S184" s="386"/>
      <c r="T184" s="386"/>
      <c r="U184" s="386"/>
      <c r="V184" s="720"/>
      <c r="W184" s="720"/>
      <c r="X184" s="720"/>
      <c r="Y184" s="720"/>
      <c r="Z184" s="720"/>
      <c r="AA184" s="720"/>
      <c r="AB184" s="720"/>
      <c r="AC184" s="720"/>
      <c r="AD184" s="720"/>
      <c r="AE184" s="720"/>
      <c r="AF184" s="720"/>
      <c r="AG184" s="720"/>
      <c r="AH184" s="1036"/>
      <c r="AI184" s="578"/>
      <c r="AJ184" s="388"/>
      <c r="AK184" s="388"/>
      <c r="AL184" s="388"/>
      <c r="AM184" s="388"/>
      <c r="AN184" s="388"/>
      <c r="AO184" s="388"/>
      <c r="AP184" s="391"/>
      <c r="AQ184" s="578"/>
      <c r="AR184" s="1043"/>
      <c r="AS184" s="386"/>
      <c r="AT184" s="481"/>
      <c r="AU184" s="390"/>
      <c r="AV184" s="483"/>
      <c r="AW184" s="386"/>
      <c r="AX184" s="386"/>
      <c r="AY184" s="386"/>
      <c r="AZ184" s="392"/>
      <c r="BA184" s="392"/>
      <c r="BB184" s="390"/>
      <c r="BC184" s="481"/>
      <c r="BD184" s="390"/>
      <c r="BE184" s="386"/>
      <c r="BF184" s="546"/>
      <c r="BG184" s="514"/>
    </row>
    <row r="185" spans="5:60" ht="100" customHeight="1" thickTop="1" thickBot="1" x14ac:dyDescent="1.05">
      <c r="E185" s="578"/>
      <c r="F185" s="568"/>
      <c r="G185" s="386"/>
      <c r="H185" s="386"/>
      <c r="I185" s="386"/>
      <c r="J185" s="386"/>
      <c r="K185" s="386"/>
      <c r="L185" s="386"/>
      <c r="M185" s="386"/>
      <c r="N185" s="392"/>
      <c r="O185" s="392"/>
      <c r="P185" s="386"/>
      <c r="Q185" s="386"/>
      <c r="R185" s="386"/>
      <c r="S185" s="386"/>
      <c r="T185" s="386"/>
      <c r="U185" s="386"/>
      <c r="V185" s="720"/>
      <c r="W185" s="720"/>
      <c r="X185" s="720"/>
      <c r="Y185" s="720"/>
      <c r="Z185" s="720"/>
      <c r="AA185" s="720"/>
      <c r="AB185" s="720"/>
      <c r="AC185" s="720"/>
      <c r="AD185" s="720"/>
      <c r="AE185" s="720"/>
      <c r="AF185" s="720"/>
      <c r="AG185" s="720"/>
      <c r="AH185" s="720"/>
      <c r="AI185" s="574"/>
      <c r="AJ185" s="388"/>
      <c r="AK185" s="388"/>
      <c r="AL185" s="388"/>
      <c r="AM185" s="388"/>
      <c r="AN185" s="388"/>
      <c r="AO185" s="388"/>
      <c r="AP185" s="391"/>
      <c r="AQ185" s="623"/>
      <c r="AR185" s="1044"/>
      <c r="AS185" s="570"/>
      <c r="AT185" s="1045"/>
      <c r="AU185" s="556"/>
      <c r="AV185" s="997"/>
      <c r="AW185" s="570"/>
      <c r="AX185" s="570"/>
      <c r="AY185" s="570"/>
      <c r="AZ185" s="811"/>
      <c r="BA185" s="811"/>
      <c r="BB185" s="556"/>
      <c r="BC185" s="1045"/>
      <c r="BD185" s="556"/>
      <c r="BE185" s="570"/>
      <c r="BF185" s="626"/>
      <c r="BG185" s="514"/>
    </row>
    <row r="186" spans="5:60" ht="10" customHeight="1" thickTop="1" thickBot="1" x14ac:dyDescent="1.05">
      <c r="E186" s="578"/>
      <c r="F186" s="386"/>
      <c r="G186" s="386"/>
      <c r="H186" s="386"/>
      <c r="I186" s="386"/>
      <c r="J186" s="386"/>
      <c r="K186" s="386"/>
      <c r="L186" s="386"/>
      <c r="M186" s="386"/>
      <c r="N186" s="392"/>
      <c r="O186" s="392"/>
      <c r="P186" s="386"/>
      <c r="Q186" s="386"/>
      <c r="R186" s="386"/>
      <c r="S186" s="386"/>
      <c r="T186" s="386"/>
      <c r="U186" s="386"/>
      <c r="V186" s="720"/>
      <c r="W186" s="720"/>
      <c r="X186" s="720"/>
      <c r="Y186" s="720"/>
      <c r="Z186" s="720"/>
      <c r="AA186" s="720"/>
      <c r="AB186" s="720"/>
      <c r="AC186" s="720"/>
      <c r="AD186" s="720"/>
      <c r="AE186" s="720"/>
      <c r="AF186" s="720"/>
      <c r="AG186" s="720"/>
      <c r="AH186" s="720"/>
      <c r="AI186" s="577"/>
      <c r="AJ186" s="1046"/>
      <c r="AK186" s="1046"/>
      <c r="AL186" s="1046"/>
      <c r="AM186" s="1046"/>
      <c r="AN186" s="1046"/>
      <c r="AO186" s="1046"/>
      <c r="AP186" s="1046"/>
      <c r="AQ186" s="575"/>
      <c r="AR186" s="519"/>
      <c r="AS186" s="519"/>
      <c r="AT186" s="519"/>
      <c r="AU186" s="519"/>
      <c r="AV186" s="519"/>
      <c r="AW186" s="519"/>
      <c r="AX186" s="519"/>
      <c r="AY186" s="519"/>
      <c r="AZ186" s="519"/>
      <c r="BA186" s="519"/>
      <c r="BB186" s="519"/>
      <c r="BC186" s="519"/>
      <c r="BD186" s="519"/>
      <c r="BE186" s="519"/>
      <c r="BF186" s="520"/>
      <c r="BG186" s="514"/>
    </row>
    <row r="187" spans="5:60" ht="100" customHeight="1" thickTop="1" x14ac:dyDescent="1">
      <c r="E187" s="578"/>
      <c r="F187" s="2054" t="s">
        <v>133</v>
      </c>
      <c r="G187" s="2054"/>
      <c r="H187" s="2054"/>
      <c r="I187" s="2054"/>
      <c r="J187" s="2054"/>
      <c r="K187" s="2054"/>
      <c r="L187" s="2054"/>
      <c r="M187" s="2054"/>
      <c r="N187" s="2054"/>
      <c r="O187" s="2054"/>
      <c r="P187" s="2054"/>
      <c r="Q187" s="2054"/>
      <c r="R187" s="2054"/>
      <c r="S187" s="2054"/>
      <c r="T187" s="2054"/>
      <c r="U187" s="2054"/>
      <c r="V187" s="2054"/>
      <c r="W187" s="2054"/>
      <c r="X187" s="2054"/>
      <c r="Y187" s="2054"/>
      <c r="Z187" s="2054"/>
      <c r="AA187" s="2054"/>
      <c r="AB187" s="2054"/>
      <c r="AC187" s="2054"/>
      <c r="AD187" s="2054"/>
      <c r="AE187" s="2054"/>
      <c r="AF187" s="2054"/>
      <c r="AG187" s="2054"/>
      <c r="AH187" s="2054"/>
      <c r="AI187" s="578"/>
      <c r="AJ187" s="2115" t="s">
        <v>186</v>
      </c>
      <c r="AK187" s="2066"/>
      <c r="AL187" s="2066"/>
      <c r="AM187" s="2066"/>
      <c r="AN187" s="2066"/>
      <c r="AO187" s="2066"/>
      <c r="AP187" s="2066"/>
      <c r="AQ187" s="2058" t="s">
        <v>78</v>
      </c>
      <c r="AR187" s="2058"/>
      <c r="AS187" s="2058"/>
      <c r="AT187" s="2058"/>
      <c r="AU187" s="2058"/>
      <c r="AV187" s="2058"/>
      <c r="AW187" s="2058"/>
      <c r="AX187" s="2058"/>
      <c r="AY187" s="2058"/>
      <c r="AZ187" s="2058"/>
      <c r="BA187" s="2058"/>
      <c r="BB187" s="2058"/>
      <c r="BC187" s="2058"/>
      <c r="BD187" s="2058"/>
      <c r="BE187" s="2058"/>
      <c r="BF187" s="2058"/>
      <c r="BG187" s="2058"/>
      <c r="BH187" s="1047"/>
    </row>
    <row r="188" spans="5:60" ht="100" customHeight="1" thickBot="1" x14ac:dyDescent="1.05">
      <c r="E188" s="578"/>
      <c r="F188" s="2054"/>
      <c r="G188" s="2054"/>
      <c r="H188" s="2054"/>
      <c r="I188" s="2054"/>
      <c r="J188" s="2054"/>
      <c r="K188" s="2054"/>
      <c r="L188" s="2054"/>
      <c r="M188" s="2054"/>
      <c r="N188" s="2054"/>
      <c r="O188" s="2054"/>
      <c r="P188" s="2054"/>
      <c r="Q188" s="2054"/>
      <c r="R188" s="2054"/>
      <c r="S188" s="2054"/>
      <c r="T188" s="2054"/>
      <c r="U188" s="2054"/>
      <c r="V188" s="2054"/>
      <c r="W188" s="2054"/>
      <c r="X188" s="2054"/>
      <c r="Y188" s="2054"/>
      <c r="Z188" s="2054"/>
      <c r="AA188" s="2054"/>
      <c r="AB188" s="2054"/>
      <c r="AC188" s="2054"/>
      <c r="AD188" s="2054"/>
      <c r="AE188" s="2054"/>
      <c r="AF188" s="2054"/>
      <c r="AG188" s="2054"/>
      <c r="AH188" s="2054"/>
      <c r="AI188" s="1048"/>
      <c r="AJ188" s="2115"/>
      <c r="AK188" s="2066"/>
      <c r="AL188" s="2066"/>
      <c r="AM188" s="2066"/>
      <c r="AN188" s="2066"/>
      <c r="AO188" s="2066"/>
      <c r="AP188" s="2066"/>
      <c r="AQ188" s="2061"/>
      <c r="AR188" s="2061"/>
      <c r="AS188" s="2061"/>
      <c r="AT188" s="2061"/>
      <c r="AU188" s="2061"/>
      <c r="AV188" s="2061"/>
      <c r="AW188" s="2061"/>
      <c r="AX188" s="2061"/>
      <c r="AY188" s="2061"/>
      <c r="AZ188" s="2061"/>
      <c r="BA188" s="2061"/>
      <c r="BB188" s="2061"/>
      <c r="BC188" s="2061"/>
      <c r="BD188" s="2061"/>
      <c r="BE188" s="2061"/>
      <c r="BF188" s="2061"/>
      <c r="BG188" s="2061"/>
      <c r="BH188" s="1047"/>
    </row>
    <row r="189" spans="5:60" ht="10" customHeight="1" thickTop="1" thickBot="1" x14ac:dyDescent="1.05">
      <c r="E189" s="578"/>
      <c r="F189" s="829"/>
      <c r="G189" s="829"/>
      <c r="H189" s="829"/>
      <c r="I189" s="829"/>
      <c r="J189" s="829"/>
      <c r="K189" s="829"/>
      <c r="L189" s="829"/>
      <c r="M189" s="829"/>
      <c r="N189" s="829"/>
      <c r="O189" s="829"/>
      <c r="P189" s="829"/>
      <c r="Q189" s="829"/>
      <c r="R189" s="829"/>
      <c r="S189" s="829"/>
      <c r="T189" s="829"/>
      <c r="U189" s="829"/>
      <c r="V189" s="829"/>
      <c r="W189" s="829"/>
      <c r="X189" s="829"/>
      <c r="Y189" s="829"/>
      <c r="Z189" s="829"/>
      <c r="AA189" s="829"/>
      <c r="AB189" s="829"/>
      <c r="AC189" s="829"/>
      <c r="AD189" s="829"/>
      <c r="AE189" s="829"/>
      <c r="AF189" s="829"/>
      <c r="AG189" s="829"/>
      <c r="AH189" s="829"/>
      <c r="AI189" s="606"/>
      <c r="AJ189" s="1049"/>
      <c r="AK189" s="1049"/>
      <c r="AL189" s="1049"/>
      <c r="AM189" s="1049"/>
      <c r="AN189" s="1049"/>
      <c r="AO189" s="1049"/>
      <c r="AP189" s="1049"/>
      <c r="AQ189" s="823"/>
      <c r="AR189" s="834"/>
      <c r="AS189" s="834"/>
      <c r="AT189" s="834"/>
      <c r="AU189" s="834"/>
      <c r="AV189" s="834"/>
      <c r="AW189" s="834"/>
      <c r="AX189" s="834"/>
      <c r="AY189" s="834"/>
      <c r="AZ189" s="834"/>
      <c r="BA189" s="834"/>
      <c r="BB189" s="834"/>
      <c r="BC189" s="834"/>
      <c r="BD189" s="834"/>
      <c r="BE189" s="834"/>
      <c r="BF189" s="834"/>
      <c r="BG189" s="547"/>
    </row>
    <row r="190" spans="5:60" ht="100" customHeight="1" thickTop="1" thickBot="1" x14ac:dyDescent="1.05">
      <c r="E190" s="578"/>
      <c r="F190" s="386"/>
      <c r="G190" s="386"/>
      <c r="H190" s="386"/>
      <c r="I190" s="386"/>
      <c r="J190" s="386"/>
      <c r="K190" s="386"/>
      <c r="L190" s="386"/>
      <c r="M190" s="386"/>
      <c r="N190" s="386"/>
      <c r="O190" s="386"/>
      <c r="P190" s="386"/>
      <c r="Q190" s="386"/>
      <c r="R190" s="386"/>
      <c r="S190" s="386"/>
      <c r="T190" s="386"/>
      <c r="U190" s="386"/>
      <c r="V190" s="720"/>
      <c r="W190" s="720"/>
      <c r="X190" s="720"/>
      <c r="Y190" s="720"/>
      <c r="Z190" s="720"/>
      <c r="AA190" s="720"/>
      <c r="AB190" s="720"/>
      <c r="AC190" s="720"/>
      <c r="AD190" s="720"/>
      <c r="AE190" s="720"/>
      <c r="AF190" s="720"/>
      <c r="AG190" s="720"/>
      <c r="AH190" s="720"/>
      <c r="AI190" s="574"/>
      <c r="AJ190" s="1015"/>
      <c r="AK190" s="1015"/>
      <c r="AL190" s="1015"/>
      <c r="AM190" s="1015"/>
      <c r="AN190" s="1015"/>
      <c r="AO190" s="1015"/>
      <c r="AP190" s="1028"/>
      <c r="AQ190" s="577"/>
      <c r="AR190" s="538"/>
      <c r="AS190" s="481"/>
      <c r="AT190" s="541"/>
      <c r="AU190" s="390"/>
      <c r="AV190" s="483"/>
      <c r="AW190" s="481"/>
      <c r="AX190" s="390"/>
      <c r="AY190" s="481"/>
      <c r="AZ190" s="541"/>
      <c r="BA190" s="390"/>
      <c r="BB190" s="483"/>
      <c r="BC190" s="481"/>
      <c r="BD190" s="390"/>
      <c r="BE190" s="481"/>
      <c r="BF190" s="546"/>
      <c r="BG190" s="514"/>
    </row>
    <row r="191" spans="5:60" ht="100" customHeight="1" thickTop="1" x14ac:dyDescent="1">
      <c r="E191" s="578"/>
      <c r="F191" s="568"/>
      <c r="G191" s="386"/>
      <c r="H191" s="1050" t="s">
        <v>27</v>
      </c>
      <c r="I191" s="1050"/>
      <c r="J191" s="386"/>
      <c r="K191" s="386"/>
      <c r="L191" s="386"/>
      <c r="M191" s="386"/>
      <c r="N191" s="598"/>
      <c r="O191" s="598"/>
      <c r="P191" s="598"/>
      <c r="Q191" s="598"/>
      <c r="R191" s="598"/>
      <c r="S191" s="598"/>
      <c r="T191" s="386"/>
      <c r="U191" s="386"/>
      <c r="V191" s="720"/>
      <c r="W191" s="720"/>
      <c r="X191" s="720"/>
      <c r="Y191" s="720"/>
      <c r="Z191" s="720"/>
      <c r="AA191" s="720"/>
      <c r="AB191" s="720"/>
      <c r="AC191" s="720"/>
      <c r="AD191" s="720"/>
      <c r="AE191" s="720"/>
      <c r="AF191" s="1051"/>
      <c r="AG191" s="1051"/>
      <c r="AH191" s="1052"/>
      <c r="AI191" s="1048"/>
      <c r="AJ191" s="1015"/>
      <c r="AK191" s="1015"/>
      <c r="AL191" s="1015"/>
      <c r="AM191" s="1015"/>
      <c r="AN191" s="1015"/>
      <c r="AO191" s="1015"/>
      <c r="AP191" s="1028"/>
      <c r="AQ191" s="578"/>
      <c r="AR191" s="532" t="s">
        <v>152</v>
      </c>
      <c r="AS191" s="489"/>
      <c r="AT191" s="615" t="s">
        <v>152</v>
      </c>
      <c r="AU191" s="507"/>
      <c r="AV191" s="491" t="s">
        <v>152</v>
      </c>
      <c r="AW191" s="489"/>
      <c r="AX191" s="507" t="s">
        <v>152</v>
      </c>
      <c r="AY191" s="489"/>
      <c r="AZ191" s="506" t="s">
        <v>152</v>
      </c>
      <c r="BA191" s="930"/>
      <c r="BB191" s="491" t="s">
        <v>152</v>
      </c>
      <c r="BC191" s="489"/>
      <c r="BD191" s="507" t="s">
        <v>152</v>
      </c>
      <c r="BE191" s="489"/>
      <c r="BF191" s="1077" t="s">
        <v>152</v>
      </c>
      <c r="BG191" s="514"/>
    </row>
    <row r="192" spans="5:60" ht="100" customHeight="1" thickBot="1" x14ac:dyDescent="1.05">
      <c r="E192" s="623"/>
      <c r="F192" s="688"/>
      <c r="G192" s="506"/>
      <c r="H192" s="727" t="s">
        <v>196</v>
      </c>
      <c r="I192" s="727"/>
      <c r="J192" s="386"/>
      <c r="K192" s="386"/>
      <c r="L192" s="386"/>
      <c r="M192" s="386"/>
      <c r="N192" s="598"/>
      <c r="O192" s="598"/>
      <c r="P192" s="598"/>
      <c r="Q192" s="598"/>
      <c r="R192" s="598"/>
      <c r="S192" s="598"/>
      <c r="T192" s="579"/>
      <c r="U192" s="579"/>
      <c r="V192" s="870"/>
      <c r="W192" s="870"/>
      <c r="X192" s="730"/>
      <c r="Y192" s="730"/>
      <c r="Z192" s="730"/>
      <c r="AA192" s="730"/>
      <c r="AB192" s="720"/>
      <c r="AC192" s="720"/>
      <c r="AD192" s="720"/>
      <c r="AE192" s="720"/>
      <c r="AF192" s="1051"/>
      <c r="AG192" s="1051"/>
      <c r="AH192" s="1052"/>
      <c r="AI192" s="1048"/>
      <c r="AJ192" s="1015"/>
      <c r="AK192" s="1015"/>
      <c r="AL192" s="1015"/>
      <c r="AM192" s="1015"/>
      <c r="AN192" s="1015"/>
      <c r="AO192" s="1015"/>
      <c r="AP192" s="1028"/>
      <c r="AQ192" s="578"/>
      <c r="AR192" s="532" t="s">
        <v>153</v>
      </c>
      <c r="AS192" s="489"/>
      <c r="AT192" s="615" t="s">
        <v>154</v>
      </c>
      <c r="AU192" s="507"/>
      <c r="AV192" s="491" t="s">
        <v>154</v>
      </c>
      <c r="AW192" s="489"/>
      <c r="AX192" s="507" t="s">
        <v>154</v>
      </c>
      <c r="AY192" s="489"/>
      <c r="AZ192" s="506" t="s">
        <v>154</v>
      </c>
      <c r="BA192" s="930"/>
      <c r="BB192" s="491" t="s">
        <v>154</v>
      </c>
      <c r="BC192" s="489"/>
      <c r="BD192" s="507" t="s">
        <v>154</v>
      </c>
      <c r="BE192" s="489"/>
      <c r="BF192" s="1077" t="s">
        <v>154</v>
      </c>
      <c r="BG192" s="514"/>
    </row>
    <row r="193" spans="2:60" ht="100" customHeight="1" thickTop="1" x14ac:dyDescent="1">
      <c r="D193" s="794"/>
      <c r="E193" s="547"/>
      <c r="F193" s="688"/>
      <c r="G193" s="506"/>
      <c r="H193" s="727" t="s">
        <v>198</v>
      </c>
      <c r="I193" s="727"/>
      <c r="J193" s="648"/>
      <c r="K193" s="648"/>
      <c r="L193" s="682"/>
      <c r="M193" s="682"/>
      <c r="N193" s="682"/>
      <c r="O193" s="682"/>
      <c r="P193" s="682"/>
      <c r="Q193" s="682"/>
      <c r="R193" s="682"/>
      <c r="S193" s="682"/>
      <c r="T193" s="682"/>
      <c r="U193" s="682"/>
      <c r="V193" s="1053"/>
      <c r="W193" s="1053"/>
      <c r="X193" s="730"/>
      <c r="Y193" s="730"/>
      <c r="Z193" s="730"/>
      <c r="AA193" s="730"/>
      <c r="AB193" s="737"/>
      <c r="AC193" s="737"/>
      <c r="AD193" s="1053"/>
      <c r="AE193" s="1053"/>
      <c r="AF193" s="1053"/>
      <c r="AG193" s="1053"/>
      <c r="AH193" s="1054"/>
      <c r="AI193" s="1008"/>
      <c r="AJ193" s="1021"/>
      <c r="AK193" s="1021"/>
      <c r="AL193" s="2111" t="s">
        <v>149</v>
      </c>
      <c r="AM193" s="2111"/>
      <c r="AN193" s="2111"/>
      <c r="AO193" s="1021"/>
      <c r="AP193" s="1049"/>
      <c r="AQ193" s="1048"/>
      <c r="AR193" s="532" t="s">
        <v>121</v>
      </c>
      <c r="AS193" s="489"/>
      <c r="AT193" s="615" t="s">
        <v>125</v>
      </c>
      <c r="AU193" s="507"/>
      <c r="AV193" s="491" t="s">
        <v>121</v>
      </c>
      <c r="AW193" s="489"/>
      <c r="AX193" s="507" t="s">
        <v>20</v>
      </c>
      <c r="AY193" s="489"/>
      <c r="AZ193" s="615" t="s">
        <v>20</v>
      </c>
      <c r="BA193" s="507"/>
      <c r="BB193" s="491" t="s">
        <v>121</v>
      </c>
      <c r="BC193" s="489"/>
      <c r="BD193" s="507" t="s">
        <v>121</v>
      </c>
      <c r="BE193" s="489"/>
      <c r="BF193" s="1077" t="s">
        <v>121</v>
      </c>
      <c r="BG193" s="514"/>
    </row>
    <row r="194" spans="2:60" ht="100" customHeight="1" x14ac:dyDescent="1">
      <c r="D194" s="794"/>
      <c r="E194" s="547"/>
      <c r="F194" s="568"/>
      <c r="G194" s="386"/>
      <c r="H194" s="1055">
        <f>3500+3500+2100+2100</f>
        <v>11200</v>
      </c>
      <c r="I194" s="1055"/>
      <c r="J194" s="780"/>
      <c r="K194" s="780"/>
      <c r="L194" s="780"/>
      <c r="M194" s="780"/>
      <c r="N194" s="780"/>
      <c r="O194" s="780"/>
      <c r="P194" s="682"/>
      <c r="Q194" s="682"/>
      <c r="R194" s="682"/>
      <c r="S194" s="682"/>
      <c r="T194" s="780"/>
      <c r="U194" s="780"/>
      <c r="V194" s="1056"/>
      <c r="W194" s="1056"/>
      <c r="X194" s="720"/>
      <c r="Y194" s="720"/>
      <c r="Z194" s="720"/>
      <c r="AA194" s="720"/>
      <c r="AB194" s="1056"/>
      <c r="AC194" s="1056"/>
      <c r="AD194" s="1056"/>
      <c r="AE194" s="1056"/>
      <c r="AF194" s="1056"/>
      <c r="AG194" s="1056"/>
      <c r="AH194" s="1054"/>
      <c r="AI194" s="1008"/>
      <c r="AJ194" s="1023"/>
      <c r="AK194" s="1023"/>
      <c r="AL194" s="1023"/>
      <c r="AM194" s="1023"/>
      <c r="AN194" s="1023"/>
      <c r="AO194" s="1023"/>
      <c r="AP194" s="1028"/>
      <c r="AQ194" s="578"/>
      <c r="AR194" s="532">
        <v>300</v>
      </c>
      <c r="AS194" s="489"/>
      <c r="AT194" s="615">
        <v>500</v>
      </c>
      <c r="AU194" s="507"/>
      <c r="AV194" s="491">
        <v>300</v>
      </c>
      <c r="AW194" s="489"/>
      <c r="AX194" s="507">
        <v>450</v>
      </c>
      <c r="AY194" s="489"/>
      <c r="AZ194" s="1057">
        <v>450</v>
      </c>
      <c r="BA194" s="507"/>
      <c r="BB194" s="491">
        <v>300</v>
      </c>
      <c r="BC194" s="489"/>
      <c r="BD194" s="507">
        <v>300</v>
      </c>
      <c r="BE194" s="489"/>
      <c r="BF194" s="1077">
        <v>300</v>
      </c>
      <c r="BG194" s="514"/>
    </row>
    <row r="195" spans="2:60" ht="100" customHeight="1" x14ac:dyDescent="1">
      <c r="D195" s="794"/>
      <c r="E195" s="547"/>
      <c r="F195" s="568"/>
      <c r="G195" s="386"/>
      <c r="H195" s="386"/>
      <c r="I195" s="386"/>
      <c r="J195" s="386"/>
      <c r="K195" s="386"/>
      <c r="L195" s="386"/>
      <c r="M195" s="386"/>
      <c r="N195" s="598"/>
      <c r="O195" s="598"/>
      <c r="P195" s="598"/>
      <c r="Q195" s="598"/>
      <c r="R195" s="682"/>
      <c r="S195" s="682"/>
      <c r="T195" s="386"/>
      <c r="U195" s="386"/>
      <c r="V195" s="720"/>
      <c r="W195" s="720"/>
      <c r="X195" s="720"/>
      <c r="Y195" s="720"/>
      <c r="Z195" s="720"/>
      <c r="AA195" s="720"/>
      <c r="AB195" s="720"/>
      <c r="AC195" s="720"/>
      <c r="AD195" s="720"/>
      <c r="AE195" s="720"/>
      <c r="AF195" s="1051"/>
      <c r="AG195" s="1051"/>
      <c r="AH195" s="1052"/>
      <c r="AI195" s="1048"/>
      <c r="AJ195" s="1015"/>
      <c r="AK195" s="1015"/>
      <c r="AL195" s="1015"/>
      <c r="AM195" s="1015"/>
      <c r="AN195" s="1015"/>
      <c r="AO195" s="1015"/>
      <c r="AP195" s="1028"/>
      <c r="AQ195" s="578"/>
      <c r="AR195" s="538"/>
      <c r="AS195" s="481"/>
      <c r="AT195" s="541"/>
      <c r="AU195" s="390"/>
      <c r="AV195" s="483"/>
      <c r="AW195" s="481"/>
      <c r="AX195" s="390"/>
      <c r="AY195" s="481"/>
      <c r="AZ195" s="1058"/>
      <c r="BA195" s="543"/>
      <c r="BB195" s="544"/>
      <c r="BC195" s="545"/>
      <c r="BD195" s="390"/>
      <c r="BE195" s="481"/>
      <c r="BF195" s="546"/>
      <c r="BG195" s="514"/>
    </row>
    <row r="196" spans="2:60" ht="100" customHeight="1" thickBot="1" x14ac:dyDescent="1.05">
      <c r="D196" s="794"/>
      <c r="E196" s="547"/>
      <c r="F196" s="569"/>
      <c r="G196" s="570"/>
      <c r="H196" s="570"/>
      <c r="I196" s="570"/>
      <c r="J196" s="570"/>
      <c r="K196" s="570"/>
      <c r="L196" s="570"/>
      <c r="M196" s="570"/>
      <c r="N196" s="570"/>
      <c r="O196" s="570"/>
      <c r="P196" s="570"/>
      <c r="Q196" s="570"/>
      <c r="R196" s="570"/>
      <c r="S196" s="570"/>
      <c r="T196" s="570"/>
      <c r="U196" s="570"/>
      <c r="V196" s="1059"/>
      <c r="W196" s="1059"/>
      <c r="X196" s="1059"/>
      <c r="Y196" s="1059"/>
      <c r="Z196" s="1059"/>
      <c r="AA196" s="1059"/>
      <c r="AB196" s="1059"/>
      <c r="AC196" s="1059"/>
      <c r="AD196" s="1059"/>
      <c r="AE196" s="1059"/>
      <c r="AF196" s="1059"/>
      <c r="AG196" s="1059"/>
      <c r="AH196" s="1060"/>
      <c r="AI196" s="623"/>
      <c r="AJ196" s="1026"/>
      <c r="AK196" s="1026"/>
      <c r="AL196" s="1026"/>
      <c r="AM196" s="1027"/>
      <c r="AN196" s="1028"/>
      <c r="AO196" s="1015"/>
      <c r="AP196" s="1028"/>
      <c r="AQ196" s="578"/>
      <c r="AR196" s="538"/>
      <c r="AS196" s="1045"/>
      <c r="AT196" s="1061"/>
      <c r="AU196" s="390"/>
      <c r="AV196" s="483"/>
      <c r="AW196" s="386"/>
      <c r="AX196" s="957"/>
      <c r="AY196" s="386"/>
      <c r="AZ196" s="386"/>
      <c r="BA196" s="386"/>
      <c r="BB196" s="483"/>
      <c r="BC196" s="1045"/>
      <c r="BD196" s="390"/>
      <c r="BE196" s="386"/>
      <c r="BF196" s="546"/>
      <c r="BG196" s="514"/>
    </row>
    <row r="197" spans="2:60" ht="10" customHeight="1" thickTop="1" thickBot="1" x14ac:dyDescent="1.05">
      <c r="D197" s="408"/>
      <c r="E197" s="574"/>
      <c r="F197" s="575"/>
      <c r="G197" s="519"/>
      <c r="H197" s="519"/>
      <c r="I197" s="519"/>
      <c r="J197" s="519"/>
      <c r="K197" s="519"/>
      <c r="L197" s="519"/>
      <c r="M197" s="519"/>
      <c r="N197" s="519"/>
      <c r="O197" s="519"/>
      <c r="P197" s="519"/>
      <c r="Q197" s="519"/>
      <c r="R197" s="519"/>
      <c r="S197" s="519"/>
      <c r="T197" s="519"/>
      <c r="U197" s="519"/>
      <c r="V197" s="519"/>
      <c r="W197" s="519"/>
      <c r="X197" s="519"/>
      <c r="Y197" s="519"/>
      <c r="Z197" s="519"/>
      <c r="AA197" s="519"/>
      <c r="AB197" s="519"/>
      <c r="AC197" s="519"/>
      <c r="AD197" s="519"/>
      <c r="AE197" s="519"/>
      <c r="AF197" s="519"/>
      <c r="AG197" s="519"/>
      <c r="AH197" s="519"/>
      <c r="AI197" s="576"/>
      <c r="AJ197" s="1062"/>
      <c r="AK197" s="1032"/>
      <c r="AL197" s="1063"/>
      <c r="AM197" s="1064"/>
      <c r="AN197" s="1065"/>
      <c r="AO197" s="1066"/>
      <c r="AP197" s="1066"/>
      <c r="AQ197" s="574"/>
      <c r="AR197" s="575"/>
      <c r="AS197" s="561"/>
      <c r="AT197" s="561"/>
      <c r="AU197" s="561"/>
      <c r="AV197" s="561"/>
      <c r="AW197" s="561"/>
      <c r="AX197" s="561"/>
      <c r="AY197" s="561"/>
      <c r="AZ197" s="561"/>
      <c r="BA197" s="561"/>
      <c r="BB197" s="561"/>
      <c r="BC197" s="561"/>
      <c r="BD197" s="575"/>
      <c r="BE197" s="561"/>
      <c r="BF197" s="576"/>
      <c r="BG197" s="514"/>
    </row>
    <row r="198" spans="2:60" ht="270" customHeight="1" thickTop="1" x14ac:dyDescent="1">
      <c r="BF198" s="408"/>
      <c r="BG198" s="521"/>
    </row>
    <row r="199" spans="2:60" s="1454" customFormat="1" ht="190" customHeight="1" x14ac:dyDescent="1.2">
      <c r="C199" s="1453"/>
      <c r="E199" s="1434" t="s">
        <v>173</v>
      </c>
      <c r="F199" s="1455"/>
      <c r="G199" s="1455"/>
      <c r="H199" s="1455"/>
      <c r="I199" s="1455"/>
      <c r="J199" s="1455"/>
      <c r="K199" s="1455"/>
      <c r="L199" s="1455"/>
      <c r="M199" s="1455"/>
      <c r="N199" s="1455"/>
      <c r="O199" s="1455"/>
      <c r="P199" s="1455"/>
      <c r="Q199" s="1455"/>
      <c r="R199" s="1455"/>
      <c r="S199" s="1455"/>
      <c r="T199" s="1455"/>
      <c r="U199" s="1455"/>
      <c r="V199" s="1455"/>
      <c r="W199" s="1455"/>
      <c r="X199" s="1455"/>
      <c r="Y199" s="1455"/>
      <c r="Z199" s="1455"/>
      <c r="AA199" s="1455"/>
      <c r="AB199" s="1455"/>
      <c r="AC199" s="1455"/>
      <c r="AD199" s="1455"/>
      <c r="AE199" s="1455"/>
      <c r="AF199" s="1455"/>
      <c r="AG199" s="1455"/>
      <c r="AH199" s="1455"/>
      <c r="AI199" s="1455"/>
      <c r="AJ199" s="1455"/>
      <c r="AK199" s="1455"/>
      <c r="AL199" s="1455"/>
      <c r="AM199" s="1455"/>
      <c r="AN199" s="1455"/>
      <c r="AO199" s="1455"/>
      <c r="AP199" s="1455"/>
      <c r="AQ199" s="1455"/>
      <c r="AR199" s="1455"/>
      <c r="AS199" s="1455"/>
      <c r="AT199" s="1455"/>
      <c r="AU199" s="1455"/>
      <c r="AV199" s="1455"/>
      <c r="AW199" s="1455"/>
      <c r="AX199" s="1455"/>
      <c r="AY199" s="1455"/>
      <c r="AZ199" s="1455"/>
      <c r="BA199" s="1455"/>
      <c r="BB199" s="1455"/>
      <c r="BC199" s="1455"/>
      <c r="BD199" s="1455"/>
      <c r="BE199" s="1455"/>
      <c r="BF199" s="1435"/>
      <c r="BG199" s="1435"/>
      <c r="BH199" s="1435"/>
    </row>
    <row r="200" spans="2:60" s="1426" customFormat="1" ht="100" customHeight="1" x14ac:dyDescent="1.2">
      <c r="C200" s="1431"/>
      <c r="AR200" s="1429"/>
      <c r="AS200" s="1429"/>
      <c r="AT200" s="1429"/>
      <c r="AU200" s="1429"/>
      <c r="AV200" s="1429"/>
      <c r="AW200" s="1429"/>
      <c r="AX200" s="1429"/>
      <c r="AY200" s="1429"/>
      <c r="AZ200" s="1429"/>
      <c r="BA200" s="1429"/>
      <c r="BB200" s="1429"/>
      <c r="BC200" s="1429"/>
      <c r="BD200" s="1429"/>
      <c r="BE200" s="1429"/>
      <c r="BF200" s="1429"/>
    </row>
    <row r="201" spans="2:60" s="1426" customFormat="1" ht="100" customHeight="1" x14ac:dyDescent="1.2">
      <c r="C201" s="1431"/>
      <c r="E201" s="1436" t="s">
        <v>174</v>
      </c>
    </row>
    <row r="202" spans="2:60" s="1426" customFormat="1" ht="100" customHeight="1" x14ac:dyDescent="1.2">
      <c r="C202" s="1431"/>
      <c r="E202" s="1429" t="s">
        <v>214</v>
      </c>
      <c r="F202" s="1429"/>
      <c r="G202" s="1429"/>
      <c r="AL202" s="1429" t="s">
        <v>215</v>
      </c>
    </row>
    <row r="203" spans="2:60" s="1426" customFormat="1" ht="100" customHeight="1" x14ac:dyDescent="1.2">
      <c r="C203" s="1431"/>
      <c r="E203" s="1426" t="s">
        <v>141</v>
      </c>
      <c r="AL203" s="1426" t="s">
        <v>141</v>
      </c>
    </row>
    <row r="204" spans="2:60" ht="100" customHeight="1" thickBot="1" x14ac:dyDescent="1.05">
      <c r="B204" s="356"/>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c r="AA204" s="356"/>
      <c r="AB204" s="356"/>
      <c r="AK204" s="356"/>
      <c r="AL204" s="356"/>
      <c r="AM204" s="356"/>
      <c r="AN204" s="356"/>
      <c r="AO204" s="356"/>
      <c r="AP204" s="356"/>
      <c r="AQ204" s="356"/>
      <c r="AR204" s="356"/>
      <c r="AS204" s="356"/>
      <c r="AT204" s="356"/>
      <c r="AU204" s="356"/>
      <c r="AV204" s="356"/>
      <c r="AW204" s="356"/>
      <c r="AX204" s="356"/>
      <c r="AY204" s="356"/>
      <c r="AZ204" s="356"/>
      <c r="BA204" s="356"/>
      <c r="BB204" s="408"/>
      <c r="BC204" s="408"/>
      <c r="BD204" s="408"/>
      <c r="BE204" s="408"/>
      <c r="BF204" s="408"/>
    </row>
    <row r="205" spans="2:60" ht="10" customHeight="1" thickTop="1" thickBot="1" x14ac:dyDescent="1.05">
      <c r="B205" s="356"/>
      <c r="C205" s="356"/>
      <c r="D205" s="356"/>
      <c r="E205" s="574"/>
      <c r="F205" s="561"/>
      <c r="G205" s="561"/>
      <c r="H205" s="561"/>
      <c r="I205" s="561"/>
      <c r="J205" s="561"/>
      <c r="K205" s="561"/>
      <c r="L205" s="561"/>
      <c r="M205" s="561"/>
      <c r="N205" s="561"/>
      <c r="O205" s="561"/>
      <c r="P205" s="561"/>
      <c r="Q205" s="576"/>
      <c r="R205" s="561"/>
      <c r="S205" s="561"/>
      <c r="T205" s="561"/>
      <c r="U205" s="574"/>
      <c r="V205" s="356"/>
      <c r="W205" s="356"/>
      <c r="X205" s="356"/>
      <c r="Y205" s="356"/>
      <c r="Z205" s="356"/>
      <c r="AA205" s="356"/>
      <c r="AB205" s="356"/>
      <c r="AJ205" s="356"/>
      <c r="AK205" s="574"/>
      <c r="AL205" s="561"/>
      <c r="AM205" s="561"/>
      <c r="AN205" s="561"/>
      <c r="AO205" s="576"/>
      <c r="AP205" s="561"/>
      <c r="AQ205" s="561"/>
      <c r="AR205" s="561"/>
      <c r="AS205" s="561"/>
      <c r="AT205" s="575"/>
      <c r="AU205" s="561"/>
      <c r="AV205" s="561"/>
      <c r="AW205" s="561"/>
      <c r="AX205" s="574"/>
      <c r="AY205" s="575"/>
      <c r="AZ205" s="561"/>
      <c r="BA205" s="576"/>
      <c r="BB205" s="356"/>
      <c r="BC205" s="356"/>
      <c r="BD205" s="356"/>
      <c r="BE205" s="356"/>
      <c r="BF205" s="356"/>
      <c r="BG205" s="356"/>
      <c r="BH205" s="356"/>
    </row>
    <row r="206" spans="2:60" ht="100" customHeight="1" thickTop="1" thickBot="1" x14ac:dyDescent="1.05">
      <c r="B206" s="356"/>
      <c r="C206" s="356"/>
      <c r="D206" s="356"/>
      <c r="E206" s="577"/>
      <c r="F206" s="563"/>
      <c r="G206" s="564"/>
      <c r="H206" s="527"/>
      <c r="I206" s="564"/>
      <c r="J206" s="564"/>
      <c r="K206" s="564"/>
      <c r="L206" s="564"/>
      <c r="M206" s="527"/>
      <c r="N206" s="564"/>
      <c r="O206" s="527"/>
      <c r="P206" s="2125" t="s">
        <v>208</v>
      </c>
      <c r="Q206" s="564"/>
      <c r="R206" s="564"/>
      <c r="S206" s="564"/>
      <c r="T206" s="531"/>
      <c r="U206" s="577"/>
      <c r="V206" s="1067"/>
      <c r="W206" s="356"/>
      <c r="X206" s="356"/>
      <c r="Y206" s="356"/>
      <c r="Z206" s="356"/>
      <c r="AA206" s="356"/>
      <c r="AB206" s="356"/>
      <c r="AJ206" s="356"/>
      <c r="AK206" s="577"/>
      <c r="AL206" s="1068"/>
      <c r="AM206" s="564"/>
      <c r="AN206" s="968"/>
      <c r="AO206" s="1038"/>
      <c r="AP206" s="528"/>
      <c r="AQ206" s="564"/>
      <c r="AR206" s="1069"/>
      <c r="AS206" s="609"/>
      <c r="AT206" s="1070"/>
      <c r="AU206" s="527"/>
      <c r="AV206" s="2128" t="s">
        <v>208</v>
      </c>
      <c r="AW206" s="564"/>
      <c r="AX206" s="1944" t="s">
        <v>26</v>
      </c>
      <c r="AY206" s="1944"/>
      <c r="AZ206" s="2131"/>
      <c r="BA206" s="511"/>
      <c r="BB206" s="1067"/>
      <c r="BC206" s="1071"/>
      <c r="BD206" s="1072"/>
      <c r="BE206" s="1072"/>
      <c r="BF206" s="1073"/>
      <c r="BG206" s="356"/>
      <c r="BH206" s="356"/>
    </row>
    <row r="207" spans="2:60" ht="100" customHeight="1" thickTop="1" x14ac:dyDescent="1">
      <c r="B207" s="356"/>
      <c r="C207" s="356"/>
      <c r="D207" s="356"/>
      <c r="E207" s="578"/>
      <c r="F207" s="1875" t="s">
        <v>132</v>
      </c>
      <c r="G207" s="1867"/>
      <c r="H207" s="1869"/>
      <c r="I207" s="506"/>
      <c r="J207" s="1956" t="s">
        <v>132</v>
      </c>
      <c r="K207" s="1890"/>
      <c r="L207" s="2042"/>
      <c r="M207" s="506"/>
      <c r="N207" s="689" t="s">
        <v>132</v>
      </c>
      <c r="O207" s="566"/>
      <c r="P207" s="2126"/>
      <c r="Q207" s="579"/>
      <c r="R207" s="584" t="s">
        <v>199</v>
      </c>
      <c r="S207" s="584"/>
      <c r="T207" s="585"/>
      <c r="U207" s="1074"/>
      <c r="V207" s="1067"/>
      <c r="W207" s="573"/>
      <c r="X207" s="1075"/>
      <c r="Y207" s="1076"/>
      <c r="Z207" s="1076"/>
      <c r="AA207" s="573"/>
      <c r="AB207" s="356"/>
      <c r="AJ207" s="356"/>
      <c r="AK207" s="578"/>
      <c r="AL207" s="587" t="s">
        <v>152</v>
      </c>
      <c r="AM207" s="506"/>
      <c r="AN207" s="689" t="s">
        <v>152</v>
      </c>
      <c r="AO207" s="645"/>
      <c r="AP207" s="491" t="s">
        <v>152</v>
      </c>
      <c r="AQ207" s="489"/>
      <c r="AR207" s="507" t="s">
        <v>152</v>
      </c>
      <c r="AS207" s="489"/>
      <c r="AT207" s="506" t="s">
        <v>152</v>
      </c>
      <c r="AU207" s="566"/>
      <c r="AV207" s="2129"/>
      <c r="AW207" s="579"/>
      <c r="AX207" s="1867" t="s">
        <v>121</v>
      </c>
      <c r="AY207" s="1867"/>
      <c r="AZ207" s="1920"/>
      <c r="BA207" s="565"/>
      <c r="BB207" s="1067"/>
      <c r="BC207" s="1071"/>
      <c r="BD207" s="1072"/>
      <c r="BE207" s="1072"/>
      <c r="BF207" s="1073"/>
      <c r="BG207" s="356"/>
      <c r="BH207" s="356"/>
    </row>
    <row r="208" spans="2:60" ht="100" customHeight="1" x14ac:dyDescent="1">
      <c r="B208" s="356"/>
      <c r="C208" s="356"/>
      <c r="D208" s="356"/>
      <c r="E208" s="578"/>
      <c r="F208" s="1875" t="s">
        <v>153</v>
      </c>
      <c r="G208" s="1867"/>
      <c r="H208" s="1869"/>
      <c r="I208" s="506"/>
      <c r="J208" s="1886" t="s">
        <v>153</v>
      </c>
      <c r="K208" s="1867"/>
      <c r="L208" s="1868"/>
      <c r="M208" s="645"/>
      <c r="N208" s="506" t="s">
        <v>153</v>
      </c>
      <c r="O208" s="566"/>
      <c r="P208" s="2126"/>
      <c r="Q208" s="579"/>
      <c r="R208" s="584" t="s">
        <v>121</v>
      </c>
      <c r="S208" s="584"/>
      <c r="T208" s="585"/>
      <c r="U208" s="1074"/>
      <c r="V208" s="1067"/>
      <c r="W208" s="573"/>
      <c r="X208" s="1076"/>
      <c r="Y208" s="1076"/>
      <c r="Z208" s="1076"/>
      <c r="AA208" s="573"/>
      <c r="AB208" s="356"/>
      <c r="AJ208" s="356"/>
      <c r="AK208" s="578"/>
      <c r="AL208" s="587" t="s">
        <v>153</v>
      </c>
      <c r="AM208" s="506"/>
      <c r="AN208" s="489" t="s">
        <v>154</v>
      </c>
      <c r="AO208" s="507"/>
      <c r="AP208" s="491" t="s">
        <v>154</v>
      </c>
      <c r="AQ208" s="489"/>
      <c r="AR208" s="507" t="s">
        <v>154</v>
      </c>
      <c r="AS208" s="489"/>
      <c r="AT208" s="506" t="s">
        <v>154</v>
      </c>
      <c r="AU208" s="566"/>
      <c r="AV208" s="2129"/>
      <c r="AW208" s="579"/>
      <c r="AX208" s="1867">
        <v>300</v>
      </c>
      <c r="AY208" s="1867"/>
      <c r="AZ208" s="1920"/>
      <c r="BA208" s="565"/>
      <c r="BB208" s="1067"/>
      <c r="BC208" s="1071"/>
      <c r="BD208" s="1072"/>
      <c r="BE208" s="1072"/>
      <c r="BF208" s="1073"/>
      <c r="BG208" s="356"/>
      <c r="BH208" s="356"/>
    </row>
    <row r="209" spans="2:60" ht="100" customHeight="1" x14ac:dyDescent="1">
      <c r="B209" s="356"/>
      <c r="C209" s="356"/>
      <c r="D209" s="356"/>
      <c r="E209" s="578"/>
      <c r="F209" s="1875" t="s">
        <v>20</v>
      </c>
      <c r="G209" s="1867"/>
      <c r="H209" s="1869"/>
      <c r="I209" s="506"/>
      <c r="J209" s="1886" t="s">
        <v>125</v>
      </c>
      <c r="K209" s="1867"/>
      <c r="L209" s="1868"/>
      <c r="M209" s="645"/>
      <c r="N209" s="506" t="s">
        <v>121</v>
      </c>
      <c r="O209" s="507"/>
      <c r="P209" s="2126"/>
      <c r="Q209" s="579"/>
      <c r="R209" s="584">
        <v>800</v>
      </c>
      <c r="S209" s="584"/>
      <c r="T209" s="585"/>
      <c r="U209" s="1041"/>
      <c r="V209" s="1067"/>
      <c r="W209" s="573"/>
      <c r="X209" s="1076"/>
      <c r="Y209" s="1076"/>
      <c r="Z209" s="1076"/>
      <c r="AA209" s="1370"/>
      <c r="AB209" s="356"/>
      <c r="AJ209" s="356"/>
      <c r="AK209" s="578"/>
      <c r="AL209" s="587" t="s">
        <v>121</v>
      </c>
      <c r="AM209" s="506"/>
      <c r="AN209" s="489" t="s">
        <v>125</v>
      </c>
      <c r="AO209" s="507"/>
      <c r="AP209" s="491" t="s">
        <v>121</v>
      </c>
      <c r="AQ209" s="489"/>
      <c r="AR209" s="507" t="s">
        <v>20</v>
      </c>
      <c r="AS209" s="489"/>
      <c r="AT209" s="615" t="s">
        <v>20</v>
      </c>
      <c r="AU209" s="507"/>
      <c r="AV209" s="2129"/>
      <c r="AW209" s="616"/>
      <c r="AX209" s="1898" t="s">
        <v>26</v>
      </c>
      <c r="AY209" s="1898"/>
      <c r="AZ209" s="2133"/>
      <c r="BA209" s="588"/>
      <c r="BB209" s="1067"/>
      <c r="BC209" s="1071"/>
      <c r="BD209" s="1072"/>
      <c r="BE209" s="1072"/>
      <c r="BF209" s="1073"/>
      <c r="BG209" s="356"/>
      <c r="BH209" s="356"/>
    </row>
    <row r="210" spans="2:60" ht="100" customHeight="1" thickBot="1" x14ac:dyDescent="1.05">
      <c r="B210" s="356"/>
      <c r="C210" s="356"/>
      <c r="D210" s="356"/>
      <c r="E210" s="578"/>
      <c r="F210" s="1871">
        <v>1100</v>
      </c>
      <c r="G210" s="1867"/>
      <c r="H210" s="1869"/>
      <c r="I210" s="506"/>
      <c r="J210" s="1886">
        <v>800</v>
      </c>
      <c r="K210" s="1867"/>
      <c r="L210" s="1868"/>
      <c r="M210" s="506"/>
      <c r="N210" s="689">
        <v>800</v>
      </c>
      <c r="O210" s="507"/>
      <c r="P210" s="2126"/>
      <c r="Q210" s="1078"/>
      <c r="R210" s="614"/>
      <c r="S210" s="590"/>
      <c r="T210" s="591"/>
      <c r="U210" s="1041"/>
      <c r="V210" s="1067"/>
      <c r="W210" s="573"/>
      <c r="X210" s="573"/>
      <c r="Y210" s="1072"/>
      <c r="Z210" s="1072"/>
      <c r="AA210" s="1370"/>
      <c r="AB210" s="356"/>
      <c r="AC210" s="408"/>
      <c r="AD210" s="358"/>
      <c r="AE210" s="358"/>
      <c r="AJ210" s="356"/>
      <c r="AK210" s="578"/>
      <c r="AL210" s="587">
        <v>300</v>
      </c>
      <c r="AM210" s="506"/>
      <c r="AN210" s="489">
        <v>500</v>
      </c>
      <c r="AO210" s="507"/>
      <c r="AP210" s="491">
        <v>300</v>
      </c>
      <c r="AQ210" s="489"/>
      <c r="AR210" s="507">
        <v>450</v>
      </c>
      <c r="AS210" s="489"/>
      <c r="AT210" s="1057">
        <v>450</v>
      </c>
      <c r="AU210" s="507"/>
      <c r="AV210" s="2129"/>
      <c r="AW210" s="579"/>
      <c r="AX210" s="1867" t="s">
        <v>20</v>
      </c>
      <c r="AY210" s="1867"/>
      <c r="AZ210" s="1920"/>
      <c r="BA210" s="588"/>
      <c r="BB210" s="1067"/>
      <c r="BC210" s="1071"/>
      <c r="BD210" s="1072"/>
      <c r="BE210" s="1072"/>
      <c r="BF210" s="1073"/>
      <c r="BG210" s="356"/>
      <c r="BH210" s="356"/>
    </row>
    <row r="211" spans="2:60" ht="100" customHeight="1" thickTop="1" thickBot="1" x14ac:dyDescent="1.05">
      <c r="B211" s="356"/>
      <c r="C211" s="356"/>
      <c r="D211" s="356"/>
      <c r="E211" s="577"/>
      <c r="F211" s="568"/>
      <c r="G211" s="386"/>
      <c r="H211" s="390"/>
      <c r="I211" s="386"/>
      <c r="J211" s="592"/>
      <c r="K211" s="593"/>
      <c r="L211" s="594"/>
      <c r="M211" s="386"/>
      <c r="N211" s="484"/>
      <c r="O211" s="390"/>
      <c r="P211" s="2126"/>
      <c r="Q211" s="1079"/>
      <c r="R211" s="579"/>
      <c r="S211" s="579"/>
      <c r="T211" s="581"/>
      <c r="U211" s="578"/>
      <c r="V211" s="1067"/>
      <c r="W211" s="573"/>
      <c r="X211" s="573"/>
      <c r="Y211" s="1072"/>
      <c r="Z211" s="1072"/>
      <c r="AA211" s="356"/>
      <c r="AB211" s="356"/>
      <c r="AJ211" s="356"/>
      <c r="AK211" s="577"/>
      <c r="AL211" s="482"/>
      <c r="AM211" s="386"/>
      <c r="AN211" s="481"/>
      <c r="AO211" s="390"/>
      <c r="AP211" s="483"/>
      <c r="AQ211" s="386"/>
      <c r="AR211" s="390"/>
      <c r="AS211" s="481"/>
      <c r="AT211" s="1058"/>
      <c r="AU211" s="390"/>
      <c r="AV211" s="2129"/>
      <c r="AW211" s="579"/>
      <c r="AX211" s="1940">
        <v>450</v>
      </c>
      <c r="AY211" s="1940"/>
      <c r="AZ211" s="2132"/>
      <c r="BA211" s="560"/>
      <c r="BB211" s="1067"/>
      <c r="BC211" s="1071"/>
      <c r="BD211" s="1072"/>
      <c r="BE211" s="1072"/>
      <c r="BF211" s="1073"/>
      <c r="BG211" s="356"/>
      <c r="BH211" s="356"/>
    </row>
    <row r="212" spans="2:60" ht="100" customHeight="1" thickTop="1" thickBot="1" x14ac:dyDescent="1.05">
      <c r="B212" s="356"/>
      <c r="C212" s="356"/>
      <c r="D212" s="356"/>
      <c r="E212" s="623"/>
      <c r="F212" s="568"/>
      <c r="G212" s="386"/>
      <c r="H212" s="390"/>
      <c r="I212" s="484"/>
      <c r="J212" s="386"/>
      <c r="K212" s="386"/>
      <c r="L212" s="386"/>
      <c r="M212" s="386"/>
      <c r="N212" s="484"/>
      <c r="O212" s="464"/>
      <c r="P212" s="2126"/>
      <c r="Q212" s="579"/>
      <c r="R212" s="602" t="s">
        <v>199</v>
      </c>
      <c r="S212" s="602"/>
      <c r="T212" s="603"/>
      <c r="U212" s="1041"/>
      <c r="V212" s="1067"/>
      <c r="W212" s="573"/>
      <c r="X212" s="1370"/>
      <c r="Y212" s="1072"/>
      <c r="Z212" s="1072"/>
      <c r="AA212" s="1370"/>
      <c r="AB212" s="356"/>
      <c r="AJ212" s="356"/>
      <c r="AK212" s="578"/>
      <c r="AL212" s="1080"/>
      <c r="AM212" s="1081"/>
      <c r="AN212" s="1082"/>
      <c r="AO212" s="464"/>
      <c r="AP212" s="1083"/>
      <c r="AQ212" s="461"/>
      <c r="AR212" s="1084"/>
      <c r="AS212" s="461"/>
      <c r="AT212" s="461"/>
      <c r="AU212" s="464"/>
      <c r="AV212" s="2129"/>
      <c r="AW212" s="616"/>
      <c r="AX212" s="1867" t="s">
        <v>26</v>
      </c>
      <c r="AY212" s="1867"/>
      <c r="AZ212" s="1920"/>
      <c r="BA212" s="588"/>
      <c r="BB212" s="1067"/>
      <c r="BC212" s="1071"/>
      <c r="BD212" s="1072"/>
      <c r="BE212" s="1072"/>
      <c r="BF212" s="1073"/>
      <c r="BG212" s="356"/>
      <c r="BH212" s="356"/>
    </row>
    <row r="213" spans="2:60" ht="100" customHeight="1" thickTop="1" x14ac:dyDescent="1">
      <c r="B213" s="356"/>
      <c r="C213" s="356"/>
      <c r="D213" s="356"/>
      <c r="E213" s="1085"/>
      <c r="F213" s="2035" t="s">
        <v>209</v>
      </c>
      <c r="G213" s="2036"/>
      <c r="H213" s="2036"/>
      <c r="I213" s="2036"/>
      <c r="J213" s="2036"/>
      <c r="K213" s="2036"/>
      <c r="L213" s="2036"/>
      <c r="M213" s="2036"/>
      <c r="N213" s="2134"/>
      <c r="O213" s="1086"/>
      <c r="P213" s="2226"/>
      <c r="Q213" s="579"/>
      <c r="R213" s="607" t="s">
        <v>121</v>
      </c>
      <c r="S213" s="607"/>
      <c r="T213" s="608"/>
      <c r="U213" s="1041"/>
      <c r="V213" s="1067"/>
      <c r="W213" s="573"/>
      <c r="X213" s="1072"/>
      <c r="Y213" s="1072"/>
      <c r="Z213" s="1072"/>
      <c r="AA213" s="1370"/>
      <c r="AB213" s="356"/>
      <c r="AJ213" s="356"/>
      <c r="AK213" s="601"/>
      <c r="AL213" s="1917" t="s">
        <v>209</v>
      </c>
      <c r="AM213" s="1990"/>
      <c r="AN213" s="1990"/>
      <c r="AO213" s="1990"/>
      <c r="AP213" s="1990"/>
      <c r="AQ213" s="1990"/>
      <c r="AR213" s="1990"/>
      <c r="AS213" s="1990"/>
      <c r="AT213" s="1990"/>
      <c r="AU213" s="1990"/>
      <c r="AV213" s="2129"/>
      <c r="AW213" s="579"/>
      <c r="AX213" s="1867" t="s">
        <v>121</v>
      </c>
      <c r="AY213" s="1867"/>
      <c r="AZ213" s="1920"/>
      <c r="BA213" s="588"/>
      <c r="BB213" s="1067"/>
      <c r="BC213" s="1071"/>
      <c r="BD213" s="1072"/>
      <c r="BE213" s="1072"/>
      <c r="BF213" s="1073"/>
      <c r="BG213" s="356"/>
      <c r="BH213" s="356"/>
    </row>
    <row r="214" spans="2:60" ht="100" customHeight="1" thickBot="1" x14ac:dyDescent="1.05">
      <c r="B214" s="356"/>
      <c r="C214" s="356"/>
      <c r="D214" s="356"/>
      <c r="E214" s="1087"/>
      <c r="F214" s="2037"/>
      <c r="G214" s="2038"/>
      <c r="H214" s="2038"/>
      <c r="I214" s="2038"/>
      <c r="J214" s="2038"/>
      <c r="K214" s="2038"/>
      <c r="L214" s="2038"/>
      <c r="M214" s="2038"/>
      <c r="N214" s="2135"/>
      <c r="O214" s="1088"/>
      <c r="P214" s="2226"/>
      <c r="Q214" s="579"/>
      <c r="R214" s="602">
        <v>800</v>
      </c>
      <c r="S214" s="602"/>
      <c r="T214" s="603"/>
      <c r="U214" s="1074"/>
      <c r="V214" s="1067"/>
      <c r="W214" s="573"/>
      <c r="X214" s="1089"/>
      <c r="Y214" s="1072"/>
      <c r="Z214" s="1072"/>
      <c r="AA214" s="1370"/>
      <c r="AB214" s="356"/>
      <c r="AJ214" s="356"/>
      <c r="AK214" s="606"/>
      <c r="AL214" s="2037"/>
      <c r="AM214" s="2038"/>
      <c r="AN214" s="2038"/>
      <c r="AO214" s="2038"/>
      <c r="AP214" s="2038"/>
      <c r="AQ214" s="2038"/>
      <c r="AR214" s="2038"/>
      <c r="AS214" s="2038"/>
      <c r="AT214" s="2038"/>
      <c r="AU214" s="2038"/>
      <c r="AV214" s="2129"/>
      <c r="AW214" s="579"/>
      <c r="AX214" s="1940">
        <v>300</v>
      </c>
      <c r="AY214" s="1940"/>
      <c r="AZ214" s="2132"/>
      <c r="BA214" s="565"/>
      <c r="BB214" s="1067"/>
      <c r="BC214" s="1071"/>
      <c r="BD214" s="1089"/>
      <c r="BE214" s="1089"/>
      <c r="BF214" s="1090"/>
      <c r="BG214" s="356"/>
      <c r="BH214" s="356"/>
    </row>
    <row r="215" spans="2:60" ht="100" customHeight="1" thickTop="1" thickBot="1" x14ac:dyDescent="1.05">
      <c r="B215" s="356"/>
      <c r="C215" s="356"/>
      <c r="D215" s="356"/>
      <c r="E215" s="577"/>
      <c r="F215" s="1091"/>
      <c r="G215" s="1092"/>
      <c r="H215" s="1093"/>
      <c r="I215" s="386"/>
      <c r="J215" s="593"/>
      <c r="K215" s="386"/>
      <c r="L215" s="593"/>
      <c r="M215" s="390"/>
      <c r="N215" s="484"/>
      <c r="O215" s="456"/>
      <c r="P215" s="2126"/>
      <c r="Q215" s="579"/>
      <c r="R215" s="590"/>
      <c r="S215" s="590"/>
      <c r="T215" s="590"/>
      <c r="U215" s="1041"/>
      <c r="V215" s="1067"/>
      <c r="W215" s="573"/>
      <c r="X215" s="1072"/>
      <c r="Y215" s="1089"/>
      <c r="Z215" s="1089"/>
      <c r="AA215" s="573"/>
      <c r="AB215" s="356"/>
      <c r="AJ215" s="356"/>
      <c r="AK215" s="578"/>
      <c r="AL215" s="456"/>
      <c r="AM215" s="609"/>
      <c r="AN215" s="1070"/>
      <c r="AO215" s="456"/>
      <c r="AP215" s="1094"/>
      <c r="AQ215" s="609"/>
      <c r="AR215" s="1069"/>
      <c r="AS215" s="609"/>
      <c r="AT215" s="1070"/>
      <c r="AU215" s="456"/>
      <c r="AV215" s="2129"/>
      <c r="AW215" s="1095"/>
      <c r="AX215" s="1898" t="s">
        <v>26</v>
      </c>
      <c r="AY215" s="1898"/>
      <c r="AZ215" s="2133"/>
      <c r="BA215" s="588"/>
      <c r="BB215" s="1067"/>
      <c r="BC215" s="1071"/>
      <c r="BD215" s="1072"/>
      <c r="BE215" s="1072"/>
      <c r="BF215" s="1073"/>
      <c r="BG215" s="356"/>
      <c r="BH215" s="356"/>
    </row>
    <row r="216" spans="2:60" ht="100" customHeight="1" thickTop="1" thickBot="1" x14ac:dyDescent="1.05">
      <c r="B216" s="356"/>
      <c r="C216" s="356"/>
      <c r="D216" s="356"/>
      <c r="E216" s="577"/>
      <c r="F216" s="1875" t="s">
        <v>132</v>
      </c>
      <c r="G216" s="1867"/>
      <c r="H216" s="1869"/>
      <c r="I216" s="489"/>
      <c r="J216" s="1956" t="s">
        <v>132</v>
      </c>
      <c r="K216" s="1890"/>
      <c r="L216" s="2042"/>
      <c r="M216" s="506"/>
      <c r="N216" s="689" t="s">
        <v>132</v>
      </c>
      <c r="O216" s="566"/>
      <c r="P216" s="2126"/>
      <c r="Q216" s="1468"/>
      <c r="R216" s="579"/>
      <c r="S216" s="579"/>
      <c r="T216" s="581"/>
      <c r="U216" s="1041"/>
      <c r="V216" s="1067"/>
      <c r="W216" s="573"/>
      <c r="X216" s="573"/>
      <c r="Y216" s="1089"/>
      <c r="Z216" s="1072"/>
      <c r="AA216" s="573"/>
      <c r="AB216" s="356"/>
      <c r="AJ216" s="356"/>
      <c r="AK216" s="577"/>
      <c r="AL216" s="507" t="s">
        <v>152</v>
      </c>
      <c r="AM216" s="489"/>
      <c r="AN216" s="615" t="s">
        <v>152</v>
      </c>
      <c r="AO216" s="507"/>
      <c r="AP216" s="491" t="s">
        <v>152</v>
      </c>
      <c r="AQ216" s="489"/>
      <c r="AR216" s="507" t="s">
        <v>152</v>
      </c>
      <c r="AS216" s="489"/>
      <c r="AT216" s="506" t="s">
        <v>152</v>
      </c>
      <c r="AU216" s="930"/>
      <c r="AV216" s="2129"/>
      <c r="AW216" s="1096"/>
      <c r="AX216" s="1959" t="s">
        <v>125</v>
      </c>
      <c r="AY216" s="1959"/>
      <c r="AZ216" s="2139"/>
      <c r="BA216" s="588"/>
      <c r="BB216" s="1067"/>
      <c r="BC216" s="1071"/>
      <c r="BD216" s="1072"/>
      <c r="BE216" s="1072"/>
      <c r="BF216" s="1073"/>
      <c r="BG216" s="356"/>
      <c r="BH216" s="356"/>
    </row>
    <row r="217" spans="2:60" ht="100" customHeight="1" thickTop="1" thickBot="1" x14ac:dyDescent="1.05">
      <c r="B217" s="356"/>
      <c r="C217" s="356"/>
      <c r="D217" s="356"/>
      <c r="E217" s="578"/>
      <c r="F217" s="1875" t="s">
        <v>153</v>
      </c>
      <c r="G217" s="1867"/>
      <c r="H217" s="1869"/>
      <c r="I217" s="506"/>
      <c r="J217" s="1886" t="s">
        <v>153</v>
      </c>
      <c r="K217" s="1867"/>
      <c r="L217" s="1868"/>
      <c r="M217" s="645"/>
      <c r="N217" s="506" t="s">
        <v>153</v>
      </c>
      <c r="O217" s="566"/>
      <c r="P217" s="2126"/>
      <c r="Q217" s="1469"/>
      <c r="R217" s="1467"/>
      <c r="S217" s="1467"/>
      <c r="T217" s="1467"/>
      <c r="U217" s="1041"/>
      <c r="V217" s="1067"/>
      <c r="W217" s="573"/>
      <c r="X217" s="573"/>
      <c r="Y217" s="1072"/>
      <c r="Z217" s="1072"/>
      <c r="AA217" s="1370"/>
      <c r="AB217" s="356"/>
      <c r="AJ217" s="356"/>
      <c r="AK217" s="578"/>
      <c r="AL217" s="507" t="s">
        <v>153</v>
      </c>
      <c r="AM217" s="489"/>
      <c r="AN217" s="615" t="s">
        <v>154</v>
      </c>
      <c r="AO217" s="507"/>
      <c r="AP217" s="491" t="s">
        <v>154</v>
      </c>
      <c r="AQ217" s="489"/>
      <c r="AR217" s="507" t="s">
        <v>154</v>
      </c>
      <c r="AS217" s="489"/>
      <c r="AT217" s="506" t="s">
        <v>154</v>
      </c>
      <c r="AU217" s="930"/>
      <c r="AV217" s="2129"/>
      <c r="AW217" s="579"/>
      <c r="AX217" s="1867">
        <v>500</v>
      </c>
      <c r="AY217" s="1867"/>
      <c r="AZ217" s="1920"/>
      <c r="BA217" s="588"/>
      <c r="BB217" s="1067"/>
      <c r="BC217" s="1071"/>
      <c r="BD217" s="1072"/>
      <c r="BE217" s="1072"/>
      <c r="BF217" s="1073"/>
      <c r="BG217" s="356"/>
      <c r="BH217" s="356"/>
    </row>
    <row r="218" spans="2:60" ht="100" customHeight="1" thickTop="1" thickBot="1" x14ac:dyDescent="1.05">
      <c r="B218" s="356"/>
      <c r="C218" s="356"/>
      <c r="D218" s="356"/>
      <c r="E218" s="578"/>
      <c r="F218" s="1875" t="s">
        <v>20</v>
      </c>
      <c r="G218" s="1867"/>
      <c r="H218" s="1869"/>
      <c r="I218" s="506"/>
      <c r="J218" s="1886" t="s">
        <v>125</v>
      </c>
      <c r="K218" s="1867"/>
      <c r="L218" s="1868"/>
      <c r="M218" s="645"/>
      <c r="N218" s="506" t="s">
        <v>121</v>
      </c>
      <c r="O218" s="507"/>
      <c r="P218" s="2126"/>
      <c r="Q218" s="579"/>
      <c r="R218" s="602" t="s">
        <v>199</v>
      </c>
      <c r="S218" s="602"/>
      <c r="T218" s="603"/>
      <c r="U218" s="1041"/>
      <c r="V218" s="1067"/>
      <c r="W218" s="573"/>
      <c r="X218" s="1072"/>
      <c r="Y218" s="1072"/>
      <c r="Z218" s="1072"/>
      <c r="AA218" s="1370"/>
      <c r="AB218" s="356"/>
      <c r="AD218" s="358"/>
      <c r="AE218" s="358"/>
      <c r="AJ218" s="356"/>
      <c r="AK218" s="578"/>
      <c r="AL218" s="507" t="s">
        <v>121</v>
      </c>
      <c r="AM218" s="489"/>
      <c r="AN218" s="615" t="s">
        <v>125</v>
      </c>
      <c r="AO218" s="507"/>
      <c r="AP218" s="491" t="s">
        <v>121</v>
      </c>
      <c r="AQ218" s="489"/>
      <c r="AR218" s="507" t="s">
        <v>20</v>
      </c>
      <c r="AS218" s="489"/>
      <c r="AT218" s="615" t="s">
        <v>20</v>
      </c>
      <c r="AU218" s="507"/>
      <c r="AV218" s="2129"/>
      <c r="AW218" s="579"/>
      <c r="AX218" s="387"/>
      <c r="AY218" s="387"/>
      <c r="AZ218" s="1097"/>
      <c r="BA218" s="588"/>
      <c r="BB218" s="1067"/>
      <c r="BC218" s="1071"/>
      <c r="BD218" s="1072"/>
      <c r="BE218" s="1072"/>
      <c r="BF218" s="1073"/>
      <c r="BG218" s="356"/>
      <c r="BH218" s="356"/>
    </row>
    <row r="219" spans="2:60" ht="100" customHeight="1" thickTop="1" x14ac:dyDescent="1">
      <c r="B219" s="356"/>
      <c r="C219" s="356"/>
      <c r="D219" s="356"/>
      <c r="E219" s="577"/>
      <c r="F219" s="1871">
        <v>1100</v>
      </c>
      <c r="G219" s="1867"/>
      <c r="H219" s="1869"/>
      <c r="I219" s="506"/>
      <c r="J219" s="1886">
        <v>800</v>
      </c>
      <c r="K219" s="1867"/>
      <c r="L219" s="1868"/>
      <c r="M219" s="506"/>
      <c r="N219" s="689">
        <v>800</v>
      </c>
      <c r="O219" s="507"/>
      <c r="P219" s="2126"/>
      <c r="Q219" s="579"/>
      <c r="R219" s="602" t="s">
        <v>20</v>
      </c>
      <c r="S219" s="602"/>
      <c r="T219" s="603"/>
      <c r="U219" s="1074"/>
      <c r="V219" s="1067"/>
      <c r="W219" s="573"/>
      <c r="X219" s="1072"/>
      <c r="Y219" s="1072"/>
      <c r="Z219" s="1072"/>
      <c r="AA219" s="1370"/>
      <c r="AB219" s="356"/>
      <c r="AJ219" s="356"/>
      <c r="AK219" s="577"/>
      <c r="AL219" s="507">
        <v>300</v>
      </c>
      <c r="AM219" s="489"/>
      <c r="AN219" s="615">
        <v>500</v>
      </c>
      <c r="AO219" s="507"/>
      <c r="AP219" s="491">
        <v>300</v>
      </c>
      <c r="AQ219" s="489"/>
      <c r="AR219" s="507">
        <v>450</v>
      </c>
      <c r="AS219" s="489"/>
      <c r="AT219" s="1057">
        <v>450</v>
      </c>
      <c r="AU219" s="507"/>
      <c r="AV219" s="2129"/>
      <c r="AW219" s="616"/>
      <c r="AX219" s="1898" t="s">
        <v>26</v>
      </c>
      <c r="AY219" s="1898"/>
      <c r="AZ219" s="2133"/>
      <c r="BA219" s="565"/>
      <c r="BB219" s="1067"/>
      <c r="BC219" s="1071"/>
      <c r="BD219" s="1072"/>
      <c r="BE219" s="1072"/>
      <c r="BF219" s="1073"/>
      <c r="BG219" s="356"/>
      <c r="BH219" s="356"/>
    </row>
    <row r="220" spans="2:60" ht="100" customHeight="1" thickBot="1" x14ac:dyDescent="1.05">
      <c r="B220" s="356"/>
      <c r="C220" s="356"/>
      <c r="D220" s="356"/>
      <c r="E220" s="578"/>
      <c r="F220" s="568"/>
      <c r="G220" s="386"/>
      <c r="H220" s="390"/>
      <c r="I220" s="386"/>
      <c r="J220" s="592"/>
      <c r="K220" s="593"/>
      <c r="L220" s="594"/>
      <c r="M220" s="386"/>
      <c r="N220" s="484"/>
      <c r="O220" s="390"/>
      <c r="P220" s="2126"/>
      <c r="Q220" s="579"/>
      <c r="R220" s="621">
        <v>1100</v>
      </c>
      <c r="S220" s="621"/>
      <c r="T220" s="622"/>
      <c r="U220" s="1041"/>
      <c r="V220" s="1067"/>
      <c r="W220" s="573"/>
      <c r="X220" s="1098"/>
      <c r="Y220" s="573"/>
      <c r="Z220" s="573"/>
      <c r="AA220" s="1370"/>
      <c r="AB220" s="356"/>
      <c r="AJ220" s="356"/>
      <c r="AK220" s="578"/>
      <c r="AL220" s="390"/>
      <c r="AM220" s="481"/>
      <c r="AN220" s="541"/>
      <c r="AO220" s="390"/>
      <c r="AP220" s="483"/>
      <c r="AQ220" s="481"/>
      <c r="AR220" s="390"/>
      <c r="AS220" s="481"/>
      <c r="AT220" s="1058"/>
      <c r="AU220" s="543"/>
      <c r="AV220" s="2129"/>
      <c r="AW220" s="579"/>
      <c r="AX220" s="1867" t="s">
        <v>121</v>
      </c>
      <c r="AY220" s="1867"/>
      <c r="AZ220" s="1920"/>
      <c r="BA220" s="588"/>
      <c r="BB220" s="1067"/>
      <c r="BC220" s="1071"/>
      <c r="BD220" s="1072"/>
      <c r="BE220" s="1072"/>
      <c r="BF220" s="1073"/>
      <c r="BG220" s="356"/>
      <c r="BH220" s="356"/>
    </row>
    <row r="221" spans="2:60" ht="100" customHeight="1" thickTop="1" thickBot="1" x14ac:dyDescent="1.05">
      <c r="B221" s="356"/>
      <c r="C221" s="356"/>
      <c r="D221" s="356"/>
      <c r="E221" s="623"/>
      <c r="F221" s="569"/>
      <c r="G221" s="570"/>
      <c r="H221" s="556"/>
      <c r="I221" s="1099"/>
      <c r="J221" s="570"/>
      <c r="K221" s="570"/>
      <c r="L221" s="570"/>
      <c r="M221" s="570"/>
      <c r="N221" s="1099"/>
      <c r="O221" s="556"/>
      <c r="P221" s="2127"/>
      <c r="Q221" s="625"/>
      <c r="R221" s="627"/>
      <c r="S221" s="627"/>
      <c r="T221" s="628"/>
      <c r="U221" s="623"/>
      <c r="V221" s="1067"/>
      <c r="W221" s="573"/>
      <c r="X221" s="1073"/>
      <c r="Y221" s="573"/>
      <c r="Z221" s="573"/>
      <c r="AA221" s="573"/>
      <c r="AB221" s="356"/>
      <c r="AJ221" s="356"/>
      <c r="AK221" s="623"/>
      <c r="AL221" s="556"/>
      <c r="AM221" s="1045"/>
      <c r="AN221" s="1100"/>
      <c r="AO221" s="556"/>
      <c r="AP221" s="997"/>
      <c r="AQ221" s="570"/>
      <c r="AR221" s="1101"/>
      <c r="AS221" s="570"/>
      <c r="AT221" s="570"/>
      <c r="AU221" s="556"/>
      <c r="AV221" s="2130"/>
      <c r="AW221" s="570"/>
      <c r="AX221" s="1894">
        <v>300</v>
      </c>
      <c r="AY221" s="1894"/>
      <c r="AZ221" s="2140"/>
      <c r="BA221" s="520"/>
      <c r="BB221" s="1067"/>
      <c r="BC221" s="1071"/>
      <c r="BD221" s="1072"/>
      <c r="BE221" s="1072"/>
      <c r="BF221" s="1073"/>
      <c r="BG221" s="356"/>
      <c r="BH221" s="356"/>
    </row>
    <row r="222" spans="2:60" ht="10" customHeight="1" thickTop="1" thickBot="1" x14ac:dyDescent="1.05">
      <c r="B222" s="356"/>
      <c r="C222" s="356"/>
      <c r="D222" s="356"/>
      <c r="E222" s="623"/>
      <c r="F222" s="518"/>
      <c r="G222" s="519"/>
      <c r="H222" s="519"/>
      <c r="I222" s="519"/>
      <c r="J222" s="519"/>
      <c r="K222" s="519"/>
      <c r="L222" s="519"/>
      <c r="M222" s="519"/>
      <c r="N222" s="519"/>
      <c r="O222" s="519"/>
      <c r="P222" s="519"/>
      <c r="Q222" s="519"/>
      <c r="R222" s="519"/>
      <c r="S222" s="519"/>
      <c r="T222" s="519"/>
      <c r="U222" s="520"/>
      <c r="V222" s="1067"/>
      <c r="W222" s="573"/>
      <c r="X222" s="650"/>
      <c r="Y222" s="650"/>
      <c r="Z222" s="650"/>
      <c r="AA222" s="1370"/>
      <c r="AB222" s="356"/>
      <c r="AJ222" s="356"/>
      <c r="AK222" s="623"/>
      <c r="AL222" s="518"/>
      <c r="AM222" s="519"/>
      <c r="AN222" s="519"/>
      <c r="AO222" s="519"/>
      <c r="AP222" s="519"/>
      <c r="AQ222" s="519"/>
      <c r="AR222" s="519"/>
      <c r="AS222" s="519"/>
      <c r="AT222" s="519"/>
      <c r="AU222" s="519"/>
      <c r="AV222" s="519"/>
      <c r="AW222" s="519"/>
      <c r="AX222" s="519"/>
      <c r="AY222" s="519"/>
      <c r="AZ222" s="520"/>
      <c r="BA222" s="519"/>
      <c r="BB222" s="1102"/>
      <c r="BC222" s="1071"/>
      <c r="BD222" s="1072"/>
      <c r="BE222" s="1072"/>
      <c r="BF222" s="1073"/>
      <c r="BG222" s="356"/>
      <c r="BH222" s="356"/>
    </row>
    <row r="223" spans="2:60" ht="100" customHeight="1" thickTop="1" x14ac:dyDescent="1">
      <c r="B223" s="356"/>
      <c r="C223" s="356"/>
      <c r="D223" s="356"/>
      <c r="E223" s="356"/>
      <c r="F223" s="356"/>
      <c r="G223" s="356"/>
      <c r="H223" s="356"/>
      <c r="I223" s="356"/>
      <c r="J223" s="356"/>
      <c r="K223" s="356"/>
      <c r="L223" s="356"/>
      <c r="M223" s="356"/>
      <c r="N223" s="356"/>
      <c r="O223" s="356"/>
      <c r="P223" s="356"/>
      <c r="Q223" s="356"/>
      <c r="R223" s="356"/>
      <c r="S223" s="356"/>
      <c r="T223" s="356"/>
      <c r="U223" s="356"/>
      <c r="V223" s="1067"/>
      <c r="W223" s="573"/>
      <c r="X223" s="1073"/>
      <c r="Y223" s="1073"/>
      <c r="Z223" s="1073"/>
      <c r="AA223" s="356"/>
      <c r="AB223" s="356"/>
      <c r="AJ223" s="356"/>
      <c r="AK223" s="356"/>
      <c r="AL223" s="356"/>
      <c r="AM223" s="356"/>
      <c r="AN223" s="356"/>
      <c r="AO223" s="356"/>
      <c r="AP223" s="356"/>
      <c r="AQ223" s="356"/>
      <c r="AR223" s="356"/>
      <c r="AS223" s="356"/>
      <c r="AT223" s="356"/>
      <c r="AU223" s="356"/>
      <c r="AV223" s="356"/>
      <c r="AW223" s="356"/>
      <c r="AX223" s="356"/>
      <c r="AY223" s="356"/>
      <c r="AZ223" s="356"/>
      <c r="BA223" s="356"/>
      <c r="BB223" s="1067"/>
      <c r="BC223" s="1071"/>
      <c r="BD223" s="1072"/>
      <c r="BE223" s="1072"/>
      <c r="BF223" s="1073"/>
      <c r="BG223" s="356"/>
      <c r="BH223" s="356"/>
    </row>
    <row r="224" spans="2:60" ht="100" customHeight="1" x14ac:dyDescent="1">
      <c r="B224" s="356"/>
      <c r="C224" s="356"/>
      <c r="D224" s="356"/>
      <c r="E224" s="356"/>
      <c r="F224" s="356"/>
      <c r="G224" s="356"/>
      <c r="H224" s="356"/>
      <c r="I224" s="356"/>
      <c r="J224" s="356"/>
      <c r="K224" s="356"/>
      <c r="L224" s="356"/>
      <c r="M224" s="356"/>
      <c r="N224" s="356"/>
      <c r="O224" s="356"/>
      <c r="P224" s="356"/>
      <c r="Q224" s="356"/>
      <c r="R224" s="356"/>
      <c r="S224" s="356"/>
      <c r="T224" s="356"/>
      <c r="U224" s="356"/>
      <c r="V224" s="356"/>
      <c r="W224" s="356"/>
      <c r="X224" s="356"/>
      <c r="Y224" s="356"/>
      <c r="Z224" s="356"/>
      <c r="AA224" s="356"/>
      <c r="AB224" s="356"/>
      <c r="AJ224" s="356"/>
      <c r="AK224" s="356"/>
      <c r="AL224" s="356"/>
      <c r="AM224" s="356"/>
      <c r="AN224" s="356"/>
      <c r="AO224" s="356"/>
      <c r="AP224" s="356"/>
      <c r="AQ224" s="356"/>
      <c r="AR224" s="356"/>
      <c r="AS224" s="356"/>
      <c r="AT224" s="356"/>
      <c r="AU224" s="356"/>
      <c r="AV224" s="356"/>
      <c r="AW224" s="356"/>
      <c r="AX224" s="356"/>
      <c r="AY224" s="356"/>
      <c r="AZ224" s="356"/>
      <c r="BA224" s="356"/>
      <c r="BB224" s="356"/>
      <c r="BC224" s="356"/>
      <c r="BD224" s="356"/>
      <c r="BE224" s="356"/>
      <c r="BF224" s="356"/>
      <c r="BG224" s="356"/>
      <c r="BH224" s="356"/>
    </row>
    <row r="225" spans="2:60" s="1426" customFormat="1" ht="100" customHeight="1" x14ac:dyDescent="1.2">
      <c r="B225" s="1432"/>
      <c r="C225" s="1432"/>
      <c r="D225" s="1432"/>
      <c r="E225" s="1426" t="s">
        <v>195</v>
      </c>
      <c r="F225" s="1426" t="s">
        <v>254</v>
      </c>
      <c r="G225" s="1432"/>
      <c r="H225" s="1432"/>
      <c r="I225" s="1432"/>
      <c r="J225" s="1432"/>
      <c r="K225" s="1432"/>
      <c r="L225" s="1432"/>
      <c r="M225" s="1432"/>
      <c r="N225" s="1432"/>
      <c r="O225" s="1432"/>
      <c r="P225" s="1432"/>
      <c r="Q225" s="1432"/>
      <c r="R225" s="1432"/>
      <c r="S225" s="1432"/>
      <c r="T225" s="1432"/>
      <c r="U225" s="1432"/>
      <c r="V225" s="1432"/>
      <c r="W225" s="1432"/>
      <c r="X225" s="1432"/>
      <c r="Y225" s="1432"/>
      <c r="Z225" s="1432"/>
      <c r="AA225" s="1432"/>
      <c r="AB225" s="1432"/>
      <c r="AJ225" s="1432"/>
      <c r="AK225" s="1432"/>
      <c r="AL225" s="1432"/>
      <c r="AM225" s="1432"/>
      <c r="AN225" s="1432"/>
      <c r="AO225" s="1432"/>
      <c r="AP225" s="1432"/>
      <c r="AQ225" s="1432"/>
      <c r="AR225" s="1432"/>
      <c r="AS225" s="1432"/>
      <c r="AT225" s="1432"/>
      <c r="AU225" s="1432"/>
      <c r="AV225" s="1432"/>
      <c r="AW225" s="1432"/>
      <c r="AX225" s="1432"/>
      <c r="AY225" s="1432"/>
      <c r="AZ225" s="1432"/>
      <c r="BA225" s="1432"/>
      <c r="BB225" s="1432"/>
      <c r="BC225" s="1432"/>
      <c r="BD225" s="1432"/>
      <c r="BE225" s="1432"/>
      <c r="BF225" s="1432"/>
      <c r="BG225" s="1432"/>
      <c r="BH225" s="1432"/>
    </row>
    <row r="226" spans="2:60" s="1426" customFormat="1" ht="100" customHeight="1" x14ac:dyDescent="1.2">
      <c r="B226" s="1432"/>
      <c r="C226" s="1432"/>
      <c r="D226" s="1432"/>
      <c r="E226" s="1432"/>
      <c r="F226" s="1432"/>
      <c r="G226" s="1432"/>
      <c r="H226" s="1432"/>
      <c r="I226" s="1432"/>
      <c r="K226" s="1432"/>
      <c r="L226" s="1432"/>
      <c r="M226" s="1432"/>
      <c r="N226" s="1432"/>
      <c r="O226" s="1432"/>
      <c r="P226" s="1432"/>
      <c r="Q226" s="1432"/>
      <c r="R226" s="1432"/>
      <c r="S226" s="1432"/>
      <c r="T226" s="1432"/>
      <c r="U226" s="1432"/>
      <c r="V226" s="1432"/>
      <c r="W226" s="1432"/>
      <c r="X226" s="1432"/>
      <c r="Y226" s="1432"/>
      <c r="Z226" s="1432"/>
      <c r="AA226" s="1432"/>
      <c r="AB226" s="1432"/>
      <c r="AJ226" s="1432"/>
      <c r="AK226" s="1432"/>
      <c r="AL226" s="1432"/>
      <c r="AM226" s="1432"/>
      <c r="AN226" s="1432"/>
      <c r="AO226" s="1432"/>
      <c r="AP226" s="1432"/>
      <c r="AQ226" s="1432"/>
      <c r="AR226" s="1432"/>
      <c r="AS226" s="1432"/>
      <c r="AT226" s="1432"/>
      <c r="AU226" s="1432"/>
      <c r="AV226" s="1432"/>
      <c r="AW226" s="1432"/>
      <c r="AX226" s="1432"/>
      <c r="AY226" s="1432"/>
      <c r="AZ226" s="1432"/>
      <c r="BA226" s="1432"/>
      <c r="BB226" s="1432"/>
      <c r="BC226" s="1432"/>
      <c r="BD226" s="1432"/>
      <c r="BE226" s="1432"/>
      <c r="BF226" s="1432"/>
      <c r="BG226" s="1432"/>
      <c r="BH226" s="1432"/>
    </row>
    <row r="227" spans="2:60" s="1426" customFormat="1" ht="100" customHeight="1" x14ac:dyDescent="1.2">
      <c r="C227" s="1431"/>
      <c r="E227" s="1436" t="s">
        <v>176</v>
      </c>
      <c r="F227" s="1436"/>
      <c r="G227" s="1436"/>
    </row>
    <row r="228" spans="2:60" s="1426" customFormat="1" ht="100" customHeight="1" x14ac:dyDescent="1.2">
      <c r="C228" s="1431"/>
      <c r="E228" s="1429" t="s">
        <v>216</v>
      </c>
      <c r="F228" s="1429"/>
      <c r="G228" s="1429"/>
      <c r="H228" s="1429"/>
      <c r="I228" s="1429"/>
      <c r="J228" s="1429"/>
      <c r="K228" s="1429"/>
      <c r="L228" s="1429"/>
      <c r="M228" s="1429"/>
      <c r="N228" s="1429"/>
      <c r="AL228" s="1429" t="s">
        <v>217</v>
      </c>
      <c r="AM228" s="1429"/>
      <c r="AN228" s="1429"/>
      <c r="AO228" s="1429"/>
      <c r="AP228" s="1429"/>
      <c r="AQ228" s="1429"/>
      <c r="AR228" s="1429"/>
      <c r="AS228" s="1429"/>
      <c r="AT228" s="1429"/>
    </row>
    <row r="229" spans="2:60" s="1426" customFormat="1" ht="100" customHeight="1" x14ac:dyDescent="1.2">
      <c r="C229" s="1431"/>
      <c r="E229" s="1426" t="s">
        <v>141</v>
      </c>
      <c r="AL229" s="1426" t="s">
        <v>141</v>
      </c>
    </row>
    <row r="230" spans="2:60" ht="100" customHeight="1" thickBot="1" x14ac:dyDescent="1.05">
      <c r="B230" s="356"/>
      <c r="C230" s="356"/>
      <c r="D230" s="356"/>
      <c r="E230" s="356"/>
      <c r="F230" s="356"/>
      <c r="G230" s="356"/>
      <c r="H230" s="356"/>
      <c r="I230" s="356"/>
      <c r="J230" s="356"/>
      <c r="K230" s="356"/>
      <c r="L230" s="356"/>
      <c r="M230" s="356"/>
      <c r="N230" s="356"/>
      <c r="O230" s="356"/>
      <c r="P230" s="356"/>
      <c r="Q230" s="356"/>
      <c r="R230" s="356"/>
      <c r="S230" s="356"/>
      <c r="T230" s="356"/>
      <c r="U230" s="356"/>
      <c r="V230" s="356"/>
      <c r="W230" s="356"/>
      <c r="X230" s="356"/>
      <c r="Y230" s="356"/>
      <c r="Z230" s="356"/>
      <c r="AA230" s="356"/>
      <c r="AB230" s="356"/>
      <c r="AJ230" s="356"/>
      <c r="AK230" s="356"/>
      <c r="AL230" s="356"/>
      <c r="AM230" s="356"/>
      <c r="AN230" s="356"/>
      <c r="AO230" s="356"/>
      <c r="AP230" s="356"/>
      <c r="AQ230" s="356"/>
      <c r="AR230" s="356"/>
      <c r="AS230" s="356"/>
      <c r="AT230" s="356"/>
      <c r="AU230" s="356"/>
      <c r="AV230" s="356"/>
      <c r="AW230" s="356"/>
      <c r="AX230" s="356"/>
      <c r="AY230" s="356"/>
      <c r="AZ230" s="356"/>
      <c r="BA230" s="356"/>
      <c r="BB230" s="356"/>
      <c r="BC230" s="356"/>
      <c r="BD230" s="356"/>
      <c r="BE230" s="356"/>
      <c r="BF230" s="356"/>
      <c r="BG230" s="356"/>
      <c r="BH230" s="356"/>
    </row>
    <row r="231" spans="2:60" ht="10" customHeight="1" thickTop="1" thickBot="1" x14ac:dyDescent="1.05">
      <c r="B231" s="356"/>
      <c r="C231" s="356"/>
      <c r="D231" s="356"/>
      <c r="E231" s="574"/>
      <c r="F231" s="561"/>
      <c r="G231" s="561"/>
      <c r="H231" s="561"/>
      <c r="I231" s="561"/>
      <c r="J231" s="561"/>
      <c r="K231" s="561"/>
      <c r="L231" s="561"/>
      <c r="M231" s="561"/>
      <c r="N231" s="561"/>
      <c r="O231" s="561"/>
      <c r="P231" s="561"/>
      <c r="Q231" s="561"/>
      <c r="R231" s="575"/>
      <c r="S231" s="561"/>
      <c r="T231" s="561"/>
      <c r="U231" s="574"/>
      <c r="V231" s="356"/>
      <c r="W231" s="356"/>
      <c r="X231" s="356"/>
      <c r="Y231" s="356"/>
      <c r="Z231" s="356"/>
      <c r="AA231" s="356"/>
      <c r="AB231" s="356"/>
      <c r="AJ231" s="356"/>
      <c r="AK231" s="577"/>
      <c r="AL231" s="575"/>
      <c r="AM231" s="561"/>
      <c r="AN231" s="561"/>
      <c r="AO231" s="561"/>
      <c r="AP231" s="561"/>
      <c r="AQ231" s="561"/>
      <c r="AR231" s="561"/>
      <c r="AS231" s="561"/>
      <c r="AT231" s="561"/>
      <c r="AU231" s="561"/>
      <c r="AV231" s="561"/>
      <c r="AW231" s="561"/>
      <c r="AX231" s="575"/>
      <c r="AY231" s="561"/>
      <c r="AZ231" s="561"/>
      <c r="BA231" s="574"/>
      <c r="BB231" s="356"/>
      <c r="BC231" s="356"/>
      <c r="BD231" s="356"/>
      <c r="BE231" s="356"/>
      <c r="BF231" s="356"/>
      <c r="BG231" s="356"/>
      <c r="BH231" s="356"/>
    </row>
    <row r="232" spans="2:60" ht="100" customHeight="1" thickTop="1" thickBot="1" x14ac:dyDescent="1.05">
      <c r="B232" s="356"/>
      <c r="C232" s="356"/>
      <c r="D232" s="356"/>
      <c r="E232" s="578"/>
      <c r="F232" s="386"/>
      <c r="G232" s="386"/>
      <c r="H232" s="390"/>
      <c r="I232" s="386"/>
      <c r="J232" s="386"/>
      <c r="K232" s="386"/>
      <c r="L232" s="386"/>
      <c r="M232" s="527"/>
      <c r="N232" s="386"/>
      <c r="O232" s="386"/>
      <c r="P232" s="1103"/>
      <c r="Q232" s="1104"/>
      <c r="R232" s="386"/>
      <c r="S232" s="386"/>
      <c r="T232" s="386"/>
      <c r="U232" s="578"/>
      <c r="V232" s="1067"/>
      <c r="W232" s="356"/>
      <c r="X232" s="356"/>
      <c r="Y232" s="356"/>
      <c r="Z232" s="356"/>
      <c r="AA232" s="356"/>
      <c r="AB232" s="356"/>
      <c r="AJ232" s="356"/>
      <c r="AK232" s="577"/>
      <c r="AL232" s="482"/>
      <c r="AM232" s="486"/>
      <c r="AN232" s="484"/>
      <c r="AO232" s="486"/>
      <c r="AP232" s="483"/>
      <c r="AQ232" s="484"/>
      <c r="AR232" s="386"/>
      <c r="AS232" s="968"/>
      <c r="AT232" s="386"/>
      <c r="AU232" s="390"/>
      <c r="AV232" s="1105"/>
      <c r="AW232" s="386"/>
      <c r="AX232" s="1867" t="s">
        <v>26</v>
      </c>
      <c r="AY232" s="1867"/>
      <c r="AZ232" s="1867"/>
      <c r="BA232" s="578"/>
      <c r="BB232" s="356"/>
      <c r="BC232" s="356"/>
      <c r="BD232" s="1106"/>
      <c r="BE232" s="1106"/>
      <c r="BF232" s="1073"/>
      <c r="BG232" s="356"/>
      <c r="BH232" s="356"/>
    </row>
    <row r="233" spans="2:60" ht="100" customHeight="1" thickTop="1" x14ac:dyDescent="1">
      <c r="B233" s="356"/>
      <c r="C233" s="356"/>
      <c r="D233" s="356"/>
      <c r="E233" s="578"/>
      <c r="F233" s="1867" t="s">
        <v>132</v>
      </c>
      <c r="G233" s="1867"/>
      <c r="H233" s="1869"/>
      <c r="I233" s="506"/>
      <c r="J233" s="1956" t="s">
        <v>132</v>
      </c>
      <c r="K233" s="1890"/>
      <c r="L233" s="2042"/>
      <c r="M233" s="506"/>
      <c r="N233" s="689" t="s">
        <v>132</v>
      </c>
      <c r="O233" s="579"/>
      <c r="P233" s="1105"/>
      <c r="Q233" s="579"/>
      <c r="R233" s="584" t="s">
        <v>199</v>
      </c>
      <c r="S233" s="584"/>
      <c r="T233" s="584"/>
      <c r="U233" s="1074"/>
      <c r="V233" s="1067"/>
      <c r="W233" s="573"/>
      <c r="X233" s="1075"/>
      <c r="Y233" s="1107"/>
      <c r="Z233" s="1107"/>
      <c r="AA233" s="1370"/>
      <c r="AB233" s="356"/>
      <c r="AJ233" s="356"/>
      <c r="AK233" s="578"/>
      <c r="AL233" s="587" t="s">
        <v>152</v>
      </c>
      <c r="AM233" s="506"/>
      <c r="AN233" s="689" t="s">
        <v>152</v>
      </c>
      <c r="AO233" s="645"/>
      <c r="AP233" s="491" t="s">
        <v>152</v>
      </c>
      <c r="AQ233" s="489"/>
      <c r="AR233" s="507" t="s">
        <v>152</v>
      </c>
      <c r="AS233" s="489"/>
      <c r="AT233" s="506" t="s">
        <v>152</v>
      </c>
      <c r="AU233" s="566"/>
      <c r="AV233" s="772"/>
      <c r="AW233" s="1108"/>
      <c r="AX233" s="1867" t="s">
        <v>121</v>
      </c>
      <c r="AY233" s="1867"/>
      <c r="AZ233" s="1867"/>
      <c r="BA233" s="1074"/>
      <c r="BB233" s="1370"/>
      <c r="BC233" s="1370"/>
      <c r="BD233" s="1106"/>
      <c r="BE233" s="1106"/>
      <c r="BF233" s="1073"/>
      <c r="BG233" s="356"/>
      <c r="BH233" s="356"/>
    </row>
    <row r="234" spans="2:60" ht="100" customHeight="1" x14ac:dyDescent="1">
      <c r="B234" s="356"/>
      <c r="C234" s="356"/>
      <c r="D234" s="356"/>
      <c r="E234" s="578"/>
      <c r="F234" s="1867" t="s">
        <v>153</v>
      </c>
      <c r="G234" s="1867"/>
      <c r="H234" s="1869"/>
      <c r="I234" s="506"/>
      <c r="J234" s="1886" t="s">
        <v>153</v>
      </c>
      <c r="K234" s="1867"/>
      <c r="L234" s="1868"/>
      <c r="M234" s="645"/>
      <c r="N234" s="506" t="s">
        <v>153</v>
      </c>
      <c r="O234" s="579"/>
      <c r="P234" s="1105"/>
      <c r="Q234" s="579"/>
      <c r="R234" s="584" t="s">
        <v>121</v>
      </c>
      <c r="S234" s="584"/>
      <c r="T234" s="584"/>
      <c r="U234" s="1074"/>
      <c r="V234" s="1067"/>
      <c r="W234" s="573"/>
      <c r="X234" s="1076"/>
      <c r="Y234" s="1107"/>
      <c r="Z234" s="1107"/>
      <c r="AA234" s="1370"/>
      <c r="AB234" s="356"/>
      <c r="AJ234" s="356"/>
      <c r="AK234" s="578"/>
      <c r="AL234" s="587" t="s">
        <v>153</v>
      </c>
      <c r="AM234" s="506"/>
      <c r="AN234" s="489" t="s">
        <v>154</v>
      </c>
      <c r="AO234" s="507"/>
      <c r="AP234" s="491" t="s">
        <v>154</v>
      </c>
      <c r="AQ234" s="489"/>
      <c r="AR234" s="507" t="s">
        <v>154</v>
      </c>
      <c r="AS234" s="489"/>
      <c r="AT234" s="506" t="s">
        <v>154</v>
      </c>
      <c r="AU234" s="566"/>
      <c r="AV234" s="2141" t="s">
        <v>208</v>
      </c>
      <c r="AW234" s="1109"/>
      <c r="AX234" s="1867">
        <v>300</v>
      </c>
      <c r="AY234" s="1867"/>
      <c r="AZ234" s="1867"/>
      <c r="BA234" s="1074"/>
      <c r="BB234" s="1370"/>
      <c r="BC234" s="1370"/>
      <c r="BD234" s="1106"/>
      <c r="BE234" s="1106"/>
      <c r="BF234" s="1073"/>
      <c r="BG234" s="356"/>
      <c r="BH234" s="356"/>
    </row>
    <row r="235" spans="2:60" ht="100" customHeight="1" x14ac:dyDescent="1">
      <c r="B235" s="356"/>
      <c r="C235" s="356"/>
      <c r="D235" s="356"/>
      <c r="E235" s="578"/>
      <c r="F235" s="1867" t="s">
        <v>20</v>
      </c>
      <c r="G235" s="1867"/>
      <c r="H235" s="1869"/>
      <c r="I235" s="506"/>
      <c r="J235" s="1886" t="s">
        <v>125</v>
      </c>
      <c r="K235" s="1867"/>
      <c r="L235" s="1868"/>
      <c r="M235" s="645"/>
      <c r="N235" s="506" t="s">
        <v>121</v>
      </c>
      <c r="O235" s="506"/>
      <c r="P235" s="2222" t="s">
        <v>208</v>
      </c>
      <c r="Q235" s="579"/>
      <c r="R235" s="584">
        <v>800</v>
      </c>
      <c r="S235" s="584"/>
      <c r="T235" s="584"/>
      <c r="U235" s="1041"/>
      <c r="V235" s="1067"/>
      <c r="W235" s="573"/>
      <c r="X235" s="1076"/>
      <c r="Y235" s="1107"/>
      <c r="Z235" s="1107"/>
      <c r="AA235" s="1370"/>
      <c r="AB235" s="356"/>
      <c r="AJ235" s="356"/>
      <c r="AK235" s="578"/>
      <c r="AL235" s="587" t="s">
        <v>121</v>
      </c>
      <c r="AM235" s="506"/>
      <c r="AN235" s="489" t="s">
        <v>125</v>
      </c>
      <c r="AO235" s="507"/>
      <c r="AP235" s="491" t="s">
        <v>121</v>
      </c>
      <c r="AQ235" s="489"/>
      <c r="AR235" s="507" t="s">
        <v>20</v>
      </c>
      <c r="AS235" s="489"/>
      <c r="AT235" s="615" t="s">
        <v>20</v>
      </c>
      <c r="AU235" s="507"/>
      <c r="AV235" s="2129"/>
      <c r="AW235" s="579"/>
      <c r="AX235" s="1898" t="s">
        <v>26</v>
      </c>
      <c r="AY235" s="1898"/>
      <c r="AZ235" s="1898"/>
      <c r="BA235" s="1041"/>
      <c r="BB235" s="641"/>
      <c r="BC235" s="356"/>
      <c r="BD235" s="1106"/>
      <c r="BE235" s="1106"/>
      <c r="BF235" s="1073"/>
      <c r="BG235" s="356"/>
      <c r="BH235" s="356"/>
    </row>
    <row r="236" spans="2:60" ht="100" customHeight="1" thickBot="1" x14ac:dyDescent="1.05">
      <c r="B236" s="356"/>
      <c r="C236" s="356"/>
      <c r="D236" s="356"/>
      <c r="E236" s="623"/>
      <c r="F236" s="1972">
        <v>1100</v>
      </c>
      <c r="G236" s="1867"/>
      <c r="H236" s="1869"/>
      <c r="I236" s="506"/>
      <c r="J236" s="1923">
        <v>1400</v>
      </c>
      <c r="K236" s="1867"/>
      <c r="L236" s="1868"/>
      <c r="M236" s="506"/>
      <c r="N236" s="689">
        <v>800</v>
      </c>
      <c r="O236" s="506"/>
      <c r="P236" s="2223"/>
      <c r="Q236" s="579"/>
      <c r="R236" s="590"/>
      <c r="S236" s="590"/>
      <c r="T236" s="590"/>
      <c r="U236" s="1041"/>
      <c r="V236" s="1067"/>
      <c r="W236" s="573"/>
      <c r="X236" s="573"/>
      <c r="Y236" s="1107"/>
      <c r="Z236" s="1107"/>
      <c r="AA236" s="1370"/>
      <c r="AB236" s="356"/>
      <c r="AJ236" s="356"/>
      <c r="AK236" s="623"/>
      <c r="AL236" s="587">
        <v>300</v>
      </c>
      <c r="AM236" s="506"/>
      <c r="AN236" s="489">
        <v>500</v>
      </c>
      <c r="AO236" s="507"/>
      <c r="AP236" s="491">
        <v>300</v>
      </c>
      <c r="AQ236" s="489"/>
      <c r="AR236" s="507">
        <v>450</v>
      </c>
      <c r="AS236" s="489"/>
      <c r="AT236" s="1057">
        <v>450</v>
      </c>
      <c r="AU236" s="507"/>
      <c r="AV236" s="2129"/>
      <c r="AW236" s="579"/>
      <c r="AX236" s="1867" t="s">
        <v>20</v>
      </c>
      <c r="AY236" s="1867"/>
      <c r="AZ236" s="1867"/>
      <c r="BA236" s="1041"/>
      <c r="BB236" s="641"/>
      <c r="BC236" s="1370"/>
      <c r="BD236" s="1106"/>
      <c r="BE236" s="1106"/>
      <c r="BF236" s="1073"/>
      <c r="BG236" s="356"/>
      <c r="BH236" s="356"/>
    </row>
    <row r="237" spans="2:60" ht="100" customHeight="1" thickTop="1" thickBot="1" x14ac:dyDescent="1.05">
      <c r="B237" s="356"/>
      <c r="C237" s="356"/>
      <c r="D237" s="356"/>
      <c r="E237" s="578"/>
      <c r="F237" s="386"/>
      <c r="G237" s="386"/>
      <c r="H237" s="390"/>
      <c r="I237" s="386"/>
      <c r="J237" s="592"/>
      <c r="K237" s="593"/>
      <c r="L237" s="594"/>
      <c r="M237" s="386"/>
      <c r="N237" s="484"/>
      <c r="O237" s="386"/>
      <c r="P237" s="2223"/>
      <c r="Q237" s="1110"/>
      <c r="R237" s="579"/>
      <c r="S237" s="579"/>
      <c r="T237" s="579"/>
      <c r="U237" s="578"/>
      <c r="V237" s="1067"/>
      <c r="W237" s="573"/>
      <c r="X237" s="573"/>
      <c r="Y237" s="573"/>
      <c r="Z237" s="1370"/>
      <c r="AA237" s="1370"/>
      <c r="AB237" s="356"/>
      <c r="AJ237" s="356"/>
      <c r="AK237" s="578"/>
      <c r="AL237" s="482"/>
      <c r="AM237" s="386"/>
      <c r="AN237" s="481"/>
      <c r="AO237" s="390"/>
      <c r="AP237" s="483"/>
      <c r="AQ237" s="386"/>
      <c r="AR237" s="386"/>
      <c r="AS237" s="484"/>
      <c r="AT237" s="386"/>
      <c r="AU237" s="390"/>
      <c r="AV237" s="2129"/>
      <c r="AW237" s="579"/>
      <c r="AX237" s="1867">
        <v>450</v>
      </c>
      <c r="AY237" s="1867"/>
      <c r="AZ237" s="1867"/>
      <c r="BA237" s="578"/>
      <c r="BB237" s="641"/>
      <c r="BC237" s="1370"/>
      <c r="BD237" s="1106"/>
      <c r="BE237" s="1106"/>
      <c r="BF237" s="1073"/>
      <c r="BG237" s="356"/>
      <c r="BH237" s="356"/>
    </row>
    <row r="238" spans="2:60" ht="100" customHeight="1" thickTop="1" thickBot="1" x14ac:dyDescent="1.05">
      <c r="B238" s="356"/>
      <c r="C238" s="356"/>
      <c r="D238" s="356"/>
      <c r="E238" s="578"/>
      <c r="F238" s="386"/>
      <c r="G238" s="386"/>
      <c r="H238" s="390"/>
      <c r="I238" s="484"/>
      <c r="J238" s="386"/>
      <c r="K238" s="386"/>
      <c r="L238" s="386"/>
      <c r="M238" s="386"/>
      <c r="N238" s="1111"/>
      <c r="O238" s="386"/>
      <c r="P238" s="2223"/>
      <c r="Q238" s="579"/>
      <c r="R238" s="602" t="s">
        <v>199</v>
      </c>
      <c r="S238" s="602"/>
      <c r="T238" s="602"/>
      <c r="U238" s="1041"/>
      <c r="V238" s="1067"/>
      <c r="W238" s="573"/>
      <c r="X238" s="1370"/>
      <c r="Y238" s="573"/>
      <c r="Z238" s="356"/>
      <c r="AA238" s="356"/>
      <c r="AB238" s="356"/>
      <c r="AJ238" s="356"/>
      <c r="AK238" s="623"/>
      <c r="AL238" s="1112"/>
      <c r="AM238" s="464"/>
      <c r="AN238" s="1111"/>
      <c r="AO238" s="1081"/>
      <c r="AP238" s="1083"/>
      <c r="AQ238" s="461"/>
      <c r="AR238" s="461"/>
      <c r="AS238" s="1111"/>
      <c r="AT238" s="461"/>
      <c r="AU238" s="464"/>
      <c r="AV238" s="2129"/>
      <c r="AW238" s="1095"/>
      <c r="AX238" s="1898" t="s">
        <v>26</v>
      </c>
      <c r="AY238" s="1898"/>
      <c r="AZ238" s="1898"/>
      <c r="BA238" s="1041"/>
      <c r="BB238" s="641"/>
      <c r="BC238" s="356"/>
      <c r="BD238" s="1106"/>
      <c r="BE238" s="1106"/>
      <c r="BF238" s="1073"/>
      <c r="BG238" s="356"/>
      <c r="BH238" s="356"/>
    </row>
    <row r="239" spans="2:60" ht="100" customHeight="1" thickTop="1" x14ac:dyDescent="1">
      <c r="B239" s="356"/>
      <c r="C239" s="356"/>
      <c r="D239" s="356"/>
      <c r="E239" s="601"/>
      <c r="F239" s="2035" t="s">
        <v>209</v>
      </c>
      <c r="G239" s="2036"/>
      <c r="H239" s="2036"/>
      <c r="I239" s="2036"/>
      <c r="J239" s="2036"/>
      <c r="K239" s="2036"/>
      <c r="L239" s="2036"/>
      <c r="M239" s="2036"/>
      <c r="N239" s="2036"/>
      <c r="O239" s="2134"/>
      <c r="P239" s="2129"/>
      <c r="Q239" s="579"/>
      <c r="R239" s="607" t="s">
        <v>121</v>
      </c>
      <c r="S239" s="607"/>
      <c r="T239" s="607"/>
      <c r="U239" s="1041"/>
      <c r="V239" s="1067"/>
      <c r="W239" s="573"/>
      <c r="X239" s="1072"/>
      <c r="Y239" s="1370"/>
      <c r="Z239" s="1370"/>
      <c r="AA239" s="1370"/>
      <c r="AB239" s="356"/>
      <c r="AJ239" s="356"/>
      <c r="AK239" s="601"/>
      <c r="AL239" s="2035" t="s">
        <v>209</v>
      </c>
      <c r="AM239" s="2036"/>
      <c r="AN239" s="2036"/>
      <c r="AO239" s="2036"/>
      <c r="AP239" s="2036"/>
      <c r="AQ239" s="2036"/>
      <c r="AR239" s="2036"/>
      <c r="AS239" s="2036"/>
      <c r="AT239" s="2036"/>
      <c r="AU239" s="2036"/>
      <c r="AV239" s="2129"/>
      <c r="AW239" s="579"/>
      <c r="AX239" s="1867" t="s">
        <v>121</v>
      </c>
      <c r="AY239" s="1867"/>
      <c r="AZ239" s="1867"/>
      <c r="BA239" s="1041"/>
      <c r="BB239" s="641"/>
      <c r="BC239" s="1370"/>
      <c r="BD239" s="1106"/>
      <c r="BE239" s="1106"/>
      <c r="BF239" s="1073"/>
      <c r="BG239" s="356"/>
      <c r="BH239" s="356"/>
    </row>
    <row r="240" spans="2:60" ht="100" customHeight="1" thickBot="1" x14ac:dyDescent="1.05">
      <c r="B240" s="356"/>
      <c r="C240" s="356"/>
      <c r="D240" s="356"/>
      <c r="E240" s="1048"/>
      <c r="F240" s="2037"/>
      <c r="G240" s="2038"/>
      <c r="H240" s="2038"/>
      <c r="I240" s="2038"/>
      <c r="J240" s="2038"/>
      <c r="K240" s="2038"/>
      <c r="L240" s="2038"/>
      <c r="M240" s="2038"/>
      <c r="N240" s="2038"/>
      <c r="O240" s="2135"/>
      <c r="P240" s="2129"/>
      <c r="Q240" s="579"/>
      <c r="R240" s="602">
        <v>800</v>
      </c>
      <c r="S240" s="602"/>
      <c r="T240" s="602"/>
      <c r="U240" s="1074"/>
      <c r="V240" s="1067"/>
      <c r="W240" s="573"/>
      <c r="X240" s="1089"/>
      <c r="Y240" s="1370"/>
      <c r="Z240" s="1370"/>
      <c r="AA240" s="1370"/>
      <c r="AB240" s="356"/>
      <c r="AH240" s="408"/>
      <c r="AJ240" s="356"/>
      <c r="AK240" s="1048"/>
      <c r="AL240" s="2037"/>
      <c r="AM240" s="2038"/>
      <c r="AN240" s="2038"/>
      <c r="AO240" s="2038"/>
      <c r="AP240" s="2038"/>
      <c r="AQ240" s="2038"/>
      <c r="AR240" s="2038"/>
      <c r="AS240" s="2038"/>
      <c r="AT240" s="2038"/>
      <c r="AU240" s="2038"/>
      <c r="AV240" s="2129"/>
      <c r="AW240" s="1109"/>
      <c r="AX240" s="1940">
        <v>300</v>
      </c>
      <c r="AY240" s="1940"/>
      <c r="AZ240" s="2132"/>
      <c r="BA240" s="1074"/>
      <c r="BB240" s="641"/>
      <c r="BC240" s="1370"/>
      <c r="BD240" s="1106"/>
      <c r="BE240" s="1106"/>
      <c r="BF240" s="1073"/>
      <c r="BG240" s="356"/>
      <c r="BH240" s="356"/>
    </row>
    <row r="241" spans="2:60" ht="100" customHeight="1" thickTop="1" thickBot="1" x14ac:dyDescent="1.05">
      <c r="B241" s="356"/>
      <c r="C241" s="356"/>
      <c r="D241" s="356"/>
      <c r="E241" s="577"/>
      <c r="F241" s="452"/>
      <c r="G241" s="452"/>
      <c r="H241" s="456"/>
      <c r="I241" s="452"/>
      <c r="J241" s="452"/>
      <c r="K241" s="452"/>
      <c r="L241" s="452"/>
      <c r="M241" s="452"/>
      <c r="N241" s="609"/>
      <c r="O241" s="452"/>
      <c r="P241" s="2223"/>
      <c r="Q241" s="1472"/>
      <c r="R241" s="590"/>
      <c r="S241" s="590"/>
      <c r="T241" s="590"/>
      <c r="U241" s="1041"/>
      <c r="V241" s="1067"/>
      <c r="W241" s="573"/>
      <c r="X241" s="1072"/>
      <c r="Y241" s="573"/>
      <c r="Z241" s="573"/>
      <c r="AA241" s="1370"/>
      <c r="AB241" s="356"/>
      <c r="AH241" s="408"/>
      <c r="AJ241" s="356"/>
      <c r="AK241" s="574"/>
      <c r="AL241" s="452"/>
      <c r="AM241" s="609"/>
      <c r="AN241" s="386"/>
      <c r="AO241" s="386"/>
      <c r="AP241" s="1094"/>
      <c r="AQ241" s="386"/>
      <c r="AR241" s="386"/>
      <c r="AS241" s="609"/>
      <c r="AT241" s="386"/>
      <c r="AU241" s="456"/>
      <c r="AV241" s="2129"/>
      <c r="AW241" s="579"/>
      <c r="AX241" s="1959" t="s">
        <v>26</v>
      </c>
      <c r="AY241" s="1959"/>
      <c r="AZ241" s="2139"/>
      <c r="BA241" s="1041"/>
      <c r="BB241" s="641"/>
      <c r="BC241" s="1370"/>
      <c r="BD241" s="1106"/>
      <c r="BE241" s="1106"/>
      <c r="BF241" s="1073"/>
      <c r="BG241" s="356"/>
      <c r="BH241" s="356"/>
    </row>
    <row r="242" spans="2:60" ht="100" customHeight="1" thickTop="1" thickBot="1" x14ac:dyDescent="1.05">
      <c r="B242" s="356"/>
      <c r="C242" s="356"/>
      <c r="D242" s="356"/>
      <c r="E242" s="577"/>
      <c r="F242" s="506"/>
      <c r="G242" s="506"/>
      <c r="H242" s="507"/>
      <c r="I242" s="506"/>
      <c r="J242" s="506"/>
      <c r="K242" s="506"/>
      <c r="L242" s="579"/>
      <c r="M242" s="566"/>
      <c r="N242" s="579"/>
      <c r="O242" s="579"/>
      <c r="P242" s="2224"/>
      <c r="Q242" s="1468"/>
      <c r="R242" s="579"/>
      <c r="S242" s="579"/>
      <c r="T242" s="1471"/>
      <c r="U242" s="1041"/>
      <c r="V242" s="1067"/>
      <c r="W242" s="573"/>
      <c r="X242" s="573"/>
      <c r="Y242" s="641"/>
      <c r="Z242" s="641"/>
      <c r="AA242" s="1370"/>
      <c r="AB242" s="356"/>
      <c r="AJ242" s="356"/>
      <c r="AK242" s="577"/>
      <c r="AL242" s="507" t="s">
        <v>152</v>
      </c>
      <c r="AM242" s="489"/>
      <c r="AN242" s="615" t="s">
        <v>152</v>
      </c>
      <c r="AO242" s="507"/>
      <c r="AP242" s="491" t="s">
        <v>152</v>
      </c>
      <c r="AQ242" s="489"/>
      <c r="AR242" s="507" t="s">
        <v>152</v>
      </c>
      <c r="AS242" s="489"/>
      <c r="AT242" s="506" t="s">
        <v>152</v>
      </c>
      <c r="AU242" s="930"/>
      <c r="AV242" s="2129"/>
      <c r="AW242" s="1113"/>
      <c r="AX242" s="1867" t="s">
        <v>125</v>
      </c>
      <c r="AY242" s="1867"/>
      <c r="AZ242" s="1867"/>
      <c r="BA242" s="1041"/>
      <c r="BB242" s="641"/>
      <c r="BC242" s="356"/>
      <c r="BD242" s="1106"/>
      <c r="BE242" s="1106"/>
      <c r="BF242" s="1073"/>
      <c r="BG242" s="356"/>
      <c r="BH242" s="356"/>
    </row>
    <row r="243" spans="2:60" ht="100" customHeight="1" thickTop="1" x14ac:dyDescent="1">
      <c r="B243" s="356"/>
      <c r="C243" s="356"/>
      <c r="D243" s="356"/>
      <c r="E243" s="578"/>
      <c r="F243" s="1867" t="s">
        <v>132</v>
      </c>
      <c r="G243" s="1867"/>
      <c r="H243" s="1869"/>
      <c r="I243" s="489"/>
      <c r="J243" s="1867" t="s">
        <v>132</v>
      </c>
      <c r="K243" s="1867"/>
      <c r="L243" s="1874"/>
      <c r="M243" s="930"/>
      <c r="N243" s="689" t="s">
        <v>132</v>
      </c>
      <c r="O243" s="386"/>
      <c r="P243" s="2224"/>
      <c r="Q243" s="1473"/>
      <c r="R243" s="1470"/>
      <c r="S243" s="1470"/>
      <c r="T243" s="579"/>
      <c r="U243" s="1041"/>
      <c r="V243" s="1067"/>
      <c r="W243" s="573"/>
      <c r="X243" s="573"/>
      <c r="Y243" s="1114"/>
      <c r="Z243" s="573"/>
      <c r="AA243" s="1370"/>
      <c r="AB243" s="356"/>
      <c r="AJ243" s="356"/>
      <c r="AK243" s="578"/>
      <c r="AL243" s="507" t="s">
        <v>153</v>
      </c>
      <c r="AM243" s="489"/>
      <c r="AN243" s="615" t="s">
        <v>154</v>
      </c>
      <c r="AO243" s="507"/>
      <c r="AP243" s="491" t="s">
        <v>154</v>
      </c>
      <c r="AQ243" s="489"/>
      <c r="AR243" s="507" t="s">
        <v>154</v>
      </c>
      <c r="AS243" s="489"/>
      <c r="AT243" s="506" t="s">
        <v>154</v>
      </c>
      <c r="AU243" s="930"/>
      <c r="AV243" s="2129"/>
      <c r="AW243" s="579"/>
      <c r="AX243" s="1867">
        <v>500</v>
      </c>
      <c r="AY243" s="1867"/>
      <c r="AZ243" s="1867"/>
      <c r="BA243" s="1041"/>
      <c r="BB243" s="641"/>
      <c r="BC243" s="356"/>
      <c r="BD243" s="1106"/>
      <c r="BE243" s="1106"/>
      <c r="BF243" s="356"/>
      <c r="BG243" s="356"/>
      <c r="BH243" s="356"/>
    </row>
    <row r="244" spans="2:60" ht="100" customHeight="1" thickBot="1" x14ac:dyDescent="1.05">
      <c r="B244" s="356"/>
      <c r="C244" s="356"/>
      <c r="D244" s="356"/>
      <c r="E244" s="578"/>
      <c r="F244" s="1867" t="s">
        <v>153</v>
      </c>
      <c r="G244" s="1867"/>
      <c r="H244" s="1869"/>
      <c r="I244" s="489"/>
      <c r="J244" s="1867" t="s">
        <v>153</v>
      </c>
      <c r="K244" s="1867"/>
      <c r="L244" s="1874"/>
      <c r="M244" s="930"/>
      <c r="N244" s="506" t="s">
        <v>153</v>
      </c>
      <c r="O244" s="579"/>
      <c r="P244" s="2223"/>
      <c r="Q244" s="579"/>
      <c r="R244" s="602" t="s">
        <v>199</v>
      </c>
      <c r="S244" s="602"/>
      <c r="T244" s="602"/>
      <c r="U244" s="1041"/>
      <c r="V244" s="1067"/>
      <c r="W244" s="573"/>
      <c r="X244" s="1072"/>
      <c r="Y244" s="573"/>
      <c r="Z244" s="573"/>
      <c r="AA244" s="1370"/>
      <c r="AB244" s="356"/>
      <c r="AJ244" s="356"/>
      <c r="AK244" s="623"/>
      <c r="AL244" s="507" t="s">
        <v>121</v>
      </c>
      <c r="AM244" s="489"/>
      <c r="AN244" s="615" t="s">
        <v>125</v>
      </c>
      <c r="AO244" s="507"/>
      <c r="AP244" s="491" t="s">
        <v>121</v>
      </c>
      <c r="AQ244" s="489"/>
      <c r="AR244" s="507" t="s">
        <v>20</v>
      </c>
      <c r="AS244" s="489"/>
      <c r="AT244" s="615" t="s">
        <v>20</v>
      </c>
      <c r="AU244" s="507"/>
      <c r="AV244" s="2129"/>
      <c r="AW244" s="1109"/>
      <c r="AX244" s="387"/>
      <c r="AY244" s="387"/>
      <c r="AZ244" s="387"/>
      <c r="BA244" s="1041"/>
      <c r="BB244" s="641"/>
      <c r="BC244" s="1370"/>
      <c r="BD244" s="1106"/>
      <c r="BE244" s="1106"/>
      <c r="BF244" s="1370"/>
      <c r="BG244" s="356"/>
      <c r="BH244" s="356"/>
    </row>
    <row r="245" spans="2:60" ht="100" customHeight="1" thickTop="1" x14ac:dyDescent="1">
      <c r="B245" s="356"/>
      <c r="C245" s="356"/>
      <c r="D245" s="356"/>
      <c r="E245" s="577"/>
      <c r="F245" s="1867" t="s">
        <v>20</v>
      </c>
      <c r="G245" s="1867"/>
      <c r="H245" s="1869"/>
      <c r="I245" s="489"/>
      <c r="J245" s="1867" t="s">
        <v>125</v>
      </c>
      <c r="K245" s="1867"/>
      <c r="L245" s="1874"/>
      <c r="M245" s="930"/>
      <c r="N245" s="506" t="s">
        <v>121</v>
      </c>
      <c r="O245" s="386"/>
      <c r="P245" s="2225"/>
      <c r="Q245" s="579"/>
      <c r="R245" s="602" t="s">
        <v>20</v>
      </c>
      <c r="S245" s="602"/>
      <c r="T245" s="602"/>
      <c r="U245" s="1074"/>
      <c r="V245" s="1067"/>
      <c r="W245" s="573"/>
      <c r="X245" s="1072"/>
      <c r="Y245" s="573"/>
      <c r="Z245" s="1370"/>
      <c r="AA245" s="1370"/>
      <c r="AB245" s="356"/>
      <c r="AJ245" s="356"/>
      <c r="AK245" s="578"/>
      <c r="AL245" s="507">
        <v>300</v>
      </c>
      <c r="AM245" s="489"/>
      <c r="AN245" s="615">
        <v>500</v>
      </c>
      <c r="AO245" s="507"/>
      <c r="AP245" s="491">
        <v>300</v>
      </c>
      <c r="AQ245" s="489"/>
      <c r="AR245" s="507">
        <v>450</v>
      </c>
      <c r="AS245" s="489"/>
      <c r="AT245" s="1057">
        <v>450</v>
      </c>
      <c r="AU245" s="507"/>
      <c r="AV245" s="2142"/>
      <c r="AW245" s="579"/>
      <c r="AX245" s="1898" t="s">
        <v>26</v>
      </c>
      <c r="AY245" s="1898"/>
      <c r="AZ245" s="1898"/>
      <c r="BA245" s="1074"/>
      <c r="BB245" s="641"/>
      <c r="BC245" s="1370"/>
      <c r="BD245" s="1106"/>
      <c r="BE245" s="1106"/>
      <c r="BF245" s="1073"/>
      <c r="BG245" s="356"/>
      <c r="BH245" s="356"/>
    </row>
    <row r="246" spans="2:60" ht="100" customHeight="1" thickBot="1" x14ac:dyDescent="1.05">
      <c r="B246" s="356"/>
      <c r="C246" s="356"/>
      <c r="D246" s="356"/>
      <c r="E246" s="578"/>
      <c r="F246" s="1972">
        <v>1100</v>
      </c>
      <c r="G246" s="1867"/>
      <c r="H246" s="1869"/>
      <c r="I246" s="489"/>
      <c r="J246" s="1972">
        <v>1400</v>
      </c>
      <c r="K246" s="1867"/>
      <c r="L246" s="1874"/>
      <c r="M246" s="506"/>
      <c r="N246" s="689">
        <v>800</v>
      </c>
      <c r="O246" s="386"/>
      <c r="P246" s="1115"/>
      <c r="Q246" s="1108"/>
      <c r="R246" s="621">
        <v>1100</v>
      </c>
      <c r="S246" s="621"/>
      <c r="T246" s="621"/>
      <c r="U246" s="1041"/>
      <c r="V246" s="1067"/>
      <c r="W246" s="573"/>
      <c r="X246" s="1098"/>
      <c r="Y246" s="573"/>
      <c r="Z246" s="1370"/>
      <c r="AA246" s="1370"/>
      <c r="AB246" s="356"/>
      <c r="AD246" s="358"/>
      <c r="AE246" s="358"/>
      <c r="AJ246" s="356"/>
      <c r="AK246" s="578"/>
      <c r="AL246" s="390"/>
      <c r="AM246" s="481"/>
      <c r="AN246" s="541"/>
      <c r="AO246" s="390"/>
      <c r="AP246" s="483"/>
      <c r="AQ246" s="481"/>
      <c r="AR246" s="390"/>
      <c r="AS246" s="481"/>
      <c r="AT246" s="1058"/>
      <c r="AU246" s="543"/>
      <c r="AV246" s="1105"/>
      <c r="AW246" s="579"/>
      <c r="AX246" s="1867" t="s">
        <v>121</v>
      </c>
      <c r="AY246" s="1867"/>
      <c r="AZ246" s="1867"/>
      <c r="BA246" s="1041"/>
      <c r="BB246" s="641"/>
      <c r="BC246" s="1370"/>
      <c r="BD246" s="1106"/>
      <c r="BE246" s="1106"/>
      <c r="BF246" s="1073"/>
      <c r="BG246" s="356"/>
      <c r="BH246" s="356"/>
    </row>
    <row r="247" spans="2:60" ht="100" customHeight="1" thickTop="1" thickBot="1" x14ac:dyDescent="1.05">
      <c r="B247" s="356"/>
      <c r="C247" s="356"/>
      <c r="D247" s="356"/>
      <c r="E247" s="574"/>
      <c r="F247" s="386"/>
      <c r="G247" s="386"/>
      <c r="H247" s="390"/>
      <c r="I247" s="386"/>
      <c r="J247" s="386"/>
      <c r="K247" s="386"/>
      <c r="L247" s="386"/>
      <c r="M247" s="556"/>
      <c r="N247" s="386"/>
      <c r="O247" s="386"/>
      <c r="P247" s="1103"/>
      <c r="Q247" s="1108"/>
      <c r="R247" s="727"/>
      <c r="S247" s="727"/>
      <c r="T247" s="727"/>
      <c r="U247" s="578"/>
      <c r="V247" s="1067"/>
      <c r="W247" s="573"/>
      <c r="X247" s="1073"/>
      <c r="Y247" s="573"/>
      <c r="Z247" s="573"/>
      <c r="AA247" s="1370"/>
      <c r="AB247" s="356"/>
      <c r="AJ247" s="356"/>
      <c r="AK247" s="623"/>
      <c r="AL247" s="390"/>
      <c r="AM247" s="481"/>
      <c r="AN247" s="541"/>
      <c r="AO247" s="390"/>
      <c r="AP247" s="483"/>
      <c r="AQ247" s="386"/>
      <c r="AR247" s="957"/>
      <c r="AS247" s="386"/>
      <c r="AT247" s="386"/>
      <c r="AU247" s="386"/>
      <c r="AV247" s="1105"/>
      <c r="AW247" s="1108"/>
      <c r="AX247" s="1867">
        <v>300</v>
      </c>
      <c r="AY247" s="1867"/>
      <c r="AZ247" s="1867"/>
      <c r="BA247" s="623"/>
      <c r="BB247" s="641"/>
      <c r="BC247" s="1370"/>
      <c r="BD247" s="1106"/>
      <c r="BE247" s="1106"/>
      <c r="BF247" s="1073"/>
      <c r="BG247" s="356"/>
      <c r="BH247" s="356"/>
    </row>
    <row r="248" spans="2:60" ht="10" customHeight="1" thickTop="1" thickBot="1" x14ac:dyDescent="1.05">
      <c r="B248" s="356"/>
      <c r="C248" s="356"/>
      <c r="D248" s="356"/>
      <c r="E248" s="574"/>
      <c r="F248" s="575"/>
      <c r="G248" s="561"/>
      <c r="H248" s="561"/>
      <c r="I248" s="561"/>
      <c r="J248" s="561"/>
      <c r="K248" s="561"/>
      <c r="L248" s="561"/>
      <c r="M248" s="561"/>
      <c r="N248" s="561"/>
      <c r="O248" s="561"/>
      <c r="P248" s="561"/>
      <c r="Q248" s="561"/>
      <c r="R248" s="561"/>
      <c r="S248" s="561"/>
      <c r="T248" s="561"/>
      <c r="U248" s="574"/>
      <c r="V248" s="1067"/>
      <c r="W248" s="573"/>
      <c r="X248" s="573"/>
      <c r="Y248" s="573"/>
      <c r="Z248" s="573"/>
      <c r="AA248" s="1370"/>
      <c r="AB248" s="356"/>
      <c r="AJ248" s="356"/>
      <c r="AK248" s="623"/>
      <c r="AL248" s="575"/>
      <c r="AM248" s="561"/>
      <c r="AN248" s="561"/>
      <c r="AO248" s="561"/>
      <c r="AP248" s="561"/>
      <c r="AQ248" s="561"/>
      <c r="AR248" s="561"/>
      <c r="AS248" s="561"/>
      <c r="AT248" s="561"/>
      <c r="AU248" s="561"/>
      <c r="AV248" s="561"/>
      <c r="AW248" s="561"/>
      <c r="AX248" s="561"/>
      <c r="AY248" s="561"/>
      <c r="AZ248" s="561"/>
      <c r="BA248" s="576"/>
      <c r="BB248" s="641"/>
      <c r="BC248" s="356"/>
      <c r="BD248" s="1106"/>
      <c r="BE248" s="1106"/>
      <c r="BF248" s="1073"/>
      <c r="BG248" s="356"/>
      <c r="BH248" s="356"/>
    </row>
    <row r="249" spans="2:60" ht="100" customHeight="1" thickTop="1" x14ac:dyDescent="1">
      <c r="B249" s="356"/>
      <c r="C249" s="356"/>
      <c r="D249" s="356"/>
      <c r="E249" s="571"/>
      <c r="F249" s="356"/>
      <c r="G249" s="356"/>
      <c r="H249" s="356"/>
      <c r="I249" s="356"/>
      <c r="J249" s="356"/>
      <c r="K249" s="356"/>
      <c r="L249" s="356"/>
      <c r="M249" s="356"/>
      <c r="N249" s="356"/>
      <c r="O249" s="356"/>
      <c r="P249" s="356"/>
      <c r="Q249" s="356"/>
      <c r="R249" s="356"/>
      <c r="S249" s="356"/>
      <c r="T249" s="356"/>
      <c r="U249" s="356"/>
      <c r="V249" s="1067"/>
      <c r="W249" s="573"/>
      <c r="X249" s="1073"/>
      <c r="Y249" s="1073"/>
      <c r="Z249" s="1073"/>
      <c r="AA249" s="1370"/>
      <c r="AB249" s="356"/>
      <c r="AJ249" s="356"/>
      <c r="AK249" s="356"/>
      <c r="AL249" s="1370"/>
      <c r="AM249" s="1370"/>
      <c r="AN249" s="1370"/>
      <c r="AO249" s="1370"/>
      <c r="AP249" s="1370"/>
      <c r="AQ249" s="1370"/>
      <c r="AR249" s="1370"/>
      <c r="AS249" s="1370"/>
      <c r="AT249" s="356"/>
      <c r="AU249" s="356"/>
      <c r="AV249" s="356"/>
      <c r="AW249" s="356"/>
      <c r="AX249" s="356"/>
      <c r="AY249" s="356"/>
      <c r="AZ249" s="1370"/>
      <c r="BA249" s="1370"/>
      <c r="BB249" s="356"/>
      <c r="BC249" s="356"/>
      <c r="BD249" s="1106"/>
      <c r="BE249" s="1106"/>
      <c r="BF249" s="1073"/>
      <c r="BG249" s="356"/>
      <c r="BH249" s="356"/>
    </row>
    <row r="250" spans="2:60" ht="340" customHeight="1" x14ac:dyDescent="1"/>
    <row r="251" spans="2:60" s="1426" customFormat="1" ht="190" customHeight="1" x14ac:dyDescent="1.2">
      <c r="C251" s="1431"/>
      <c r="F251" s="1457" t="s">
        <v>150</v>
      </c>
      <c r="G251" s="1457"/>
      <c r="H251" s="1435"/>
      <c r="I251" s="1435"/>
      <c r="J251" s="1435"/>
      <c r="K251" s="1435"/>
      <c r="L251" s="1435"/>
      <c r="M251" s="1435"/>
      <c r="N251" s="1435"/>
      <c r="O251" s="1435"/>
      <c r="P251" s="1435"/>
      <c r="Q251" s="1435"/>
      <c r="R251" s="1435"/>
      <c r="S251" s="1435"/>
      <c r="T251" s="1435"/>
      <c r="U251" s="1435"/>
      <c r="V251" s="1435"/>
      <c r="W251" s="1435"/>
      <c r="X251" s="1435"/>
      <c r="Y251" s="1435"/>
      <c r="Z251" s="1435"/>
      <c r="AA251" s="1435"/>
      <c r="AB251" s="1435"/>
      <c r="AC251" s="1435"/>
      <c r="AD251" s="1435"/>
      <c r="AE251" s="1435"/>
      <c r="AF251" s="1435"/>
      <c r="AG251" s="1435"/>
      <c r="AH251" s="1435"/>
      <c r="AI251" s="1435"/>
      <c r="AJ251" s="1435"/>
      <c r="AK251" s="1435"/>
      <c r="AL251" s="1435"/>
      <c r="AM251" s="1435"/>
      <c r="AN251" s="1435"/>
      <c r="AO251" s="1435"/>
      <c r="AP251" s="1435"/>
      <c r="AQ251" s="1435"/>
      <c r="AR251" s="1435"/>
      <c r="AS251" s="1435"/>
      <c r="AT251" s="1435"/>
      <c r="AU251" s="1435"/>
      <c r="AV251" s="1435"/>
      <c r="AW251" s="1435"/>
      <c r="AX251" s="1435"/>
      <c r="AY251" s="1435"/>
      <c r="AZ251" s="1435"/>
      <c r="BA251" s="1435"/>
      <c r="BB251" s="1435"/>
      <c r="BC251" s="1435"/>
      <c r="BD251" s="1435"/>
      <c r="BE251" s="1435"/>
      <c r="BF251" s="1435"/>
      <c r="BG251" s="1435"/>
      <c r="BH251" s="1435"/>
    </row>
    <row r="252" spans="2:60" s="1429" customFormat="1" ht="100" customHeight="1" x14ac:dyDescent="1.2">
      <c r="C252" s="1432"/>
      <c r="F252" s="1458"/>
      <c r="G252" s="1458"/>
    </row>
    <row r="253" spans="2:60" s="1429" customFormat="1" ht="100" customHeight="1" x14ac:dyDescent="1.2">
      <c r="C253" s="1432"/>
      <c r="F253" s="1459" t="s">
        <v>231</v>
      </c>
      <c r="G253" s="1459"/>
      <c r="I253" s="1426"/>
      <c r="J253" s="1426" t="s">
        <v>232</v>
      </c>
      <c r="K253" s="1426"/>
      <c r="L253" s="1426"/>
      <c r="M253" s="1426"/>
      <c r="N253" s="1426"/>
      <c r="O253" s="1426"/>
      <c r="P253" s="1426"/>
      <c r="Q253" s="1426"/>
      <c r="R253" s="1426"/>
      <c r="S253" s="1426"/>
      <c r="T253" s="1426"/>
      <c r="U253" s="1426"/>
      <c r="V253" s="1426"/>
      <c r="W253" s="1426"/>
      <c r="X253" s="1426"/>
      <c r="Y253" s="1426"/>
      <c r="Z253" s="1426"/>
      <c r="AA253" s="1426"/>
      <c r="AB253" s="1426"/>
      <c r="AC253" s="1426"/>
      <c r="AD253" s="1426"/>
      <c r="AE253" s="1426"/>
      <c r="AF253" s="1426"/>
      <c r="AG253" s="1426"/>
      <c r="AH253" s="1426"/>
      <c r="AI253" s="1426"/>
      <c r="AJ253" s="1426"/>
      <c r="AK253" s="1426"/>
      <c r="AL253" s="1426"/>
      <c r="AM253" s="1426"/>
      <c r="AN253" s="1426"/>
      <c r="AO253" s="1426"/>
      <c r="AP253" s="1426"/>
      <c r="AQ253" s="1426"/>
      <c r="AR253" s="1426"/>
      <c r="AS253" s="1426"/>
    </row>
    <row r="254" spans="2:60" s="1429" customFormat="1" ht="100" customHeight="1" x14ac:dyDescent="1.2">
      <c r="C254" s="1432"/>
      <c r="F254" s="1459"/>
      <c r="G254" s="1459"/>
      <c r="I254" s="1426"/>
      <c r="J254" s="1431" t="s">
        <v>233</v>
      </c>
      <c r="K254" s="1426"/>
      <c r="L254" s="1426"/>
      <c r="M254" s="1426"/>
      <c r="N254" s="1426"/>
      <c r="O254" s="1426"/>
      <c r="P254" s="1426"/>
      <c r="Q254" s="1426"/>
      <c r="R254" s="1426"/>
      <c r="S254" s="1426"/>
      <c r="T254" s="1426"/>
      <c r="U254" s="1426"/>
      <c r="V254" s="1426"/>
      <c r="W254" s="1426"/>
      <c r="X254" s="1426"/>
      <c r="Y254" s="1426"/>
      <c r="Z254" s="1426"/>
      <c r="AA254" s="1426"/>
      <c r="AB254" s="1426"/>
      <c r="AC254" s="1426"/>
      <c r="AD254" s="1426"/>
      <c r="AE254" s="1426"/>
      <c r="AF254" s="1426"/>
      <c r="AG254" s="1426"/>
      <c r="AH254" s="1426"/>
      <c r="AI254" s="1426"/>
      <c r="AJ254" s="1426"/>
      <c r="AK254" s="1426"/>
      <c r="AL254" s="1426"/>
      <c r="AM254" s="1426"/>
      <c r="AN254" s="1426"/>
      <c r="AO254" s="1426"/>
      <c r="AP254" s="1426"/>
      <c r="AQ254" s="1426"/>
      <c r="AR254" s="1426"/>
      <c r="AS254" s="1426"/>
    </row>
    <row r="255" spans="2:60" s="1429" customFormat="1" ht="100" customHeight="1" x14ac:dyDescent="1.2">
      <c r="C255" s="1432"/>
      <c r="F255" s="1459"/>
      <c r="G255" s="1459"/>
      <c r="I255" s="1426"/>
      <c r="J255" s="1431"/>
      <c r="K255" s="1426"/>
      <c r="L255" s="1426"/>
      <c r="M255" s="1426"/>
      <c r="N255" s="1426"/>
      <c r="O255" s="1426"/>
      <c r="P255" s="1426"/>
      <c r="Q255" s="1426"/>
      <c r="R255" s="1426"/>
      <c r="S255" s="1426"/>
      <c r="T255" s="1426"/>
      <c r="U255" s="1426"/>
      <c r="V255" s="1426"/>
      <c r="W255" s="1426"/>
      <c r="X255" s="1426"/>
      <c r="Y255" s="1426"/>
      <c r="Z255" s="1426"/>
      <c r="AA255" s="1426"/>
      <c r="AB255" s="1426"/>
      <c r="AC255" s="1426"/>
      <c r="AD255" s="1426"/>
      <c r="AE255" s="1426"/>
      <c r="AF255" s="1426"/>
      <c r="AG255" s="1426"/>
      <c r="AH255" s="1426"/>
      <c r="AI255" s="1426"/>
      <c r="AJ255" s="1426"/>
      <c r="AK255" s="1426"/>
      <c r="AL255" s="1426"/>
      <c r="AM255" s="1426"/>
      <c r="AN255" s="1426"/>
      <c r="AO255" s="1426"/>
      <c r="AP255" s="1426"/>
      <c r="AQ255" s="1426"/>
      <c r="AR255" s="1426"/>
      <c r="AS255" s="1426"/>
    </row>
    <row r="256" spans="2:60" s="1429" customFormat="1" ht="100" customHeight="1" x14ac:dyDescent="1.2">
      <c r="C256" s="1432"/>
      <c r="F256" s="1459"/>
      <c r="G256" s="1459"/>
      <c r="I256" s="1426"/>
      <c r="J256" s="1431" t="s">
        <v>278</v>
      </c>
      <c r="K256" s="1426"/>
      <c r="L256" s="1426"/>
      <c r="M256" s="1426"/>
      <c r="N256" s="1426"/>
      <c r="O256" s="1426"/>
      <c r="P256" s="1426"/>
      <c r="Q256" s="1426"/>
      <c r="R256" s="1426"/>
      <c r="S256" s="1426"/>
      <c r="T256" s="1426"/>
      <c r="U256" s="1426"/>
      <c r="V256" s="1426"/>
      <c r="W256" s="1426"/>
      <c r="X256" s="1426"/>
      <c r="Y256" s="1426"/>
      <c r="Z256" s="1426"/>
      <c r="AA256" s="1426"/>
      <c r="AB256" s="1426"/>
      <c r="AC256" s="1426"/>
      <c r="AD256" s="1426"/>
      <c r="AE256" s="1426"/>
      <c r="AF256" s="1426"/>
      <c r="AG256" s="1426"/>
      <c r="AH256" s="1426"/>
      <c r="AI256" s="1426"/>
      <c r="AJ256" s="1426"/>
      <c r="AK256" s="1426"/>
      <c r="AL256" s="1426"/>
      <c r="AM256" s="1426"/>
      <c r="AN256" s="1426"/>
      <c r="AO256" s="1426"/>
      <c r="AP256" s="1426"/>
      <c r="AQ256" s="1426"/>
      <c r="AR256" s="1426"/>
      <c r="AS256" s="1426"/>
    </row>
    <row r="257" spans="3:59" s="1429" customFormat="1" ht="100" customHeight="1" x14ac:dyDescent="1.2">
      <c r="C257" s="1432"/>
      <c r="F257" s="1459"/>
      <c r="G257" s="1459"/>
      <c r="I257" s="1426"/>
      <c r="J257" s="1431"/>
      <c r="K257" s="1426"/>
      <c r="L257" s="1426"/>
      <c r="M257" s="1426"/>
      <c r="N257" s="1426"/>
      <c r="O257" s="1426"/>
      <c r="P257" s="1426"/>
      <c r="Q257" s="1426"/>
      <c r="R257" s="1426"/>
      <c r="S257" s="1426"/>
      <c r="T257" s="1426"/>
      <c r="U257" s="1426"/>
      <c r="V257" s="1426"/>
      <c r="W257" s="1426"/>
      <c r="X257" s="1426"/>
      <c r="Y257" s="1426"/>
      <c r="Z257" s="1426"/>
      <c r="AA257" s="1426"/>
      <c r="AB257" s="1426"/>
      <c r="AC257" s="1426"/>
      <c r="AD257" s="1426"/>
      <c r="AE257" s="1426"/>
      <c r="AF257" s="1426"/>
      <c r="AG257" s="1426"/>
      <c r="AH257" s="1426"/>
      <c r="AI257" s="1426"/>
      <c r="AJ257" s="1426"/>
      <c r="AK257" s="1426"/>
      <c r="AL257" s="1426"/>
      <c r="AM257" s="1426"/>
      <c r="AN257" s="1426"/>
      <c r="AO257" s="1426"/>
      <c r="AP257" s="1426"/>
      <c r="AQ257" s="1426"/>
      <c r="AR257" s="1426"/>
      <c r="AS257" s="1426"/>
    </row>
    <row r="258" spans="3:59" s="1429" customFormat="1" ht="100" customHeight="1" x14ac:dyDescent="1.2">
      <c r="C258" s="1432"/>
      <c r="F258" s="1459"/>
      <c r="G258" s="1459"/>
      <c r="I258" s="1426"/>
      <c r="J258" s="1431" t="s">
        <v>255</v>
      </c>
      <c r="K258" s="1426"/>
      <c r="L258" s="1426"/>
      <c r="M258" s="1426"/>
      <c r="N258" s="1426"/>
      <c r="O258" s="1426"/>
      <c r="P258" s="1426"/>
      <c r="Q258" s="1426"/>
      <c r="R258" s="1426"/>
      <c r="S258" s="1426"/>
      <c r="T258" s="1426"/>
      <c r="U258" s="1426"/>
      <c r="V258" s="1426"/>
      <c r="W258" s="1426"/>
      <c r="X258" s="1426"/>
      <c r="Y258" s="1426"/>
      <c r="Z258" s="1426"/>
      <c r="AA258" s="1426"/>
      <c r="AB258" s="1426"/>
      <c r="AC258" s="1426"/>
      <c r="AD258" s="1426"/>
      <c r="AE258" s="1426"/>
      <c r="AF258" s="1426"/>
      <c r="AG258" s="1426"/>
      <c r="AH258" s="1426"/>
      <c r="AI258" s="1426"/>
      <c r="AJ258" s="1426"/>
      <c r="AK258" s="1426"/>
      <c r="AL258" s="1426"/>
      <c r="AM258" s="1426"/>
      <c r="AN258" s="1426"/>
      <c r="AO258" s="1426"/>
      <c r="AP258" s="1426"/>
      <c r="AQ258" s="1426"/>
      <c r="AR258" s="1426"/>
      <c r="AS258" s="1426"/>
    </row>
    <row r="259" spans="3:59" ht="100" customHeight="1" thickBot="1" x14ac:dyDescent="1.05">
      <c r="H259" s="1117"/>
      <c r="I259" s="1117"/>
      <c r="K259" s="1117"/>
      <c r="L259" s="1117"/>
      <c r="M259" s="1117"/>
      <c r="N259" s="1117"/>
      <c r="O259" s="1117"/>
      <c r="P259" s="1117"/>
      <c r="Q259" s="1117"/>
      <c r="R259" s="1117"/>
      <c r="S259" s="1117"/>
      <c r="T259" s="1117"/>
      <c r="U259" s="408"/>
      <c r="Y259" s="562"/>
      <c r="AH259" s="1118"/>
    </row>
    <row r="260" spans="3:59" ht="10" customHeight="1" thickTop="1" thickBot="1" x14ac:dyDescent="1.05">
      <c r="E260" s="630"/>
      <c r="F260" s="1119"/>
      <c r="G260" s="634"/>
      <c r="H260" s="885"/>
      <c r="I260" s="885"/>
      <c r="J260" s="634"/>
      <c r="K260" s="885"/>
      <c r="L260" s="885"/>
      <c r="M260" s="885"/>
      <c r="N260" s="885"/>
      <c r="O260" s="885"/>
      <c r="P260" s="885"/>
      <c r="Q260" s="885"/>
      <c r="R260" s="885"/>
      <c r="S260" s="885"/>
      <c r="T260" s="652"/>
      <c r="U260" s="852"/>
      <c r="V260" s="1120"/>
      <c r="W260" s="1120"/>
      <c r="X260" s="1121"/>
      <c r="Y260" s="1122"/>
      <c r="Z260" s="1123"/>
      <c r="AA260" s="1123"/>
      <c r="AB260" s="1123"/>
      <c r="AC260" s="1123"/>
      <c r="AD260" s="1123"/>
      <c r="AE260" s="1123"/>
      <c r="AF260" s="1124"/>
      <c r="AG260" s="1125"/>
      <c r="AH260" s="1126"/>
      <c r="AI260" s="1127"/>
      <c r="AJ260" s="1128"/>
      <c r="AK260" s="1129"/>
      <c r="AL260" s="1129"/>
      <c r="AM260" s="1129"/>
      <c r="AN260" s="1129"/>
      <c r="AO260" s="1129"/>
      <c r="AP260" s="1130"/>
      <c r="AQ260" s="1131"/>
      <c r="AR260" s="1132"/>
      <c r="AS260" s="1132"/>
      <c r="AT260" s="1133"/>
      <c r="AU260" s="852"/>
      <c r="AV260" s="883"/>
      <c r="AW260" s="634"/>
      <c r="AX260" s="632"/>
      <c r="AY260" s="632"/>
      <c r="AZ260" s="632"/>
      <c r="BA260" s="632"/>
      <c r="BB260" s="632"/>
      <c r="BC260" s="632"/>
      <c r="BD260" s="632"/>
      <c r="BE260" s="632"/>
      <c r="BF260" s="633"/>
      <c r="BG260" s="633"/>
    </row>
    <row r="261" spans="3:59" ht="100" customHeight="1" thickTop="1" x14ac:dyDescent="1">
      <c r="E261" s="635"/>
      <c r="F261" s="1134"/>
      <c r="G261" s="1134"/>
      <c r="H261" s="1134"/>
      <c r="I261" s="1134"/>
      <c r="J261" s="1134"/>
      <c r="K261" s="1134"/>
      <c r="L261" s="1134"/>
      <c r="M261" s="1134"/>
      <c r="N261" s="388"/>
      <c r="O261" s="388"/>
      <c r="P261" s="1135"/>
      <c r="Q261" s="1135"/>
      <c r="R261" s="1135"/>
      <c r="S261" s="1135"/>
      <c r="T261" s="1136"/>
      <c r="U261" s="673"/>
      <c r="V261" s="1137"/>
      <c r="W261" s="1137"/>
      <c r="X261" s="1138"/>
      <c r="Y261" s="1139"/>
      <c r="Z261" s="1140"/>
      <c r="AA261" s="1140"/>
      <c r="AB261" s="1140"/>
      <c r="AC261" s="1140"/>
      <c r="AD261" s="1140"/>
      <c r="AE261" s="1140"/>
      <c r="AF261" s="1141"/>
      <c r="AG261" s="1142"/>
      <c r="AH261" s="2154" t="s">
        <v>171</v>
      </c>
      <c r="AI261" s="1143"/>
      <c r="AJ261" s="1144"/>
      <c r="AK261" s="392"/>
      <c r="AL261" s="392"/>
      <c r="AM261" s="392"/>
      <c r="AN261" s="392"/>
      <c r="AO261" s="1145"/>
      <c r="AP261" s="1146"/>
      <c r="AQ261" s="1147"/>
      <c r="AR261" s="1015"/>
      <c r="AS261" s="1015"/>
      <c r="AT261" s="1148"/>
      <c r="AU261" s="852"/>
      <c r="AV261" s="1149"/>
      <c r="AW261" s="1149"/>
      <c r="AX261" s="1134"/>
      <c r="AY261" s="1134"/>
      <c r="AZ261" s="388"/>
      <c r="BA261" s="388"/>
      <c r="BB261" s="1134"/>
      <c r="BC261" s="1134"/>
      <c r="BD261" s="1134"/>
      <c r="BE261" s="1134"/>
      <c r="BF261" s="1150"/>
      <c r="BG261" s="673"/>
    </row>
    <row r="262" spans="3:59" ht="100" customHeight="1" x14ac:dyDescent="1">
      <c r="E262" s="635"/>
      <c r="F262" s="1134"/>
      <c r="G262" s="1134"/>
      <c r="H262" s="1134"/>
      <c r="I262" s="1134"/>
      <c r="J262" s="1134"/>
      <c r="K262" s="1134"/>
      <c r="L262" s="1134"/>
      <c r="M262" s="1134"/>
      <c r="N262" s="388"/>
      <c r="O262" s="388"/>
      <c r="P262" s="1135"/>
      <c r="Q262" s="1135"/>
      <c r="R262" s="1135"/>
      <c r="S262" s="1135"/>
      <c r="T262" s="1136"/>
      <c r="U262" s="673"/>
      <c r="V262" s="1137"/>
      <c r="W262" s="1137"/>
      <c r="X262" s="1138"/>
      <c r="Y262" s="1139"/>
      <c r="Z262" s="1140"/>
      <c r="AA262" s="1140"/>
      <c r="AB262" s="1140"/>
      <c r="AC262" s="1140"/>
      <c r="AD262" s="1140"/>
      <c r="AE262" s="1140"/>
      <c r="AF262" s="1141"/>
      <c r="AG262" s="1142"/>
      <c r="AH262" s="2044"/>
      <c r="AI262" s="1151"/>
      <c r="AJ262" s="1144"/>
      <c r="AK262" s="392"/>
      <c r="AL262" s="392"/>
      <c r="AM262" s="392"/>
      <c r="AN262" s="392"/>
      <c r="AO262" s="392"/>
      <c r="AP262" s="1146"/>
      <c r="AQ262" s="1147"/>
      <c r="AR262" s="1015"/>
      <c r="AS262" s="1015"/>
      <c r="AT262" s="1148"/>
      <c r="AU262" s="673"/>
      <c r="AV262" s="1135"/>
      <c r="AW262" s="1135"/>
      <c r="AX262" s="1134"/>
      <c r="AY262" s="1134"/>
      <c r="AZ262" s="388"/>
      <c r="BA262" s="388"/>
      <c r="BB262" s="1134"/>
      <c r="BC262" s="1134"/>
      <c r="BD262" s="1134"/>
      <c r="BE262" s="1134"/>
      <c r="BF262" s="1150"/>
      <c r="BG262" s="673"/>
    </row>
    <row r="263" spans="3:59" ht="100" customHeight="1" thickBot="1" x14ac:dyDescent="1.05">
      <c r="E263" s="635"/>
      <c r="F263" s="1203"/>
      <c r="G263" s="1203"/>
      <c r="H263" s="1203"/>
      <c r="I263" s="1203"/>
      <c r="J263" s="1203"/>
      <c r="K263" s="1203"/>
      <c r="L263" s="1203"/>
      <c r="M263" s="1203"/>
      <c r="N263" s="869"/>
      <c r="O263" s="869"/>
      <c r="P263" s="1209"/>
      <c r="Q263" s="1209"/>
      <c r="R263" s="1135"/>
      <c r="S263" s="1135"/>
      <c r="T263" s="1136"/>
      <c r="U263" s="673"/>
      <c r="V263" s="2158" t="s">
        <v>93</v>
      </c>
      <c r="W263" s="2158"/>
      <c r="X263" s="2159"/>
      <c r="Y263" s="1152"/>
      <c r="Z263" s="1153"/>
      <c r="AA263" s="1153"/>
      <c r="AB263" s="1153"/>
      <c r="AC263" s="1153"/>
      <c r="AD263" s="1153"/>
      <c r="AE263" s="1153"/>
      <c r="AF263" s="1161"/>
      <c r="AG263" s="1154"/>
      <c r="AH263" s="2044"/>
      <c r="AI263" s="1151"/>
      <c r="AJ263" s="1162"/>
      <c r="AK263" s="732"/>
      <c r="AL263" s="732"/>
      <c r="AM263" s="732"/>
      <c r="AN263" s="732"/>
      <c r="AO263" s="1155"/>
      <c r="AP263" s="1156"/>
      <c r="AQ263" s="1157"/>
      <c r="AR263" s="1158"/>
      <c r="AS263" s="1158"/>
      <c r="AT263" s="1159"/>
      <c r="AU263" s="671"/>
      <c r="AV263" s="1209"/>
      <c r="AW263" s="1209"/>
      <c r="AX263" s="1203"/>
      <c r="AY263" s="1203"/>
      <c r="AZ263" s="869"/>
      <c r="BA263" s="869"/>
      <c r="BB263" s="1203"/>
      <c r="BC263" s="1203"/>
      <c r="BD263" s="1203"/>
      <c r="BE263" s="1203"/>
      <c r="BF263" s="1150"/>
      <c r="BG263" s="673"/>
    </row>
    <row r="264" spans="3:59" ht="100" customHeight="1" thickTop="1" x14ac:dyDescent="1">
      <c r="E264" s="635"/>
      <c r="F264" s="1203"/>
      <c r="G264" s="1203"/>
      <c r="H264" s="1203"/>
      <c r="I264" s="1203"/>
      <c r="J264" s="1160"/>
      <c r="K264" s="1160"/>
      <c r="L264" s="1203"/>
      <c r="M264" s="1203"/>
      <c r="N264" s="693" t="s">
        <v>175</v>
      </c>
      <c r="O264" s="693"/>
      <c r="P264" s="1209"/>
      <c r="Q264" s="1209"/>
      <c r="R264" s="1135"/>
      <c r="S264" s="1135"/>
      <c r="T264" s="1136"/>
      <c r="U264" s="673"/>
      <c r="V264" s="2158" t="s">
        <v>164</v>
      </c>
      <c r="W264" s="2158"/>
      <c r="X264" s="2159"/>
      <c r="Y264" s="1152"/>
      <c r="Z264" s="2161" t="s">
        <v>165</v>
      </c>
      <c r="AA264" s="2161"/>
      <c r="AB264" s="2161"/>
      <c r="AC264" s="2161"/>
      <c r="AD264" s="2161"/>
      <c r="AE264" s="2161"/>
      <c r="AF264" s="2162"/>
      <c r="AG264" s="1154"/>
      <c r="AH264" s="2044"/>
      <c r="AI264" s="1151"/>
      <c r="AJ264" s="2163" t="s">
        <v>124</v>
      </c>
      <c r="AK264" s="2056"/>
      <c r="AL264" s="2056"/>
      <c r="AM264" s="2056"/>
      <c r="AN264" s="2056"/>
      <c r="AO264" s="803"/>
      <c r="AP264" s="1163" t="s">
        <v>178</v>
      </c>
      <c r="AQ264" s="1157"/>
      <c r="AR264" s="1158"/>
      <c r="AS264" s="1158"/>
      <c r="AT264" s="1159"/>
      <c r="AU264" s="671"/>
      <c r="AV264" s="1209"/>
      <c r="AW264" s="1209"/>
      <c r="AX264" s="1203"/>
      <c r="AY264" s="1203"/>
      <c r="AZ264" s="693" t="s">
        <v>175</v>
      </c>
      <c r="BA264" s="693"/>
      <c r="BB264" s="1160"/>
      <c r="BC264" s="1160"/>
      <c r="BD264" s="1203"/>
      <c r="BE264" s="1203"/>
      <c r="BF264" s="1164"/>
      <c r="BG264" s="673"/>
    </row>
    <row r="265" spans="3:59" ht="100" customHeight="1" x14ac:dyDescent="1">
      <c r="E265" s="635"/>
      <c r="F265" s="1134"/>
      <c r="G265" s="1134"/>
      <c r="H265" s="1134"/>
      <c r="I265" s="1134"/>
      <c r="J265" s="1134"/>
      <c r="K265" s="1134"/>
      <c r="L265" s="1134"/>
      <c r="M265" s="1134"/>
      <c r="N265" s="693" t="s">
        <v>127</v>
      </c>
      <c r="O265" s="693"/>
      <c r="P265" s="1135"/>
      <c r="Q265" s="1135"/>
      <c r="R265" s="1135"/>
      <c r="S265" s="1135"/>
      <c r="T265" s="1136"/>
      <c r="U265" s="673"/>
      <c r="V265" s="2158" t="s">
        <v>166</v>
      </c>
      <c r="W265" s="2158"/>
      <c r="X265" s="2159"/>
      <c r="Y265" s="1152"/>
      <c r="Z265" s="1140"/>
      <c r="AA265" s="1140"/>
      <c r="AB265" s="1165"/>
      <c r="AC265" s="1165"/>
      <c r="AD265" s="1166"/>
      <c r="AE265" s="1166"/>
      <c r="AF265" s="1167"/>
      <c r="AG265" s="1168"/>
      <c r="AH265" s="2044"/>
      <c r="AI265" s="1151"/>
      <c r="AJ265" s="1144"/>
      <c r="AK265" s="392"/>
      <c r="AL265" s="392"/>
      <c r="AM265" s="392"/>
      <c r="AN265" s="915"/>
      <c r="AO265" s="1169"/>
      <c r="AP265" s="1170" t="s">
        <v>127</v>
      </c>
      <c r="AQ265" s="1157"/>
      <c r="AR265" s="1015"/>
      <c r="AS265" s="1015"/>
      <c r="AT265" s="1148"/>
      <c r="AU265" s="673"/>
      <c r="AV265" s="1135"/>
      <c r="AW265" s="1135"/>
      <c r="AX265" s="1134"/>
      <c r="AY265" s="1134"/>
      <c r="AZ265" s="693" t="s">
        <v>127</v>
      </c>
      <c r="BA265" s="693"/>
      <c r="BB265" s="1134"/>
      <c r="BC265" s="1134"/>
      <c r="BD265" s="1134"/>
      <c r="BE265" s="1134"/>
      <c r="BF265" s="1150"/>
      <c r="BG265" s="673"/>
    </row>
    <row r="266" spans="3:59" ht="100" customHeight="1" x14ac:dyDescent="1">
      <c r="E266" s="635"/>
      <c r="F266" s="1134"/>
      <c r="G266" s="1134"/>
      <c r="H266" s="1134"/>
      <c r="I266" s="1134"/>
      <c r="J266" s="1134"/>
      <c r="K266" s="1134"/>
      <c r="L266" s="1134"/>
      <c r="M266" s="1134"/>
      <c r="N266" s="388"/>
      <c r="O266" s="388"/>
      <c r="P266" s="1135"/>
      <c r="Q266" s="1135"/>
      <c r="R266" s="1135"/>
      <c r="S266" s="1135"/>
      <c r="T266" s="1136"/>
      <c r="U266" s="673"/>
      <c r="V266" s="1137"/>
      <c r="W266" s="1137"/>
      <c r="X266" s="1138"/>
      <c r="Y266" s="1139"/>
      <c r="Z266" s="1140"/>
      <c r="AA266" s="1140"/>
      <c r="AB266" s="1140"/>
      <c r="AC266" s="1140"/>
      <c r="AD266" s="1140"/>
      <c r="AE266" s="1140"/>
      <c r="AF266" s="1141"/>
      <c r="AG266" s="1142"/>
      <c r="AH266" s="2044"/>
      <c r="AI266" s="1151"/>
      <c r="AJ266" s="1144"/>
      <c r="AK266" s="392"/>
      <c r="AL266" s="392"/>
      <c r="AM266" s="392"/>
      <c r="AN266" s="392"/>
      <c r="AO266" s="799"/>
      <c r="AP266" s="915"/>
      <c r="AQ266" s="1147"/>
      <c r="AR266" s="1015"/>
      <c r="AS266" s="1015"/>
      <c r="AT266" s="1148"/>
      <c r="AU266" s="673"/>
      <c r="AV266" s="1135"/>
      <c r="AW266" s="1135"/>
      <c r="AX266" s="1134"/>
      <c r="AY266" s="1134"/>
      <c r="AZ266" s="388"/>
      <c r="BA266" s="388"/>
      <c r="BB266" s="1134"/>
      <c r="BC266" s="1134"/>
      <c r="BD266" s="1134"/>
      <c r="BE266" s="1134"/>
      <c r="BF266" s="1150"/>
      <c r="BG266" s="673"/>
    </row>
    <row r="267" spans="3:59" ht="100" customHeight="1" thickBot="1" x14ac:dyDescent="1.05">
      <c r="E267" s="635"/>
      <c r="F267" s="1134"/>
      <c r="G267" s="1134"/>
      <c r="H267" s="1134"/>
      <c r="I267" s="1134"/>
      <c r="J267" s="1134"/>
      <c r="K267" s="1134"/>
      <c r="L267" s="1134"/>
      <c r="M267" s="1134"/>
      <c r="N267" s="388"/>
      <c r="O267" s="388"/>
      <c r="P267" s="1135"/>
      <c r="Q267" s="1135"/>
      <c r="R267" s="1135"/>
      <c r="S267" s="1135"/>
      <c r="T267" s="1136"/>
      <c r="U267" s="673"/>
      <c r="V267" s="1171"/>
      <c r="W267" s="1171"/>
      <c r="X267" s="1172"/>
      <c r="Y267" s="1139"/>
      <c r="Z267" s="1173"/>
      <c r="AA267" s="1173"/>
      <c r="AB267" s="1173"/>
      <c r="AC267" s="1173"/>
      <c r="AD267" s="1173"/>
      <c r="AE267" s="1173"/>
      <c r="AF267" s="1174"/>
      <c r="AG267" s="1142"/>
      <c r="AH267" s="2044"/>
      <c r="AI267" s="1151"/>
      <c r="AJ267" s="1144"/>
      <c r="AK267" s="392"/>
      <c r="AL267" s="814"/>
      <c r="AM267" s="814"/>
      <c r="AN267" s="814"/>
      <c r="AO267" s="814"/>
      <c r="AP267" s="1175"/>
      <c r="AQ267" s="1147"/>
      <c r="AR267" s="1015"/>
      <c r="AS267" s="1015"/>
      <c r="AT267" s="1148"/>
      <c r="AU267" s="673"/>
      <c r="AV267" s="1135"/>
      <c r="AW267" s="1135"/>
      <c r="AX267" s="1134"/>
      <c r="AY267" s="1134"/>
      <c r="AZ267" s="388"/>
      <c r="BA267" s="388"/>
      <c r="BB267" s="1134"/>
      <c r="BC267" s="1134"/>
      <c r="BD267" s="1134"/>
      <c r="BE267" s="1134"/>
      <c r="BF267" s="1150"/>
      <c r="BG267" s="673"/>
    </row>
    <row r="268" spans="3:59" ht="10" customHeight="1" thickTop="1" thickBot="1" x14ac:dyDescent="1.05">
      <c r="E268" s="635"/>
      <c r="F268" s="1134"/>
      <c r="G268" s="1134"/>
      <c r="H268" s="1134"/>
      <c r="I268" s="1134"/>
      <c r="J268" s="1134"/>
      <c r="K268" s="1134"/>
      <c r="L268" s="1134"/>
      <c r="M268" s="1134"/>
      <c r="N268" s="388"/>
      <c r="O268" s="388"/>
      <c r="P268" s="1135"/>
      <c r="Q268" s="1135"/>
      <c r="R268" s="1135"/>
      <c r="S268" s="1135"/>
      <c r="T268" s="1136"/>
      <c r="U268" s="673"/>
      <c r="V268" s="1176"/>
      <c r="W268" s="1177"/>
      <c r="X268" s="1177"/>
      <c r="Y268" s="1178"/>
      <c r="Z268" s="1179"/>
      <c r="AA268" s="1180"/>
      <c r="AB268" s="1180"/>
      <c r="AC268" s="1180"/>
      <c r="AD268" s="1180"/>
      <c r="AE268" s="1180"/>
      <c r="AF268" s="1180"/>
      <c r="AG268" s="1181"/>
      <c r="AH268" s="2044"/>
      <c r="AI268" s="1151"/>
      <c r="AJ268" s="1182"/>
      <c r="AK268" s="1183"/>
      <c r="AL268" s="1183"/>
      <c r="AM268" s="1183"/>
      <c r="AN268" s="1183"/>
      <c r="AO268" s="1183"/>
      <c r="AP268" s="1183"/>
      <c r="AQ268" s="1184"/>
      <c r="AR268" s="1015"/>
      <c r="AS268" s="1015"/>
      <c r="AT268" s="1148"/>
      <c r="AU268" s="673"/>
      <c r="AV268" s="1135"/>
      <c r="AW268" s="1135"/>
      <c r="AX268" s="1134"/>
      <c r="AY268" s="1134"/>
      <c r="AZ268" s="388"/>
      <c r="BA268" s="388"/>
      <c r="BB268" s="1134"/>
      <c r="BC268" s="1134"/>
      <c r="BD268" s="1134"/>
      <c r="BE268" s="1134"/>
      <c r="BF268" s="1150"/>
      <c r="BG268" s="673"/>
    </row>
    <row r="269" spans="3:59" ht="100" customHeight="1" thickTop="1" x14ac:dyDescent="1">
      <c r="E269" s="635"/>
      <c r="F269" s="1185"/>
      <c r="G269" s="1185"/>
      <c r="H269" s="1185"/>
      <c r="I269" s="1185"/>
      <c r="J269" s="1185"/>
      <c r="K269" s="1185"/>
      <c r="L269" s="1185"/>
      <c r="M269" s="1185"/>
      <c r="N269" s="1185"/>
      <c r="O269" s="1185"/>
      <c r="P269" s="1186"/>
      <c r="Q269" s="1186"/>
      <c r="R269" s="1135"/>
      <c r="S269" s="1135"/>
      <c r="T269" s="1136"/>
      <c r="U269" s="673"/>
      <c r="V269" s="2164" t="s">
        <v>168</v>
      </c>
      <c r="W269" s="1990"/>
      <c r="X269" s="1990"/>
      <c r="Y269" s="1990"/>
      <c r="Z269" s="1990"/>
      <c r="AA269" s="1990"/>
      <c r="AB269" s="1990"/>
      <c r="AC269" s="1990"/>
      <c r="AD269" s="1990"/>
      <c r="AE269" s="1990"/>
      <c r="AF269" s="1990"/>
      <c r="AG269" s="1990"/>
      <c r="AH269" s="2218"/>
      <c r="AI269" s="1187"/>
      <c r="AJ269" s="2220"/>
      <c r="AK269" s="2221"/>
      <c r="AL269" s="2221"/>
      <c r="AM269" s="2221"/>
      <c r="AN269" s="2221"/>
      <c r="AO269" s="2221"/>
      <c r="AP269" s="2221"/>
      <c r="AQ269" s="1021"/>
      <c r="AR269" s="1189"/>
      <c r="AS269" s="1189"/>
      <c r="AT269" s="1190"/>
      <c r="AU269" s="1191"/>
      <c r="AV269" s="1186"/>
      <c r="AW269" s="1186"/>
      <c r="AX269" s="1185"/>
      <c r="AY269" s="1185"/>
      <c r="AZ269" s="1185"/>
      <c r="BA269" s="1185"/>
      <c r="BB269" s="1185"/>
      <c r="BC269" s="1185"/>
      <c r="BD269" s="1185"/>
      <c r="BE269" s="1185"/>
      <c r="BF269" s="1192"/>
      <c r="BG269" s="673"/>
    </row>
    <row r="270" spans="3:59" ht="100" customHeight="1" x14ac:dyDescent="1">
      <c r="E270" s="635"/>
      <c r="F270" s="1134"/>
      <c r="G270" s="1134"/>
      <c r="H270" s="1134"/>
      <c r="I270" s="1134"/>
      <c r="J270" s="1134"/>
      <c r="K270" s="1134"/>
      <c r="L270" s="1134"/>
      <c r="M270" s="1134"/>
      <c r="N270" s="1134"/>
      <c r="O270" s="1134"/>
      <c r="P270" s="1135"/>
      <c r="Q270" s="1135"/>
      <c r="R270" s="1135"/>
      <c r="S270" s="1135"/>
      <c r="T270" s="1136"/>
      <c r="U270" s="673"/>
      <c r="V270" s="2164"/>
      <c r="W270" s="1990"/>
      <c r="X270" s="1990"/>
      <c r="Y270" s="1990"/>
      <c r="Z270" s="1990"/>
      <c r="AA270" s="1990"/>
      <c r="AB270" s="1990"/>
      <c r="AC270" s="1990"/>
      <c r="AD270" s="1990"/>
      <c r="AE270" s="1990"/>
      <c r="AF270" s="1990"/>
      <c r="AG270" s="1990"/>
      <c r="AH270" s="2218"/>
      <c r="AI270" s="1193"/>
      <c r="AJ270" s="1015"/>
      <c r="AK270" s="1015"/>
      <c r="AL270" s="1015"/>
      <c r="AM270" s="1015"/>
      <c r="AN270" s="1015"/>
      <c r="AO270" s="1015"/>
      <c r="AP270" s="1015"/>
      <c r="AQ270" s="1015"/>
      <c r="AR270" s="1015"/>
      <c r="AS270" s="1015"/>
      <c r="AT270" s="1148"/>
      <c r="AU270" s="673"/>
      <c r="AV270" s="1135"/>
      <c r="AW270" s="1135"/>
      <c r="AX270" s="1134"/>
      <c r="AY270" s="1134"/>
      <c r="AZ270" s="1134"/>
      <c r="BA270" s="1134"/>
      <c r="BB270" s="1134"/>
      <c r="BC270" s="1134"/>
      <c r="BD270" s="1134"/>
      <c r="BE270" s="1134"/>
      <c r="BF270" s="1150"/>
      <c r="BG270" s="673"/>
    </row>
    <row r="271" spans="3:59" ht="10" customHeight="1" thickBot="1" x14ac:dyDescent="1.05">
      <c r="E271" s="635"/>
      <c r="F271" s="1134"/>
      <c r="G271" s="1134"/>
      <c r="H271" s="1134"/>
      <c r="I271" s="1134"/>
      <c r="J271" s="1134"/>
      <c r="K271" s="1134"/>
      <c r="L271" s="1134"/>
      <c r="M271" s="1134"/>
      <c r="N271" s="1134"/>
      <c r="O271" s="1134"/>
      <c r="P271" s="1135"/>
      <c r="Q271" s="1135"/>
      <c r="R271" s="1135"/>
      <c r="S271" s="1135"/>
      <c r="T271" s="1136"/>
      <c r="U271" s="673"/>
      <c r="V271" s="1194"/>
      <c r="W271" s="1194"/>
      <c r="X271" s="1194"/>
      <c r="Y271" s="1194"/>
      <c r="Z271" s="1194"/>
      <c r="AA271" s="1195"/>
      <c r="AB271" s="1196"/>
      <c r="AC271" s="1196"/>
      <c r="AD271" s="1196"/>
      <c r="AE271" s="1196"/>
      <c r="AF271" s="1196"/>
      <c r="AG271" s="1196"/>
      <c r="AH271" s="2218"/>
      <c r="AI271" s="1193"/>
      <c r="AJ271" s="1015"/>
      <c r="AK271" s="1015"/>
      <c r="AL271" s="1015"/>
      <c r="AM271" s="1015"/>
      <c r="AN271" s="1015"/>
      <c r="AO271" s="1015"/>
      <c r="AP271" s="1015"/>
      <c r="AQ271" s="1015"/>
      <c r="AR271" s="1015"/>
      <c r="AS271" s="1015"/>
      <c r="AT271" s="1148"/>
      <c r="AU271" s="673"/>
      <c r="AV271" s="1135"/>
      <c r="AW271" s="1135"/>
      <c r="AX271" s="1134"/>
      <c r="AY271" s="1134"/>
      <c r="AZ271" s="1134"/>
      <c r="BA271" s="1134"/>
      <c r="BB271" s="1134"/>
      <c r="BC271" s="1134"/>
      <c r="BD271" s="1134"/>
      <c r="BE271" s="1134"/>
      <c r="BF271" s="1150"/>
      <c r="BG271" s="673"/>
    </row>
    <row r="272" spans="3:59" ht="100" customHeight="1" x14ac:dyDescent="1">
      <c r="E272" s="635"/>
      <c r="F272" s="1134"/>
      <c r="G272" s="1134"/>
      <c r="H272" s="1134"/>
      <c r="I272" s="1134"/>
      <c r="J272" s="1134"/>
      <c r="K272" s="1134"/>
      <c r="L272" s="1134"/>
      <c r="M272" s="1134"/>
      <c r="N272" s="1185"/>
      <c r="O272" s="1185"/>
      <c r="P272" s="1186"/>
      <c r="Q272" s="1186"/>
      <c r="R272" s="1135"/>
      <c r="S272" s="1135"/>
      <c r="T272" s="1136"/>
      <c r="U272" s="673"/>
      <c r="V272" s="1197"/>
      <c r="W272" s="1197"/>
      <c r="X272" s="1197"/>
      <c r="Y272" s="1197"/>
      <c r="Z272" s="1198"/>
      <c r="AA272" s="1199"/>
      <c r="AB272" s="1200"/>
      <c r="AC272" s="1200"/>
      <c r="AD272" s="1200"/>
      <c r="AE272" s="1200"/>
      <c r="AF272" s="1201"/>
      <c r="AG272" s="1202"/>
      <c r="AH272" s="2218"/>
      <c r="AI272" s="1193"/>
      <c r="AJ272" s="1015"/>
      <c r="AK272" s="1015"/>
      <c r="AL272" s="1015"/>
      <c r="AM272" s="1015"/>
      <c r="AN272" s="1015"/>
      <c r="AO272" s="1015"/>
      <c r="AP272" s="1015"/>
      <c r="AQ272" s="1015"/>
      <c r="AR272" s="1015"/>
      <c r="AS272" s="1015"/>
      <c r="AT272" s="1148"/>
      <c r="AU272" s="673"/>
      <c r="AV272" s="1135"/>
      <c r="AW272" s="1135"/>
      <c r="AX272" s="1185"/>
      <c r="AY272" s="1185"/>
      <c r="AZ272" s="1185"/>
      <c r="BA272" s="1185"/>
      <c r="BB272" s="1185"/>
      <c r="BC272" s="1185"/>
      <c r="BD272" s="1134"/>
      <c r="BE272" s="1134"/>
      <c r="BF272" s="1150"/>
      <c r="BG272" s="673"/>
    </row>
    <row r="273" spans="3:60" ht="100" customHeight="1" x14ac:dyDescent="1">
      <c r="E273" s="635"/>
      <c r="F273" s="1203"/>
      <c r="G273" s="1203"/>
      <c r="H273" s="2146" t="s">
        <v>155</v>
      </c>
      <c r="I273" s="2146"/>
      <c r="J273" s="2146"/>
      <c r="K273" s="2146"/>
      <c r="L273" s="2146"/>
      <c r="M273" s="2146"/>
      <c r="N273" s="2146"/>
      <c r="O273" s="2146"/>
      <c r="P273" s="2146"/>
      <c r="Q273" s="2146"/>
      <c r="R273" s="2146"/>
      <c r="S273" s="1203"/>
      <c r="T273" s="1136"/>
      <c r="U273" s="673"/>
      <c r="V273" s="1134"/>
      <c r="W273" s="1134"/>
      <c r="X273" s="1134"/>
      <c r="Y273" s="1134"/>
      <c r="Z273" s="1204"/>
      <c r="AA273" s="1199"/>
      <c r="AB273" s="1205"/>
      <c r="AC273" s="1205"/>
      <c r="AD273" s="1205"/>
      <c r="AE273" s="1205"/>
      <c r="AF273" s="1206"/>
      <c r="AG273" s="1202"/>
      <c r="AH273" s="2218"/>
      <c r="AI273" s="1193"/>
      <c r="AJ273" s="1015"/>
      <c r="AK273" s="1015"/>
      <c r="AL273" s="2111" t="s">
        <v>149</v>
      </c>
      <c r="AM273" s="2111"/>
      <c r="AN273" s="2111"/>
      <c r="AO273" s="1021"/>
      <c r="AP273" s="1015"/>
      <c r="AQ273" s="1015"/>
      <c r="AR273" s="1158"/>
      <c r="AS273" s="1158"/>
      <c r="AT273" s="1159"/>
      <c r="AU273" s="671"/>
      <c r="AV273" s="1135"/>
      <c r="AW273" s="1135"/>
      <c r="AX273" s="2147" t="s">
        <v>155</v>
      </c>
      <c r="AY273" s="2147"/>
      <c r="AZ273" s="2147"/>
      <c r="BA273" s="2147"/>
      <c r="BB273" s="2147"/>
      <c r="BC273" s="2147"/>
      <c r="BD273" s="2147"/>
      <c r="BE273" s="1207"/>
      <c r="BF273" s="1150"/>
      <c r="BG273" s="673"/>
    </row>
    <row r="274" spans="3:60" ht="100" customHeight="1" x14ac:dyDescent="1">
      <c r="E274" s="635"/>
      <c r="F274" s="1203"/>
      <c r="G274" s="1203"/>
      <c r="H274" s="2146"/>
      <c r="I274" s="2146"/>
      <c r="J274" s="2146"/>
      <c r="K274" s="1203"/>
      <c r="L274" s="1207"/>
      <c r="M274" s="1207"/>
      <c r="N274" s="1207"/>
      <c r="O274" s="1207"/>
      <c r="P274" s="1208"/>
      <c r="Q274" s="1208"/>
      <c r="R274" s="1135"/>
      <c r="S274" s="1135"/>
      <c r="T274" s="1136"/>
      <c r="U274" s="673"/>
      <c r="V274" s="2149" t="s">
        <v>55</v>
      </c>
      <c r="W274" s="2149"/>
      <c r="X274" s="2149"/>
      <c r="Y274" s="2149"/>
      <c r="Z274" s="2150"/>
      <c r="AA274" s="1210"/>
      <c r="AB274" s="2152" t="s">
        <v>167</v>
      </c>
      <c r="AC274" s="2152"/>
      <c r="AD274" s="2152"/>
      <c r="AE274" s="2152"/>
      <c r="AF274" s="2153"/>
      <c r="AG274" s="1211"/>
      <c r="AH274" s="2218"/>
      <c r="AI274" s="1193"/>
      <c r="AJ274" s="1021"/>
      <c r="AK274" s="1021"/>
      <c r="AL274" s="1021"/>
      <c r="AM274" s="1021"/>
      <c r="AN274" s="1021"/>
      <c r="AO274" s="1021"/>
      <c r="AP274" s="1189"/>
      <c r="AQ274" s="1189"/>
      <c r="AR274" s="1158"/>
      <c r="AS274" s="1158"/>
      <c r="AT274" s="1159"/>
      <c r="AU274" s="671"/>
      <c r="AV274" s="1208"/>
      <c r="AW274" s="1208"/>
      <c r="AX274" s="1212"/>
      <c r="AY274" s="1212"/>
      <c r="AZ274" s="1212"/>
      <c r="BA274" s="1212"/>
      <c r="BB274" s="1207"/>
      <c r="BC274" s="1207"/>
      <c r="BD274" s="1212"/>
      <c r="BE274" s="1212"/>
      <c r="BF274" s="1213"/>
      <c r="BG274" s="673"/>
    </row>
    <row r="275" spans="3:60" ht="100" customHeight="1" x14ac:dyDescent="1">
      <c r="E275" s="635"/>
      <c r="F275" s="1134"/>
      <c r="G275" s="1134"/>
      <c r="H275" s="1134"/>
      <c r="I275" s="1134"/>
      <c r="J275" s="1212"/>
      <c r="K275" s="1212"/>
      <c r="L275" s="1207"/>
      <c r="M275" s="1207"/>
      <c r="N275" s="1212"/>
      <c r="O275" s="1212"/>
      <c r="P275" s="1208"/>
      <c r="Q275" s="1208"/>
      <c r="R275" s="1135"/>
      <c r="S275" s="1135"/>
      <c r="T275" s="1136"/>
      <c r="U275" s="673"/>
      <c r="V275" s="2149" t="s">
        <v>297</v>
      </c>
      <c r="W275" s="2149"/>
      <c r="X275" s="2149"/>
      <c r="Y275" s="2149"/>
      <c r="Z275" s="2150"/>
      <c r="AA275" s="1210"/>
      <c r="AB275" s="2178" t="s">
        <v>39</v>
      </c>
      <c r="AC275" s="2178"/>
      <c r="AD275" s="2178"/>
      <c r="AE275" s="2178"/>
      <c r="AF275" s="2179"/>
      <c r="AG275" s="1196"/>
      <c r="AH275" s="2218"/>
      <c r="AI275" s="1193"/>
      <c r="AJ275" s="1023"/>
      <c r="AK275" s="1023"/>
      <c r="AL275" s="1023"/>
      <c r="AM275" s="1023"/>
      <c r="AN275" s="1023"/>
      <c r="AO275" s="1023"/>
      <c r="AP275" s="1015"/>
      <c r="AQ275" s="1015"/>
      <c r="AR275" s="1015"/>
      <c r="AS275" s="1015"/>
      <c r="AT275" s="1148"/>
      <c r="AU275" s="673"/>
      <c r="AV275" s="1214"/>
      <c r="AW275" s="1214"/>
      <c r="AX275" s="1212"/>
      <c r="AY275" s="1212"/>
      <c r="AZ275" s="1212"/>
      <c r="BA275" s="1212"/>
      <c r="BB275" s="1207"/>
      <c r="BC275" s="1207"/>
      <c r="BD275" s="1212"/>
      <c r="BE275" s="1212"/>
      <c r="BF275" s="1215"/>
      <c r="BG275" s="673"/>
    </row>
    <row r="276" spans="3:60" ht="100" customHeight="1" x14ac:dyDescent="1">
      <c r="E276" s="635"/>
      <c r="F276" s="1134"/>
      <c r="G276" s="1134"/>
      <c r="H276" s="1134"/>
      <c r="I276" s="1134"/>
      <c r="J276" s="1134"/>
      <c r="K276" s="1134"/>
      <c r="L276" s="1134"/>
      <c r="M276" s="1134"/>
      <c r="N276" s="1185"/>
      <c r="O276" s="1185"/>
      <c r="P276" s="1186"/>
      <c r="Q276" s="1186"/>
      <c r="R276" s="1135"/>
      <c r="S276" s="1135"/>
      <c r="T276" s="1136"/>
      <c r="U276" s="673"/>
      <c r="V276" s="1134"/>
      <c r="W276" s="1134"/>
      <c r="X276" s="1134"/>
      <c r="Y276" s="1134"/>
      <c r="Z276" s="1204"/>
      <c r="AA276" s="1199"/>
      <c r="AB276" s="1205"/>
      <c r="AC276" s="1205"/>
      <c r="AD276" s="1205"/>
      <c r="AE276" s="1205"/>
      <c r="AF276" s="1206"/>
      <c r="AG276" s="1202"/>
      <c r="AH276" s="2218"/>
      <c r="AI276" s="1193"/>
      <c r="AJ276" s="1015"/>
      <c r="AK276" s="1015"/>
      <c r="AL276" s="1015"/>
      <c r="AM276" s="1015"/>
      <c r="AN276" s="1015"/>
      <c r="AO276" s="1015"/>
      <c r="AP276" s="1015"/>
      <c r="AQ276" s="1015"/>
      <c r="AR276" s="1015"/>
      <c r="AS276" s="1015"/>
      <c r="AT276" s="1148"/>
      <c r="AU276" s="673"/>
      <c r="AV276" s="1135"/>
      <c r="AW276" s="1135"/>
      <c r="AX276" s="1134"/>
      <c r="AY276" s="1134"/>
      <c r="AZ276" s="1185"/>
      <c r="BA276" s="1185"/>
      <c r="BB276" s="1185"/>
      <c r="BC276" s="1185"/>
      <c r="BD276" s="1134"/>
      <c r="BE276" s="1134"/>
      <c r="BF276" s="1150"/>
      <c r="BG276" s="673"/>
    </row>
    <row r="277" spans="3:60" ht="100" customHeight="1" thickBot="1" x14ac:dyDescent="1.05">
      <c r="E277" s="635"/>
      <c r="F277" s="1134"/>
      <c r="G277" s="1134"/>
      <c r="H277" s="1134"/>
      <c r="I277" s="1134"/>
      <c r="J277" s="1134"/>
      <c r="K277" s="1134"/>
      <c r="L277" s="1134"/>
      <c r="M277" s="1134"/>
      <c r="N277" s="1134"/>
      <c r="O277" s="1134"/>
      <c r="P277" s="1135"/>
      <c r="Q277" s="1135"/>
      <c r="R277" s="1135"/>
      <c r="S277" s="1135"/>
      <c r="T277" s="1136"/>
      <c r="U277" s="673"/>
      <c r="V277" s="1134"/>
      <c r="W277" s="1134"/>
      <c r="X277" s="1134"/>
      <c r="Y277" s="1134"/>
      <c r="Z277" s="1216"/>
      <c r="AA277" s="652"/>
      <c r="AB277" s="1217"/>
      <c r="AC277" s="1218"/>
      <c r="AD277" s="1218"/>
      <c r="AE277" s="1218"/>
      <c r="AF277" s="1219"/>
      <c r="AG277" s="1202"/>
      <c r="AH277" s="2219"/>
      <c r="AI277" s="1193"/>
      <c r="AJ277" s="1026"/>
      <c r="AK277" s="1026"/>
      <c r="AL277" s="1026"/>
      <c r="AM277" s="1028"/>
      <c r="AN277" s="1027"/>
      <c r="AO277" s="1027"/>
      <c r="AP277" s="1027"/>
      <c r="AQ277" s="1027"/>
      <c r="AR277" s="1027"/>
      <c r="AS277" s="1027"/>
      <c r="AT277" s="1220"/>
      <c r="AU277" s="675"/>
      <c r="AV277" s="1221"/>
      <c r="AW277" s="1221"/>
      <c r="AX277" s="1221"/>
      <c r="AY277" s="1221"/>
      <c r="AZ277" s="1221"/>
      <c r="BA277" s="1221"/>
      <c r="BB277" s="1221"/>
      <c r="BC277" s="1221"/>
      <c r="BD277" s="1221"/>
      <c r="BE277" s="1221"/>
      <c r="BF277" s="1222"/>
      <c r="BG277" s="673"/>
    </row>
    <row r="278" spans="3:60" ht="10" customHeight="1" thickTop="1" thickBot="1" x14ac:dyDescent="1.05">
      <c r="E278" s="635"/>
      <c r="F278" s="883"/>
      <c r="G278" s="634"/>
      <c r="H278" s="634"/>
      <c r="I278" s="634"/>
      <c r="J278" s="634"/>
      <c r="K278" s="634"/>
      <c r="L278" s="634"/>
      <c r="M278" s="634"/>
      <c r="N278" s="634"/>
      <c r="O278" s="634"/>
      <c r="P278" s="634"/>
      <c r="Q278" s="634"/>
      <c r="R278" s="634"/>
      <c r="S278" s="634"/>
      <c r="T278" s="634"/>
      <c r="U278" s="634"/>
      <c r="V278" s="634"/>
      <c r="W278" s="634"/>
      <c r="X278" s="634"/>
      <c r="Y278" s="634"/>
      <c r="Z278" s="652"/>
      <c r="AA278" s="1199"/>
      <c r="AB278" s="1223"/>
      <c r="AC278" s="1224"/>
      <c r="AD278" s="1224"/>
      <c r="AE278" s="1224"/>
      <c r="AF278" s="1225"/>
      <c r="AG278" s="1202"/>
      <c r="AH278" s="1226"/>
      <c r="AI278" s="1227"/>
      <c r="AJ278" s="1228"/>
      <c r="AK278" s="1229"/>
      <c r="AL278" s="1229"/>
      <c r="AM278" s="1230"/>
      <c r="AN278" s="1231"/>
      <c r="AO278" s="1231"/>
      <c r="AP278" s="1232"/>
      <c r="AQ278" s="1231"/>
      <c r="AR278" s="1229"/>
      <c r="AS278" s="1231"/>
      <c r="AT278" s="1233"/>
      <c r="AU278" s="673"/>
      <c r="AV278" s="885"/>
      <c r="AW278" s="885"/>
      <c r="AX278" s="885"/>
      <c r="AY278" s="885"/>
      <c r="AZ278" s="885"/>
      <c r="BA278" s="885"/>
      <c r="BB278" s="885"/>
      <c r="BC278" s="885"/>
      <c r="BD278" s="885"/>
      <c r="BE278" s="885"/>
      <c r="BF278" s="885"/>
      <c r="BG278" s="673"/>
    </row>
    <row r="279" spans="3:60" ht="100" customHeight="1" thickTop="1" x14ac:dyDescent="1">
      <c r="E279" s="408"/>
      <c r="F279" s="408"/>
      <c r="G279" s="408"/>
      <c r="H279" s="408"/>
      <c r="I279" s="408"/>
      <c r="J279" s="408"/>
      <c r="K279" s="408"/>
      <c r="L279" s="408"/>
      <c r="M279" s="408"/>
      <c r="N279" s="408"/>
      <c r="O279" s="408"/>
      <c r="P279" s="408"/>
      <c r="Q279" s="408"/>
      <c r="R279" s="408"/>
      <c r="S279" s="408"/>
      <c r="T279" s="408"/>
      <c r="U279" s="408"/>
      <c r="V279" s="408"/>
      <c r="W279" s="408"/>
      <c r="X279" s="408"/>
      <c r="Y279" s="408"/>
      <c r="Z279" s="408"/>
      <c r="AA279" s="356"/>
      <c r="AB279" s="356"/>
      <c r="AH279" s="1234"/>
    </row>
    <row r="280" spans="3:60" ht="100" customHeight="1" x14ac:dyDescent="1">
      <c r="AL280" s="358"/>
      <c r="AM280" s="358"/>
      <c r="AN280" s="358"/>
    </row>
    <row r="281" spans="3:60" s="1426" customFormat="1" ht="190" customHeight="1" x14ac:dyDescent="1.2">
      <c r="C281" s="1431"/>
      <c r="F281" s="1457" t="s">
        <v>181</v>
      </c>
      <c r="G281" s="1457"/>
      <c r="H281" s="1435"/>
      <c r="I281" s="1435"/>
      <c r="J281" s="1435"/>
      <c r="K281" s="1435"/>
      <c r="L281" s="1435"/>
      <c r="M281" s="1435"/>
      <c r="N281" s="1435"/>
      <c r="O281" s="1435"/>
      <c r="P281" s="1435"/>
      <c r="Q281" s="1435"/>
      <c r="R281" s="1435"/>
      <c r="S281" s="1435"/>
      <c r="T281" s="1435"/>
      <c r="U281" s="1435"/>
      <c r="V281" s="1435"/>
      <c r="W281" s="1435"/>
      <c r="X281" s="1435"/>
      <c r="Y281" s="1435"/>
      <c r="Z281" s="1435"/>
      <c r="AA281" s="1435"/>
      <c r="AB281" s="1435"/>
      <c r="AC281" s="1435"/>
      <c r="AD281" s="1435"/>
      <c r="AE281" s="1435"/>
      <c r="AF281" s="1435"/>
      <c r="AG281" s="1435"/>
      <c r="AH281" s="1435"/>
      <c r="AI281" s="1435"/>
      <c r="AJ281" s="1435"/>
      <c r="AK281" s="1435"/>
      <c r="AL281" s="1435"/>
      <c r="AM281" s="1435"/>
      <c r="AN281" s="1435"/>
      <c r="AO281" s="1435"/>
      <c r="AP281" s="1435"/>
      <c r="AQ281" s="1435"/>
      <c r="AR281" s="1435"/>
      <c r="AS281" s="1435"/>
      <c r="AT281" s="1435"/>
      <c r="AU281" s="1435"/>
      <c r="AV281" s="1435"/>
      <c r="AW281" s="1435"/>
      <c r="AX281" s="1435"/>
      <c r="AY281" s="1435"/>
      <c r="AZ281" s="1435"/>
      <c r="BA281" s="1435"/>
      <c r="BB281" s="1435"/>
      <c r="BC281" s="1435"/>
      <c r="BD281" s="1435"/>
      <c r="BE281" s="1435"/>
      <c r="BF281" s="1435"/>
      <c r="BG281" s="1435"/>
      <c r="BH281" s="1435"/>
    </row>
    <row r="282" spans="3:60" s="1429" customFormat="1" ht="100" customHeight="1" x14ac:dyDescent="1.2">
      <c r="C282" s="1432"/>
      <c r="F282" s="1458"/>
      <c r="G282" s="1458"/>
    </row>
    <row r="283" spans="3:60" s="1426" customFormat="1" ht="100" customHeight="1" x14ac:dyDescent="1.2">
      <c r="C283" s="1431"/>
      <c r="F283" s="1436" t="s">
        <v>131</v>
      </c>
      <c r="G283" s="1436"/>
      <c r="J283" s="1440"/>
      <c r="K283" s="1440"/>
      <c r="L283" s="1427" t="s">
        <v>134</v>
      </c>
      <c r="M283" s="1427"/>
      <c r="Q283" s="1440"/>
      <c r="R283" s="1440">
        <v>20000</v>
      </c>
      <c r="T283" s="1426" t="s">
        <v>33</v>
      </c>
      <c r="AF283" s="1436" t="s">
        <v>231</v>
      </c>
      <c r="AH283" s="1427" t="s">
        <v>151</v>
      </c>
      <c r="AI283" s="1427"/>
      <c r="AJ283" s="1426" t="s">
        <v>183</v>
      </c>
    </row>
    <row r="284" spans="3:60" s="1426" customFormat="1" ht="100" customHeight="1" x14ac:dyDescent="1.2">
      <c r="C284" s="1431"/>
      <c r="F284" s="1426" t="s">
        <v>180</v>
      </c>
      <c r="J284" s="1440"/>
      <c r="K284" s="1440"/>
      <c r="L284" s="1427"/>
      <c r="M284" s="1427"/>
      <c r="P284" s="1440"/>
      <c r="Q284" s="1440"/>
      <c r="AJ284" s="1426" t="s">
        <v>250</v>
      </c>
    </row>
    <row r="285" spans="3:60" s="1426" customFormat="1" ht="100" customHeight="1" x14ac:dyDescent="1.2">
      <c r="C285" s="1431"/>
      <c r="J285" s="1440"/>
      <c r="K285" s="1440"/>
      <c r="L285" s="1427"/>
      <c r="M285" s="1427"/>
      <c r="P285" s="1440"/>
      <c r="Q285" s="1440"/>
      <c r="AH285" s="1427" t="s">
        <v>151</v>
      </c>
      <c r="AI285" s="1427"/>
      <c r="AJ285" s="1426" t="s">
        <v>184</v>
      </c>
    </row>
    <row r="286" spans="3:60" s="1426" customFormat="1" ht="100" customHeight="1" x14ac:dyDescent="1.2">
      <c r="C286" s="1431"/>
      <c r="J286" s="1440"/>
      <c r="K286" s="1440"/>
      <c r="L286" s="1427"/>
      <c r="M286" s="1427"/>
      <c r="P286" s="1440"/>
      <c r="Q286" s="1440"/>
      <c r="AH286" s="1427"/>
      <c r="AI286" s="1427"/>
      <c r="AJ286" s="1426" t="s">
        <v>279</v>
      </c>
    </row>
    <row r="287" spans="3:60" s="1426" customFormat="1" ht="100" customHeight="1" x14ac:dyDescent="1.2">
      <c r="C287" s="1431"/>
      <c r="J287" s="1440"/>
      <c r="K287" s="1440"/>
      <c r="L287" s="1427"/>
      <c r="M287" s="1427"/>
      <c r="P287" s="1440"/>
      <c r="Q287" s="1440"/>
      <c r="AH287" s="1427"/>
      <c r="AI287" s="1427"/>
      <c r="AJ287" s="1426" t="s">
        <v>185</v>
      </c>
    </row>
    <row r="288" spans="3:60" ht="100" customHeight="1" thickBot="1" x14ac:dyDescent="1.05">
      <c r="C288" s="1235"/>
      <c r="D288" s="408"/>
      <c r="E288" s="408"/>
      <c r="F288" s="408"/>
      <c r="G288" s="408"/>
      <c r="H288" s="408"/>
      <c r="I288" s="408"/>
      <c r="J288" s="694"/>
      <c r="K288" s="694"/>
      <c r="L288" s="850"/>
      <c r="M288" s="850"/>
      <c r="N288" s="408"/>
      <c r="O288" s="408"/>
      <c r="P288" s="694"/>
      <c r="Q288" s="694"/>
      <c r="R288" s="408"/>
      <c r="S288" s="408"/>
      <c r="T288" s="408"/>
      <c r="U288" s="408"/>
      <c r="V288" s="408"/>
      <c r="W288" s="408"/>
      <c r="AQ288" s="408"/>
      <c r="BG288" s="408"/>
      <c r="BH288" s="408"/>
    </row>
    <row r="289" spans="3:60" ht="10" customHeight="1" thickTop="1" thickBot="1" x14ac:dyDescent="1.05">
      <c r="C289" s="1236"/>
      <c r="D289" s="1237"/>
      <c r="E289" s="1238"/>
      <c r="F289" s="1238"/>
      <c r="G289" s="1238"/>
      <c r="H289" s="1238"/>
      <c r="I289" s="1238"/>
      <c r="J289" s="1239"/>
      <c r="K289" s="1239"/>
      <c r="L289" s="1240"/>
      <c r="M289" s="1240"/>
      <c r="N289" s="1238"/>
      <c r="O289" s="1238"/>
      <c r="P289" s="1239"/>
      <c r="Q289" s="1239"/>
      <c r="R289" s="1238"/>
      <c r="S289" s="1238"/>
      <c r="T289" s="1241"/>
      <c r="U289" s="1242"/>
      <c r="V289" s="408"/>
      <c r="W289" s="408"/>
      <c r="AQ289" s="1243"/>
      <c r="AR289" s="1244"/>
      <c r="AS289" s="1244"/>
      <c r="AT289" s="1244"/>
      <c r="AU289" s="1244"/>
      <c r="AV289" s="1244"/>
      <c r="AW289" s="1244"/>
      <c r="AX289" s="1244"/>
      <c r="AY289" s="1244"/>
      <c r="AZ289" s="1244"/>
      <c r="BA289" s="1244"/>
      <c r="BB289" s="1244"/>
      <c r="BC289" s="1244"/>
      <c r="BD289" s="1244"/>
      <c r="BE289" s="1244"/>
      <c r="BF289" s="1244"/>
      <c r="BG289" s="1244"/>
      <c r="BH289" s="1244"/>
    </row>
    <row r="290" spans="3:60" ht="100" customHeight="1" thickTop="1" thickBot="1" x14ac:dyDescent="1.05">
      <c r="C290" s="1245"/>
      <c r="E290" s="372"/>
      <c r="F290" s="1246"/>
      <c r="G290" s="1246"/>
      <c r="H290" s="408"/>
      <c r="I290" s="408"/>
      <c r="T290" s="1247"/>
      <c r="U290" s="1248"/>
      <c r="V290" s="372"/>
      <c r="W290" s="408"/>
      <c r="AJ290" s="408"/>
      <c r="AK290" s="408"/>
      <c r="AL290" s="408"/>
      <c r="AM290" s="408"/>
      <c r="AN290" s="408"/>
      <c r="AO290" s="408"/>
      <c r="AP290" s="1247"/>
      <c r="AQ290" s="1249"/>
      <c r="AR290" s="1250"/>
      <c r="AS290" s="1251"/>
      <c r="AT290" s="1251"/>
      <c r="AU290" s="356"/>
      <c r="AV290" s="356"/>
      <c r="AW290" s="356"/>
      <c r="AX290" s="356"/>
      <c r="AY290" s="356"/>
      <c r="AZ290" s="356"/>
      <c r="BA290" s="356"/>
      <c r="BB290" s="356"/>
      <c r="BC290" s="356"/>
      <c r="BD290" s="356"/>
      <c r="BE290" s="356"/>
      <c r="BF290" s="356"/>
      <c r="BG290" s="408"/>
      <c r="BH290" s="1247"/>
    </row>
    <row r="291" spans="3:60" ht="10" customHeight="1" thickTop="1" thickBot="1" x14ac:dyDescent="1.05">
      <c r="C291" s="1245"/>
      <c r="E291" s="769"/>
      <c r="F291" s="476"/>
      <c r="G291" s="476"/>
      <c r="H291" s="476"/>
      <c r="I291" s="476"/>
      <c r="J291" s="476"/>
      <c r="K291" s="476"/>
      <c r="L291" s="476"/>
      <c r="M291" s="476"/>
      <c r="N291" s="699"/>
      <c r="O291" s="476"/>
      <c r="P291" s="701"/>
      <c r="Q291" s="476"/>
      <c r="R291" s="944"/>
      <c r="S291" s="476"/>
      <c r="T291" s="1252"/>
      <c r="U291" s="1242"/>
      <c r="V291" s="476"/>
      <c r="W291" s="476"/>
      <c r="X291" s="476"/>
      <c r="Y291" s="477"/>
      <c r="Z291" s="477"/>
      <c r="AA291" s="476"/>
      <c r="AB291" s="476"/>
      <c r="AC291" s="698"/>
      <c r="AD291" s="753"/>
      <c r="AE291" s="754"/>
      <c r="AF291" s="754"/>
      <c r="AG291" s="754"/>
      <c r="AH291" s="755"/>
      <c r="AI291" s="795"/>
      <c r="AJ291" s="1046"/>
      <c r="AK291" s="1046"/>
      <c r="AL291" s="1046"/>
      <c r="AM291" s="1046"/>
      <c r="AN291" s="1046"/>
      <c r="AO291" s="1046"/>
      <c r="AP291" s="1253"/>
      <c r="AQ291" s="1248"/>
      <c r="AR291" s="1254"/>
      <c r="AS291" s="1254"/>
      <c r="AT291" s="1254"/>
      <c r="AU291" s="1255"/>
      <c r="AV291" s="1256"/>
      <c r="AW291" s="1257"/>
      <c r="AX291" s="1257"/>
      <c r="AY291" s="1257"/>
      <c r="AZ291" s="1257"/>
      <c r="BA291" s="1257"/>
      <c r="BB291" s="1257"/>
      <c r="BC291" s="1257"/>
      <c r="BD291" s="1257"/>
      <c r="BE291" s="1257"/>
      <c r="BF291" s="1257"/>
      <c r="BG291" s="944"/>
      <c r="BH291" s="1247"/>
    </row>
    <row r="292" spans="3:60" ht="100" customHeight="1" thickTop="1" x14ac:dyDescent="1">
      <c r="C292" s="1245"/>
      <c r="E292" s="465"/>
      <c r="F292" s="716"/>
      <c r="G292" s="716"/>
      <c r="H292" s="716"/>
      <c r="I292" s="716"/>
      <c r="J292" s="716"/>
      <c r="K292" s="716"/>
      <c r="L292" s="716"/>
      <c r="M292" s="716"/>
      <c r="N292" s="717"/>
      <c r="O292" s="717"/>
      <c r="P292" s="718"/>
      <c r="Q292" s="465"/>
      <c r="R292" s="390"/>
      <c r="S292" s="386"/>
      <c r="T292" s="1258"/>
      <c r="U292" s="1242"/>
      <c r="V292" s="909"/>
      <c r="W292" s="716"/>
      <c r="X292" s="1259"/>
      <c r="Y292" s="1260"/>
      <c r="Z292" s="907"/>
      <c r="AA292" s="909"/>
      <c r="AB292" s="484"/>
      <c r="AC292" s="916"/>
      <c r="AD292" s="797"/>
      <c r="AE292" s="797"/>
      <c r="AF292" s="797"/>
      <c r="AG292" s="797"/>
      <c r="AH292" s="721"/>
      <c r="AI292" s="798"/>
      <c r="AJ292" s="388"/>
      <c r="AK292" s="388"/>
      <c r="AL292" s="388"/>
      <c r="AM292" s="388"/>
      <c r="AN292" s="392"/>
      <c r="AO292" s="799"/>
      <c r="AP292" s="1261"/>
      <c r="AQ292" s="1248"/>
      <c r="AR292" s="1262"/>
      <c r="AS292" s="1262"/>
      <c r="AT292" s="1263"/>
      <c r="AU292" s="1264"/>
      <c r="AV292" s="1265"/>
      <c r="AW292" s="1266"/>
      <c r="AX292" s="1266"/>
      <c r="AY292" s="1266"/>
      <c r="AZ292" s="1267"/>
      <c r="BA292" s="1267"/>
      <c r="BB292" s="1266"/>
      <c r="BC292" s="1266"/>
      <c r="BD292" s="1266"/>
      <c r="BE292" s="1266"/>
      <c r="BF292" s="1266"/>
      <c r="BG292" s="916"/>
      <c r="BH292" s="1247"/>
    </row>
    <row r="293" spans="3:60" ht="100" customHeight="1" x14ac:dyDescent="1">
      <c r="C293" s="1245"/>
      <c r="E293" s="465"/>
      <c r="F293" s="386"/>
      <c r="G293" s="386"/>
      <c r="H293" s="386"/>
      <c r="I293" s="386"/>
      <c r="J293" s="386"/>
      <c r="K293" s="386"/>
      <c r="L293" s="386"/>
      <c r="M293" s="386"/>
      <c r="N293" s="392"/>
      <c r="O293" s="392"/>
      <c r="P293" s="505"/>
      <c r="Q293" s="465"/>
      <c r="R293" s="1316" t="s">
        <v>152</v>
      </c>
      <c r="S293" s="1268"/>
      <c r="T293" s="1317" t="s">
        <v>152</v>
      </c>
      <c r="U293" s="1269"/>
      <c r="V293" s="507" t="s">
        <v>152</v>
      </c>
      <c r="W293" s="506"/>
      <c r="X293" s="506" t="s">
        <v>152</v>
      </c>
      <c r="Y293" s="506"/>
      <c r="Z293" s="489" t="s">
        <v>152</v>
      </c>
      <c r="AA293" s="506"/>
      <c r="AB293" s="689" t="s">
        <v>152</v>
      </c>
      <c r="AC293" s="932"/>
      <c r="AD293" s="797"/>
      <c r="AE293" s="797"/>
      <c r="AF293" s="801"/>
      <c r="AG293" s="801"/>
      <c r="AH293" s="721"/>
      <c r="AI293" s="704"/>
      <c r="AJ293" s="388"/>
      <c r="AK293" s="388"/>
      <c r="AL293" s="388"/>
      <c r="AM293" s="388"/>
      <c r="AN293" s="388"/>
      <c r="AO293" s="388"/>
      <c r="AP293" s="1270"/>
      <c r="AQ293" s="1248"/>
      <c r="AR293" s="1262"/>
      <c r="AS293" s="1262"/>
      <c r="AT293" s="1263"/>
      <c r="AU293" s="1264"/>
      <c r="AV293" s="1265"/>
      <c r="AW293" s="1266"/>
      <c r="AX293" s="1266"/>
      <c r="AY293" s="1266"/>
      <c r="AZ293" s="1267"/>
      <c r="BA293" s="1267"/>
      <c r="BB293" s="1266"/>
      <c r="BC293" s="1266"/>
      <c r="BD293" s="1266"/>
      <c r="BE293" s="1266"/>
      <c r="BF293" s="1266"/>
      <c r="BG293" s="916"/>
      <c r="BH293" s="1247"/>
    </row>
    <row r="294" spans="3:60" ht="100" customHeight="1" x14ac:dyDescent="1">
      <c r="C294" s="1245"/>
      <c r="D294" s="408"/>
      <c r="E294" s="465"/>
      <c r="F294" s="506"/>
      <c r="G294" s="506"/>
      <c r="H294" s="386"/>
      <c r="I294" s="386"/>
      <c r="J294" s="386"/>
      <c r="K294" s="386"/>
      <c r="L294" s="386"/>
      <c r="M294" s="386"/>
      <c r="N294" s="732"/>
      <c r="O294" s="732"/>
      <c r="P294" s="686"/>
      <c r="Q294" s="680"/>
      <c r="R294" s="1316" t="s">
        <v>153</v>
      </c>
      <c r="S294" s="1268"/>
      <c r="T294" s="1317" t="s">
        <v>154</v>
      </c>
      <c r="U294" s="1269"/>
      <c r="V294" s="507" t="s">
        <v>154</v>
      </c>
      <c r="W294" s="506"/>
      <c r="X294" s="506" t="s">
        <v>154</v>
      </c>
      <c r="Y294" s="506"/>
      <c r="Z294" s="489" t="s">
        <v>154</v>
      </c>
      <c r="AA294" s="506"/>
      <c r="AB294" s="689" t="s">
        <v>154</v>
      </c>
      <c r="AC294" s="932"/>
      <c r="AD294" s="801"/>
      <c r="AE294" s="801"/>
      <c r="AF294" s="801"/>
      <c r="AG294" s="801"/>
      <c r="AH294" s="731"/>
      <c r="AI294" s="725"/>
      <c r="AJ294" s="869"/>
      <c r="AK294" s="869"/>
      <c r="AL294" s="869"/>
      <c r="AM294" s="869"/>
      <c r="AN294" s="869"/>
      <c r="AO294" s="869"/>
      <c r="AP294" s="1271"/>
      <c r="AQ294" s="1272"/>
      <c r="AR294" s="1273"/>
      <c r="AS294" s="1273"/>
      <c r="AT294" s="1279"/>
      <c r="AU294" s="1274"/>
      <c r="AV294" s="1275"/>
      <c r="AW294" s="1276"/>
      <c r="AX294" s="1276"/>
      <c r="AY294" s="1276"/>
      <c r="AZ294" s="1277"/>
      <c r="BA294" s="1277"/>
      <c r="BB294" s="1276"/>
      <c r="BC294" s="1276"/>
      <c r="BD294" s="1276"/>
      <c r="BE294" s="1276"/>
      <c r="BF294" s="1266"/>
      <c r="BG294" s="916"/>
      <c r="BH294" s="1247"/>
    </row>
    <row r="295" spans="3:60" ht="100" customHeight="1" x14ac:dyDescent="1">
      <c r="C295" s="1245"/>
      <c r="E295" s="465"/>
      <c r="F295" s="506"/>
      <c r="G295" s="506"/>
      <c r="H295" s="1278" t="s">
        <v>179</v>
      </c>
      <c r="I295" s="1278"/>
      <c r="J295" s="1278"/>
      <c r="K295" s="1278"/>
      <c r="L295" s="1278"/>
      <c r="M295" s="1278"/>
      <c r="N295" s="728" t="s">
        <v>175</v>
      </c>
      <c r="O295" s="728"/>
      <c r="P295" s="686"/>
      <c r="Q295" s="680"/>
      <c r="R295" s="1316" t="s">
        <v>121</v>
      </c>
      <c r="S295" s="1268"/>
      <c r="T295" s="1317" t="s">
        <v>125</v>
      </c>
      <c r="U295" s="1269"/>
      <c r="V295" s="507" t="s">
        <v>121</v>
      </c>
      <c r="W295" s="506"/>
      <c r="X295" s="506" t="s">
        <v>20</v>
      </c>
      <c r="Y295" s="506"/>
      <c r="Z295" s="489" t="s">
        <v>20</v>
      </c>
      <c r="AA295" s="506"/>
      <c r="AB295" s="689" t="s">
        <v>121</v>
      </c>
      <c r="AC295" s="932"/>
      <c r="AD295" s="801"/>
      <c r="AE295" s="801"/>
      <c r="AF295" s="801" t="s">
        <v>138</v>
      </c>
      <c r="AG295" s="801"/>
      <c r="AH295" s="731"/>
      <c r="AI295" s="725"/>
      <c r="AJ295" s="2073" t="s">
        <v>124</v>
      </c>
      <c r="AK295" s="2107"/>
      <c r="AL295" s="2107"/>
      <c r="AM295" s="2107"/>
      <c r="AN295" s="2107"/>
      <c r="AO295" s="869"/>
      <c r="AP295" s="1271" t="s">
        <v>178</v>
      </c>
      <c r="AQ295" s="1272"/>
      <c r="AR295" s="2181" t="s">
        <v>139</v>
      </c>
      <c r="AS295" s="2181"/>
      <c r="AT295" s="2181"/>
      <c r="AU295" s="1274"/>
      <c r="AV295" s="1275"/>
      <c r="AW295" s="1276"/>
      <c r="AX295" s="1276"/>
      <c r="AY295" s="1276"/>
      <c r="AZ295" s="728" t="s">
        <v>175</v>
      </c>
      <c r="BA295" s="728"/>
      <c r="BB295" s="1338"/>
      <c r="BC295" s="1338"/>
      <c r="BD295" s="1276"/>
      <c r="BE295" s="1276"/>
      <c r="BF295" s="1276"/>
      <c r="BG295" s="916"/>
      <c r="BH295" s="1247"/>
    </row>
    <row r="296" spans="3:60" ht="100" customHeight="1" x14ac:dyDescent="1">
      <c r="C296" s="1245"/>
      <c r="E296" s="465"/>
      <c r="F296" s="386"/>
      <c r="G296" s="386"/>
      <c r="H296" s="1280">
        <v>2700</v>
      </c>
      <c r="I296" s="1280"/>
      <c r="J296" s="1278"/>
      <c r="K296" s="1278"/>
      <c r="L296" s="1278"/>
      <c r="M296" s="1278"/>
      <c r="N296" s="728" t="s">
        <v>127</v>
      </c>
      <c r="O296" s="728"/>
      <c r="P296" s="505"/>
      <c r="Q296" s="465"/>
      <c r="R296" s="1316">
        <v>300</v>
      </c>
      <c r="S296" s="1268"/>
      <c r="T296" s="1317">
        <v>500</v>
      </c>
      <c r="U296" s="1269"/>
      <c r="V296" s="507">
        <v>300</v>
      </c>
      <c r="W296" s="506"/>
      <c r="X296" s="506">
        <v>450</v>
      </c>
      <c r="Y296" s="506"/>
      <c r="Z296" s="489">
        <v>450</v>
      </c>
      <c r="AA296" s="506"/>
      <c r="AB296" s="689">
        <v>300</v>
      </c>
      <c r="AC296" s="932"/>
      <c r="AD296" s="797"/>
      <c r="AE296" s="797"/>
      <c r="AF296" s="918">
        <v>400</v>
      </c>
      <c r="AG296" s="918"/>
      <c r="AH296" s="721"/>
      <c r="AI296" s="704"/>
      <c r="AJ296" s="388"/>
      <c r="AK296" s="388"/>
      <c r="AL296" s="388"/>
      <c r="AM296" s="388"/>
      <c r="AN296" s="388"/>
      <c r="AO296" s="388"/>
      <c r="AP296" s="1271" t="s">
        <v>127</v>
      </c>
      <c r="AQ296" s="1272"/>
      <c r="AR296" s="2181">
        <v>300</v>
      </c>
      <c r="AS296" s="2181"/>
      <c r="AT296" s="2181"/>
      <c r="AU296" s="1274"/>
      <c r="AV296" s="1265"/>
      <c r="AW296" s="1266"/>
      <c r="AX296" s="1266"/>
      <c r="AY296" s="1266"/>
      <c r="AZ296" s="728" t="s">
        <v>127</v>
      </c>
      <c r="BA296" s="728"/>
      <c r="BB296" s="1266"/>
      <c r="BC296" s="1266"/>
      <c r="BD296" s="1266"/>
      <c r="BE296" s="1266"/>
      <c r="BF296" s="1266"/>
      <c r="BG296" s="916"/>
      <c r="BH296" s="1247"/>
    </row>
    <row r="297" spans="3:60" ht="100" customHeight="1" x14ac:dyDescent="1">
      <c r="C297" s="1245"/>
      <c r="E297" s="465"/>
      <c r="F297" s="386"/>
      <c r="G297" s="386"/>
      <c r="H297" s="386"/>
      <c r="I297" s="386"/>
      <c r="J297" s="386"/>
      <c r="K297" s="386"/>
      <c r="L297" s="386"/>
      <c r="M297" s="386"/>
      <c r="N297" s="392"/>
      <c r="O297" s="392"/>
      <c r="P297" s="505"/>
      <c r="Q297" s="465"/>
      <c r="R297" s="507"/>
      <c r="S297" s="489"/>
      <c r="T297" s="1324"/>
      <c r="U297" s="1272"/>
      <c r="V297" s="507"/>
      <c r="W297" s="506"/>
      <c r="X297" s="506"/>
      <c r="Y297" s="506"/>
      <c r="Z297" s="489"/>
      <c r="AA297" s="506"/>
      <c r="AB297" s="689"/>
      <c r="AC297" s="932"/>
      <c r="AD297" s="797"/>
      <c r="AE297" s="797"/>
      <c r="AF297" s="797"/>
      <c r="AG297" s="797"/>
      <c r="AH297" s="721"/>
      <c r="AI297" s="704"/>
      <c r="AJ297" s="388"/>
      <c r="AK297" s="388"/>
      <c r="AL297" s="388"/>
      <c r="AM297" s="388"/>
      <c r="AN297" s="388"/>
      <c r="AO297" s="388"/>
      <c r="AP297" s="1270"/>
      <c r="AQ297" s="1248"/>
      <c r="AR297" s="1262"/>
      <c r="AS297" s="1262"/>
      <c r="AT297" s="1263"/>
      <c r="AU297" s="1281"/>
      <c r="AV297" s="1266"/>
      <c r="AW297" s="1266"/>
      <c r="AX297" s="1266"/>
      <c r="AY297" s="1266"/>
      <c r="AZ297" s="1267"/>
      <c r="BA297" s="1267"/>
      <c r="BB297" s="1266"/>
      <c r="BC297" s="1266"/>
      <c r="BD297" s="1266"/>
      <c r="BE297" s="1266"/>
      <c r="BF297" s="1266"/>
      <c r="BG297" s="916"/>
      <c r="BH297" s="1247"/>
    </row>
    <row r="298" spans="3:60" ht="100" customHeight="1" thickBot="1" x14ac:dyDescent="1.05">
      <c r="C298" s="1245"/>
      <c r="E298" s="465"/>
      <c r="F298" s="500"/>
      <c r="G298" s="500"/>
      <c r="H298" s="500"/>
      <c r="I298" s="500"/>
      <c r="J298" s="500"/>
      <c r="K298" s="500"/>
      <c r="L298" s="500"/>
      <c r="M298" s="500"/>
      <c r="N298" s="744"/>
      <c r="O298" s="744"/>
      <c r="P298" s="509"/>
      <c r="Q298" s="1282"/>
      <c r="R298" s="1283"/>
      <c r="S298" s="1284"/>
      <c r="T298" s="1285"/>
      <c r="U298" s="1248"/>
      <c r="V298" s="497"/>
      <c r="W298" s="386"/>
      <c r="X298" s="386"/>
      <c r="Y298" s="1286"/>
      <c r="Z298" s="495"/>
      <c r="AA298" s="386"/>
      <c r="AB298" s="484"/>
      <c r="AC298" s="928"/>
      <c r="AD298" s="746"/>
      <c r="AE298" s="746"/>
      <c r="AF298" s="746"/>
      <c r="AG298" s="746"/>
      <c r="AH298" s="747"/>
      <c r="AI298" s="704"/>
      <c r="AJ298" s="388"/>
      <c r="AK298" s="388"/>
      <c r="AL298" s="388"/>
      <c r="AM298" s="388"/>
      <c r="AN298" s="388"/>
      <c r="AO298" s="388"/>
      <c r="AP298" s="1270"/>
      <c r="AQ298" s="1248"/>
      <c r="AR298" s="1287"/>
      <c r="AS298" s="1287"/>
      <c r="AT298" s="1287"/>
      <c r="AU298" s="1281"/>
      <c r="AV298" s="1266"/>
      <c r="AW298" s="1266"/>
      <c r="AX298" s="1266"/>
      <c r="AY298" s="1266"/>
      <c r="AZ298" s="1267"/>
      <c r="BA298" s="1267"/>
      <c r="BB298" s="1266"/>
      <c r="BC298" s="1266"/>
      <c r="BD298" s="1266"/>
      <c r="BE298" s="1266"/>
      <c r="BF298" s="1266"/>
      <c r="BG298" s="916"/>
      <c r="BH298" s="1247"/>
    </row>
    <row r="299" spans="3:60" ht="10" customHeight="1" thickTop="1" thickBot="1" x14ac:dyDescent="1.05">
      <c r="C299" s="1245"/>
      <c r="E299" s="465"/>
      <c r="F299" s="465"/>
      <c r="G299" s="465"/>
      <c r="H299" s="465"/>
      <c r="I299" s="465"/>
      <c r="J299" s="465"/>
      <c r="K299" s="465"/>
      <c r="L299" s="465"/>
      <c r="M299" s="465"/>
      <c r="N299" s="465"/>
      <c r="O299" s="465"/>
      <c r="P299" s="1288"/>
      <c r="Q299" s="1237"/>
      <c r="R299" s="1237"/>
      <c r="S299" s="1289"/>
      <c r="T299" s="1290"/>
      <c r="U299" s="1291"/>
      <c r="V299" s="476"/>
      <c r="W299" s="476"/>
      <c r="X299" s="476"/>
      <c r="Y299" s="476"/>
      <c r="Z299" s="476"/>
      <c r="AA299" s="476"/>
      <c r="AB299" s="476"/>
      <c r="AC299" s="478"/>
      <c r="AD299" s="1292"/>
      <c r="AE299" s="874"/>
      <c r="AF299" s="874"/>
      <c r="AG299" s="874"/>
      <c r="AH299" s="874"/>
      <c r="AI299" s="748"/>
      <c r="AJ299" s="388"/>
      <c r="AK299" s="388"/>
      <c r="AL299" s="388"/>
      <c r="AM299" s="388"/>
      <c r="AN299" s="388"/>
      <c r="AO299" s="388"/>
      <c r="AP299" s="1261"/>
      <c r="AQ299" s="1248"/>
      <c r="AR299" s="1293"/>
      <c r="AS299" s="1294"/>
      <c r="AT299" s="1294"/>
      <c r="AU299" s="1295"/>
      <c r="AV299" s="1266"/>
      <c r="AW299" s="1266"/>
      <c r="AX299" s="1266"/>
      <c r="AY299" s="1266"/>
      <c r="AZ299" s="1267"/>
      <c r="BA299" s="1267"/>
      <c r="BB299" s="1266"/>
      <c r="BC299" s="1266"/>
      <c r="BD299" s="1266"/>
      <c r="BE299" s="1266"/>
      <c r="BF299" s="1266"/>
      <c r="BG299" s="916"/>
      <c r="BH299" s="1247"/>
    </row>
    <row r="300" spans="3:60" ht="100" customHeight="1" thickTop="1" x14ac:dyDescent="1">
      <c r="C300" s="1245"/>
      <c r="E300" s="465"/>
      <c r="F300" s="2054" t="s">
        <v>133</v>
      </c>
      <c r="G300" s="2054"/>
      <c r="H300" s="2054"/>
      <c r="I300" s="2054"/>
      <c r="J300" s="2054"/>
      <c r="K300" s="2054"/>
      <c r="L300" s="2054"/>
      <c r="M300" s="2054"/>
      <c r="N300" s="2054"/>
      <c r="O300" s="2054"/>
      <c r="P300" s="2182"/>
      <c r="Q300" s="1296"/>
      <c r="R300" s="2185" t="s">
        <v>168</v>
      </c>
      <c r="S300" s="1990"/>
      <c r="T300" s="1990"/>
      <c r="U300" s="1990"/>
      <c r="V300" s="2079"/>
      <c r="W300" s="2079"/>
      <c r="X300" s="2079"/>
      <c r="Y300" s="2079"/>
      <c r="Z300" s="2079"/>
      <c r="AA300" s="2079"/>
      <c r="AB300" s="2080"/>
      <c r="AC300" s="2100" t="s">
        <v>171</v>
      </c>
      <c r="AD300" s="1990"/>
      <c r="AE300" s="1990"/>
      <c r="AF300" s="1990"/>
      <c r="AG300" s="1990"/>
      <c r="AH300" s="1990"/>
      <c r="AI300" s="2084"/>
      <c r="AJ300" s="2092" t="s">
        <v>186</v>
      </c>
      <c r="AK300" s="2066"/>
      <c r="AL300" s="2066"/>
      <c r="AM300" s="2066"/>
      <c r="AN300" s="2066"/>
      <c r="AO300" s="2066"/>
      <c r="AP300" s="2189"/>
      <c r="AQ300" s="1297"/>
      <c r="AR300" s="2190" t="s">
        <v>133</v>
      </c>
      <c r="AS300" s="2190"/>
      <c r="AT300" s="2190"/>
      <c r="AU300" s="2190"/>
      <c r="AV300" s="2190"/>
      <c r="AW300" s="2190"/>
      <c r="AX300" s="2190"/>
      <c r="AY300" s="2190"/>
      <c r="AZ300" s="2190"/>
      <c r="BA300" s="2190"/>
      <c r="BB300" s="2190"/>
      <c r="BC300" s="2190"/>
      <c r="BD300" s="2190"/>
      <c r="BE300" s="2190"/>
      <c r="BF300" s="2190"/>
      <c r="BG300" s="916"/>
      <c r="BH300" s="1247"/>
    </row>
    <row r="301" spans="3:60" ht="100" customHeight="1" thickBot="1" x14ac:dyDescent="1.05">
      <c r="C301" s="1245"/>
      <c r="E301" s="465"/>
      <c r="F301" s="2183"/>
      <c r="G301" s="2183"/>
      <c r="H301" s="2183"/>
      <c r="I301" s="2183"/>
      <c r="J301" s="2183"/>
      <c r="K301" s="2183"/>
      <c r="L301" s="2183"/>
      <c r="M301" s="2183"/>
      <c r="N301" s="2183"/>
      <c r="O301" s="2183"/>
      <c r="P301" s="2184"/>
      <c r="Q301" s="1298"/>
      <c r="R301" s="2217"/>
      <c r="S301" s="2082"/>
      <c r="T301" s="2082"/>
      <c r="U301" s="2082"/>
      <c r="V301" s="2082"/>
      <c r="W301" s="1990"/>
      <c r="X301" s="1990"/>
      <c r="Y301" s="1990"/>
      <c r="Z301" s="1990"/>
      <c r="AA301" s="1990"/>
      <c r="AB301" s="2084"/>
      <c r="AC301" s="2186"/>
      <c r="AD301" s="2187"/>
      <c r="AE301" s="2187"/>
      <c r="AF301" s="2187"/>
      <c r="AG301" s="2187"/>
      <c r="AH301" s="2187"/>
      <c r="AI301" s="2188"/>
      <c r="AJ301" s="2092"/>
      <c r="AK301" s="2066"/>
      <c r="AL301" s="2066"/>
      <c r="AM301" s="2066"/>
      <c r="AN301" s="2066"/>
      <c r="AO301" s="2066"/>
      <c r="AP301" s="2189"/>
      <c r="AQ301" s="1299"/>
      <c r="AR301" s="2190"/>
      <c r="AS301" s="2190"/>
      <c r="AT301" s="2190"/>
      <c r="AU301" s="2190"/>
      <c r="AV301" s="2190"/>
      <c r="AW301" s="2190"/>
      <c r="AX301" s="2190"/>
      <c r="AY301" s="2190"/>
      <c r="AZ301" s="2190"/>
      <c r="BA301" s="2190"/>
      <c r="BB301" s="2190"/>
      <c r="BC301" s="2190"/>
      <c r="BD301" s="2190"/>
      <c r="BE301" s="2190"/>
      <c r="BF301" s="2190"/>
      <c r="BG301" s="916"/>
      <c r="BH301" s="1247"/>
    </row>
    <row r="302" spans="3:60" ht="10" customHeight="1" thickTop="1" thickBot="1" x14ac:dyDescent="1.05">
      <c r="C302" s="1245"/>
      <c r="E302" s="465"/>
      <c r="F302" s="775"/>
      <c r="G302" s="775"/>
      <c r="H302" s="775"/>
      <c r="I302" s="775"/>
      <c r="J302" s="775"/>
      <c r="K302" s="775"/>
      <c r="L302" s="775"/>
      <c r="M302" s="775"/>
      <c r="N302" s="775"/>
      <c r="O302" s="775"/>
      <c r="P302" s="1300"/>
      <c r="Q302" s="1301"/>
      <c r="R302" s="775"/>
      <c r="S302" s="775"/>
      <c r="T302" s="775"/>
      <c r="U302" s="775"/>
      <c r="V302" s="775"/>
      <c r="W302" s="1302"/>
      <c r="X302" s="1303"/>
      <c r="Y302" s="1304"/>
      <c r="Z302" s="1304"/>
      <c r="AA302" s="1304"/>
      <c r="AB302" s="1304"/>
      <c r="AC302" s="1305"/>
      <c r="AD302" s="1304"/>
      <c r="AE302" s="1304"/>
      <c r="AF302" s="1304"/>
      <c r="AG302" s="1304"/>
      <c r="AH302" s="1305"/>
      <c r="AI302" s="1305"/>
      <c r="AJ302" s="1304"/>
      <c r="AK302" s="1304"/>
      <c r="AL302" s="1305"/>
      <c r="AM302" s="1302"/>
      <c r="AN302" s="1306"/>
      <c r="AO302" s="1306"/>
      <c r="AP302" s="1307"/>
      <c r="AQ302" s="1308"/>
      <c r="AR302" s="1309"/>
      <c r="AS302" s="1309"/>
      <c r="AT302" s="1309"/>
      <c r="AU302" s="1310"/>
      <c r="AV302" s="1311"/>
      <c r="AW302" s="1311"/>
      <c r="AX302" s="1311"/>
      <c r="AY302" s="1311"/>
      <c r="AZ302" s="1311"/>
      <c r="BA302" s="1311"/>
      <c r="BB302" s="1311"/>
      <c r="BC302" s="1311"/>
      <c r="BD302" s="1311"/>
      <c r="BE302" s="1311"/>
      <c r="BF302" s="1311"/>
      <c r="BG302" s="928"/>
      <c r="BH302" s="1247"/>
    </row>
    <row r="303" spans="3:60" ht="100" customHeight="1" thickTop="1" x14ac:dyDescent="1">
      <c r="C303" s="1245"/>
      <c r="E303" s="465"/>
      <c r="F303" s="386"/>
      <c r="G303" s="386"/>
      <c r="H303" s="482"/>
      <c r="I303" s="386"/>
      <c r="J303" s="484"/>
      <c r="K303" s="386"/>
      <c r="L303" s="390"/>
      <c r="M303" s="386"/>
      <c r="N303" s="386"/>
      <c r="O303" s="386"/>
      <c r="P303" s="1258"/>
      <c r="Q303" s="1245"/>
      <c r="R303" s="909"/>
      <c r="S303" s="716"/>
      <c r="T303" s="716"/>
      <c r="U303" s="716"/>
      <c r="V303" s="911"/>
      <c r="W303" s="1248"/>
      <c r="X303" s="386"/>
      <c r="Y303" s="386"/>
      <c r="Z303" s="484"/>
      <c r="AA303" s="1312"/>
      <c r="AB303" s="484"/>
      <c r="AC303" s="469"/>
      <c r="AD303" s="720"/>
      <c r="AE303" s="720"/>
      <c r="AF303" s="720"/>
      <c r="AG303" s="720"/>
      <c r="AH303" s="1313"/>
      <c r="AI303" s="916"/>
      <c r="AJ303" s="386"/>
      <c r="AK303" s="386"/>
      <c r="AL303" s="1314"/>
      <c r="AM303" s="1248"/>
      <c r="AN303" s="386"/>
      <c r="AO303" s="386"/>
      <c r="AP303" s="1314"/>
      <c r="AQ303" s="1242"/>
      <c r="AR303" s="386"/>
      <c r="AS303" s="386"/>
      <c r="AT303" s="386"/>
      <c r="AU303" s="469"/>
      <c r="AV303" s="1266"/>
      <c r="AW303" s="1266"/>
      <c r="AX303" s="1266"/>
      <c r="AY303" s="1266"/>
      <c r="AZ303" s="1266"/>
      <c r="BA303" s="1266"/>
      <c r="BB303" s="1266"/>
      <c r="BC303" s="1266"/>
      <c r="BD303" s="1266"/>
      <c r="BE303" s="1266"/>
      <c r="BF303" s="1266"/>
      <c r="BG303" s="916"/>
      <c r="BH303" s="1247"/>
    </row>
    <row r="304" spans="3:60" ht="100" customHeight="1" x14ac:dyDescent="1">
      <c r="C304" s="1245"/>
      <c r="E304" s="465"/>
      <c r="F304" s="2167" t="s">
        <v>132</v>
      </c>
      <c r="G304" s="2167"/>
      <c r="H304" s="2168"/>
      <c r="I304" s="1315"/>
      <c r="J304" s="2169" t="s">
        <v>132</v>
      </c>
      <c r="K304" s="2167"/>
      <c r="L304" s="2170"/>
      <c r="M304" s="1268"/>
      <c r="N304" s="2167" t="s">
        <v>132</v>
      </c>
      <c r="O304" s="2167"/>
      <c r="P304" s="2172"/>
      <c r="Q304" s="1245"/>
      <c r="R304" s="507" t="s">
        <v>152</v>
      </c>
      <c r="S304" s="489"/>
      <c r="T304" s="615" t="s">
        <v>152</v>
      </c>
      <c r="U304" s="507"/>
      <c r="V304" s="689" t="s">
        <v>152</v>
      </c>
      <c r="W304" s="1272"/>
      <c r="X304" s="1315" t="s">
        <v>152</v>
      </c>
      <c r="Y304" s="1315"/>
      <c r="Z304" s="1318" t="s">
        <v>152</v>
      </c>
      <c r="AA304" s="1319"/>
      <c r="AB304" s="1318" t="s">
        <v>152</v>
      </c>
      <c r="AC304" s="1320"/>
      <c r="AD304" s="1321"/>
      <c r="AE304" s="1321"/>
      <c r="AF304" s="1321"/>
      <c r="AG304" s="1321"/>
      <c r="AH304" s="1322"/>
      <c r="AI304" s="1323"/>
      <c r="AJ304" s="2173" t="s">
        <v>132</v>
      </c>
      <c r="AK304" s="2167"/>
      <c r="AL304" s="2172"/>
      <c r="AM304" s="1269"/>
      <c r="AN304" s="2174" t="s">
        <v>182</v>
      </c>
      <c r="AO304" s="1867"/>
      <c r="AP304" s="2175"/>
      <c r="AQ304" s="1272"/>
      <c r="AR304" s="2176" t="s">
        <v>132</v>
      </c>
      <c r="AS304" s="2167"/>
      <c r="AT304" s="2167"/>
      <c r="AU304" s="1320"/>
      <c r="AV304" s="1266"/>
      <c r="AW304" s="1266"/>
      <c r="AX304" s="1266"/>
      <c r="AY304" s="1266"/>
      <c r="AZ304" s="1266"/>
      <c r="BA304" s="1266"/>
      <c r="BB304" s="1266"/>
      <c r="BC304" s="1266"/>
      <c r="BD304" s="1266"/>
      <c r="BE304" s="1266"/>
      <c r="BF304" s="1266"/>
      <c r="BG304" s="916"/>
      <c r="BH304" s="1247"/>
    </row>
    <row r="305" spans="3:60" ht="100" customHeight="1" thickBot="1" x14ac:dyDescent="1.05">
      <c r="C305" s="1245"/>
      <c r="E305" s="465"/>
      <c r="F305" s="2192" t="s">
        <v>153</v>
      </c>
      <c r="G305" s="2192"/>
      <c r="H305" s="2193"/>
      <c r="I305" s="1325"/>
      <c r="J305" s="2194" t="s">
        <v>153</v>
      </c>
      <c r="K305" s="2192"/>
      <c r="L305" s="2195"/>
      <c r="M305" s="1326"/>
      <c r="N305" s="2192" t="s">
        <v>153</v>
      </c>
      <c r="O305" s="2192"/>
      <c r="P305" s="2197"/>
      <c r="Q305" s="1327"/>
      <c r="R305" s="507" t="s">
        <v>153</v>
      </c>
      <c r="S305" s="489"/>
      <c r="T305" s="615" t="s">
        <v>154</v>
      </c>
      <c r="U305" s="506"/>
      <c r="V305" s="689" t="s">
        <v>154</v>
      </c>
      <c r="W305" s="1272"/>
      <c r="X305" s="1315" t="s">
        <v>154</v>
      </c>
      <c r="Y305" s="1315"/>
      <c r="Z305" s="1328" t="s">
        <v>154</v>
      </c>
      <c r="AA305" s="1315"/>
      <c r="AB305" s="1318" t="s">
        <v>154</v>
      </c>
      <c r="AC305" s="1320"/>
      <c r="AD305" s="1329"/>
      <c r="AE305" s="1329"/>
      <c r="AF305" s="1321"/>
      <c r="AG305" s="1321"/>
      <c r="AH305" s="1330"/>
      <c r="AI305" s="1331"/>
      <c r="AJ305" s="2167" t="s">
        <v>153</v>
      </c>
      <c r="AK305" s="2167"/>
      <c r="AL305" s="2172"/>
      <c r="AM305" s="1332"/>
      <c r="AN305" s="1867" t="s">
        <v>153</v>
      </c>
      <c r="AO305" s="1867"/>
      <c r="AP305" s="2175"/>
      <c r="AQ305" s="1272"/>
      <c r="AR305" s="2167" t="s">
        <v>153</v>
      </c>
      <c r="AS305" s="2167"/>
      <c r="AT305" s="2167"/>
      <c r="AU305" s="1320"/>
      <c r="AV305" s="1266"/>
      <c r="AW305" s="1266"/>
      <c r="AX305" s="1333" t="s">
        <v>196</v>
      </c>
      <c r="AY305" s="1333"/>
      <c r="AZ305" s="727"/>
      <c r="BA305" s="727"/>
      <c r="BB305" s="727"/>
      <c r="BC305" s="727"/>
      <c r="BD305" s="727"/>
      <c r="BE305" s="727"/>
      <c r="BF305" s="1266"/>
      <c r="BG305" s="916"/>
      <c r="BH305" s="1247"/>
    </row>
    <row r="306" spans="3:60" ht="100" customHeight="1" thickTop="1" x14ac:dyDescent="1">
      <c r="C306" s="1245"/>
      <c r="E306" s="465"/>
      <c r="F306" s="2192" t="s">
        <v>121</v>
      </c>
      <c r="G306" s="2192"/>
      <c r="H306" s="2193"/>
      <c r="I306" s="1325"/>
      <c r="J306" s="2194" t="s">
        <v>20</v>
      </c>
      <c r="K306" s="2192"/>
      <c r="L306" s="2195"/>
      <c r="M306" s="1326"/>
      <c r="N306" s="2192" t="s">
        <v>121</v>
      </c>
      <c r="O306" s="2192"/>
      <c r="P306" s="2197"/>
      <c r="Q306" s="1327"/>
      <c r="R306" s="507" t="s">
        <v>121</v>
      </c>
      <c r="S306" s="489"/>
      <c r="T306" s="615" t="s">
        <v>125</v>
      </c>
      <c r="U306" s="506"/>
      <c r="V306" s="689" t="s">
        <v>121</v>
      </c>
      <c r="W306" s="1272"/>
      <c r="X306" s="1315" t="s">
        <v>20</v>
      </c>
      <c r="Y306" s="1315"/>
      <c r="Z306" s="1318" t="s">
        <v>20</v>
      </c>
      <c r="AA306" s="1319"/>
      <c r="AB306" s="1318" t="s">
        <v>121</v>
      </c>
      <c r="AC306" s="1320"/>
      <c r="AD306" s="1329"/>
      <c r="AE306" s="1329"/>
      <c r="AF306" s="1329" t="s">
        <v>138</v>
      </c>
      <c r="AG306" s="1329"/>
      <c r="AH306" s="1330"/>
      <c r="AI306" s="1331"/>
      <c r="AJ306" s="2167" t="s">
        <v>121</v>
      </c>
      <c r="AK306" s="2167"/>
      <c r="AL306" s="2172"/>
      <c r="AM306" s="1334"/>
      <c r="AN306" s="2174" t="s">
        <v>20</v>
      </c>
      <c r="AO306" s="1867"/>
      <c r="AP306" s="2175"/>
      <c r="AQ306" s="1272"/>
      <c r="AR306" s="2167" t="s">
        <v>121</v>
      </c>
      <c r="AS306" s="2167"/>
      <c r="AT306" s="2167"/>
      <c r="AU306" s="1320"/>
      <c r="AV306" s="1276"/>
      <c r="AW306" s="1276"/>
      <c r="AX306" s="1335">
        <f t="shared" ref="AX306" si="0">2700+2700</f>
        <v>5400</v>
      </c>
      <c r="AY306" s="1335"/>
      <c r="AZ306" s="648"/>
      <c r="BA306" s="648"/>
      <c r="BB306" s="648"/>
      <c r="BC306" s="648"/>
      <c r="BD306" s="648"/>
      <c r="BE306" s="648"/>
      <c r="BF306" s="1276"/>
      <c r="BG306" s="916"/>
      <c r="BH306" s="1247"/>
    </row>
    <row r="307" spans="3:60" ht="100" customHeight="1" x14ac:dyDescent="1">
      <c r="C307" s="1245"/>
      <c r="E307" s="465"/>
      <c r="F307" s="2192">
        <v>800</v>
      </c>
      <c r="G307" s="2192"/>
      <c r="H307" s="2193"/>
      <c r="I307" s="1325"/>
      <c r="J307" s="2200">
        <v>1100</v>
      </c>
      <c r="K307" s="2201"/>
      <c r="L307" s="2202"/>
      <c r="M307" s="1336"/>
      <c r="N307" s="2192">
        <v>800</v>
      </c>
      <c r="O307" s="2192"/>
      <c r="P307" s="2197"/>
      <c r="Q307" s="1327"/>
      <c r="R307" s="507">
        <v>300</v>
      </c>
      <c r="S307" s="489"/>
      <c r="T307" s="615">
        <v>500</v>
      </c>
      <c r="U307" s="506"/>
      <c r="V307" s="689">
        <v>300</v>
      </c>
      <c r="W307" s="1272"/>
      <c r="X307" s="1315">
        <v>450</v>
      </c>
      <c r="Y307" s="1315"/>
      <c r="Z307" s="1328">
        <v>450</v>
      </c>
      <c r="AA307" s="1315"/>
      <c r="AB307" s="1318">
        <v>300</v>
      </c>
      <c r="AC307" s="1320"/>
      <c r="AD307" s="1321"/>
      <c r="AE307" s="1321"/>
      <c r="AF307" s="1337">
        <v>400</v>
      </c>
      <c r="AG307" s="1337"/>
      <c r="AH307" s="1322"/>
      <c r="AI307" s="1323"/>
      <c r="AJ307" s="2167">
        <v>800</v>
      </c>
      <c r="AK307" s="2167"/>
      <c r="AL307" s="2172"/>
      <c r="AM307" s="1334"/>
      <c r="AN307" s="2203">
        <v>1100</v>
      </c>
      <c r="AO307" s="1972"/>
      <c r="AP307" s="2175"/>
      <c r="AQ307" s="1272"/>
      <c r="AR307" s="2167">
        <v>800</v>
      </c>
      <c r="AS307" s="2167"/>
      <c r="AT307" s="2167"/>
      <c r="AU307" s="1320"/>
      <c r="AV307" s="1338"/>
      <c r="AW307" s="1338"/>
      <c r="AX307" s="2198"/>
      <c r="AY307" s="2198"/>
      <c r="AZ307" s="2198"/>
      <c r="BA307" s="2198"/>
      <c r="BB307" s="2198"/>
      <c r="BC307" s="2198"/>
      <c r="BD307" s="2198"/>
      <c r="BE307" s="1338"/>
      <c r="BF307" s="1276"/>
      <c r="BG307" s="916"/>
      <c r="BH307" s="1247"/>
    </row>
    <row r="308" spans="3:60" ht="100" customHeight="1" thickBot="1" x14ac:dyDescent="1.05">
      <c r="C308" s="1245"/>
      <c r="E308" s="465"/>
      <c r="F308" s="386"/>
      <c r="G308" s="386"/>
      <c r="H308" s="482"/>
      <c r="I308" s="386"/>
      <c r="J308" s="484"/>
      <c r="K308" s="386"/>
      <c r="L308" s="390"/>
      <c r="M308" s="386"/>
      <c r="N308" s="387"/>
      <c r="O308" s="387"/>
      <c r="P308" s="1258"/>
      <c r="Q308" s="1245"/>
      <c r="R308" s="507"/>
      <c r="S308" s="489"/>
      <c r="T308" s="506"/>
      <c r="U308" s="930"/>
      <c r="V308" s="689"/>
      <c r="W308" s="1272"/>
      <c r="X308" s="506"/>
      <c r="Y308" s="506"/>
      <c r="Z308" s="689"/>
      <c r="AA308" s="930"/>
      <c r="AB308" s="689"/>
      <c r="AC308" s="468"/>
      <c r="AD308" s="720"/>
      <c r="AE308" s="720"/>
      <c r="AF308" s="720"/>
      <c r="AG308" s="720"/>
      <c r="AH308" s="1313"/>
      <c r="AI308" s="916"/>
      <c r="AJ308" s="506"/>
      <c r="AK308" s="506"/>
      <c r="AL308" s="1339"/>
      <c r="AM308" s="1340"/>
      <c r="AN308" s="1341"/>
      <c r="AO308" s="685"/>
      <c r="AP308" s="1324"/>
      <c r="AQ308" s="1272"/>
      <c r="AR308" s="506"/>
      <c r="AS308" s="506"/>
      <c r="AT308" s="506"/>
      <c r="AU308" s="468"/>
      <c r="AV308" s="1266"/>
      <c r="AW308" s="1266"/>
      <c r="AX308" s="1266"/>
      <c r="AY308" s="1266"/>
      <c r="AZ308" s="1266"/>
      <c r="BA308" s="1266"/>
      <c r="BB308" s="1266"/>
      <c r="BC308" s="1266"/>
      <c r="BD308" s="1266"/>
      <c r="BE308" s="1266"/>
      <c r="BF308" s="1266"/>
      <c r="BG308" s="916"/>
      <c r="BH308" s="1247"/>
    </row>
    <row r="309" spans="3:60" ht="100" customHeight="1" thickTop="1" thickBot="1" x14ac:dyDescent="1.05">
      <c r="C309" s="1245"/>
      <c r="E309" s="465"/>
      <c r="F309" s="386"/>
      <c r="G309" s="386"/>
      <c r="H309" s="482"/>
      <c r="I309" s="386"/>
      <c r="J309" s="484"/>
      <c r="K309" s="386"/>
      <c r="L309" s="390"/>
      <c r="M309" s="386"/>
      <c r="N309" s="386"/>
      <c r="O309" s="386"/>
      <c r="P309" s="1258"/>
      <c r="Q309" s="1245"/>
      <c r="R309" s="497"/>
      <c r="S309" s="495"/>
      <c r="T309" s="500"/>
      <c r="U309" s="497"/>
      <c r="V309" s="938"/>
      <c r="W309" s="1342"/>
      <c r="X309" s="386"/>
      <c r="Y309" s="386"/>
      <c r="Z309" s="938"/>
      <c r="AA309" s="1286"/>
      <c r="AB309" s="484"/>
      <c r="AC309" s="469"/>
      <c r="AD309" s="746"/>
      <c r="AE309" s="746"/>
      <c r="AF309" s="746"/>
      <c r="AG309" s="746"/>
      <c r="AH309" s="1343"/>
      <c r="AI309" s="916"/>
      <c r="AJ309" s="496"/>
      <c r="AK309" s="500"/>
      <c r="AL309" s="1344"/>
      <c r="AM309" s="1342"/>
      <c r="AN309" s="500"/>
      <c r="AO309" s="1345"/>
      <c r="AP309" s="1346"/>
      <c r="AQ309" s="1248"/>
      <c r="AR309" s="386"/>
      <c r="AS309" s="386"/>
      <c r="AT309" s="386"/>
      <c r="AU309" s="788"/>
      <c r="AV309" s="1347"/>
      <c r="AW309" s="1347"/>
      <c r="AX309" s="1347"/>
      <c r="AY309" s="1347"/>
      <c r="AZ309" s="1347"/>
      <c r="BA309" s="1347"/>
      <c r="BB309" s="1347"/>
      <c r="BC309" s="1347"/>
      <c r="BD309" s="1347"/>
      <c r="BE309" s="1347"/>
      <c r="BF309" s="1347"/>
      <c r="BG309" s="916"/>
      <c r="BH309" s="1247"/>
    </row>
    <row r="310" spans="3:60" ht="10" customHeight="1" thickTop="1" thickBot="1" x14ac:dyDescent="1.05">
      <c r="C310" s="1245"/>
      <c r="E310" s="465"/>
      <c r="F310" s="476"/>
      <c r="G310" s="476"/>
      <c r="H310" s="476"/>
      <c r="I310" s="476"/>
      <c r="J310" s="478"/>
      <c r="K310" s="476"/>
      <c r="L310" s="476"/>
      <c r="M310" s="476"/>
      <c r="N310" s="478"/>
      <c r="O310" s="476"/>
      <c r="P310" s="1348"/>
      <c r="Q310" s="1245"/>
      <c r="R310" s="467"/>
      <c r="S310" s="467"/>
      <c r="T310" s="467"/>
      <c r="U310" s="467"/>
      <c r="V310" s="476"/>
      <c r="W310" s="1291"/>
      <c r="X310" s="476"/>
      <c r="Y310" s="476"/>
      <c r="Z310" s="476"/>
      <c r="AA310" s="476"/>
      <c r="AB310" s="476"/>
      <c r="AC310" s="478"/>
      <c r="AD310" s="754"/>
      <c r="AE310" s="754"/>
      <c r="AF310" s="754"/>
      <c r="AG310" s="754"/>
      <c r="AH310" s="1349"/>
      <c r="AI310" s="916"/>
      <c r="AJ310" s="467"/>
      <c r="AK310" s="467"/>
      <c r="AL310" s="1350"/>
      <c r="AM310" s="1291"/>
      <c r="AN310" s="476"/>
      <c r="AO310" s="476"/>
      <c r="AP310" s="1252"/>
      <c r="AQ310" s="1248"/>
      <c r="AR310" s="467"/>
      <c r="AS310" s="467"/>
      <c r="AT310" s="928"/>
      <c r="AU310" s="476"/>
      <c r="AV310" s="1257"/>
      <c r="AW310" s="1257"/>
      <c r="AX310" s="1351"/>
      <c r="AY310" s="1351"/>
      <c r="AZ310" s="1351"/>
      <c r="BA310" s="1257"/>
      <c r="BB310" s="1257"/>
      <c r="BC310" s="1257"/>
      <c r="BD310" s="1257"/>
      <c r="BE310" s="1257"/>
      <c r="BF310" s="1257"/>
      <c r="BG310" s="928"/>
      <c r="BH310" s="1247"/>
    </row>
    <row r="311" spans="3:60" ht="100" customHeight="1" thickTop="1" thickBot="1" x14ac:dyDescent="1.05">
      <c r="C311" s="1245"/>
      <c r="E311" s="792"/>
      <c r="F311" s="942"/>
      <c r="G311" s="942"/>
      <c r="H311" s="942"/>
      <c r="I311" s="942"/>
      <c r="J311" s="942"/>
      <c r="K311" s="942"/>
      <c r="L311" s="942"/>
      <c r="M311" s="942"/>
      <c r="N311" s="942"/>
      <c r="O311" s="942"/>
      <c r="P311" s="1352"/>
      <c r="Q311" s="1353"/>
      <c r="R311" s="942"/>
      <c r="S311" s="942"/>
      <c r="T311" s="961"/>
      <c r="U311" s="961"/>
      <c r="V311" s="942"/>
      <c r="W311" s="1354"/>
      <c r="X311" s="1355"/>
      <c r="Y311" s="1355"/>
      <c r="Z311" s="1355"/>
      <c r="AA311" s="1355"/>
      <c r="AB311" s="1355"/>
      <c r="AC311" s="1355"/>
      <c r="AD311" s="1355"/>
      <c r="AE311" s="1355"/>
      <c r="AF311" s="1355"/>
      <c r="AG311" s="1355"/>
      <c r="AH311" s="1355"/>
      <c r="AI311" s="1356"/>
      <c r="AJ311" s="1355"/>
      <c r="AK311" s="1355"/>
      <c r="AL311" s="1357"/>
      <c r="AM311" s="1272"/>
      <c r="AN311" s="942"/>
      <c r="AO311" s="942"/>
      <c r="AP311" s="1352"/>
      <c r="AQ311" s="1358"/>
      <c r="AR311" s="1359"/>
      <c r="AS311" s="1359"/>
      <c r="AT311" s="1359"/>
      <c r="AU311" s="1370"/>
      <c r="AV311" s="1370"/>
      <c r="AW311" s="1370"/>
      <c r="AX311" s="1370"/>
      <c r="AY311" s="1370"/>
      <c r="AZ311" s="1370"/>
      <c r="BA311" s="1370"/>
      <c r="BB311" s="1370"/>
      <c r="BC311" s="1370"/>
      <c r="BD311" s="1370"/>
      <c r="BE311" s="1370"/>
      <c r="BF311" s="1370"/>
      <c r="BG311" s="408"/>
      <c r="BH311" s="1247"/>
    </row>
    <row r="312" spans="3:60" ht="10" customHeight="1" thickTop="1" thickBot="1" x14ac:dyDescent="1.05">
      <c r="C312" s="1236"/>
      <c r="D312" s="1237"/>
      <c r="E312" s="1238"/>
      <c r="F312" s="1360"/>
      <c r="G312" s="1360"/>
      <c r="H312" s="1360"/>
      <c r="I312" s="1360"/>
      <c r="J312" s="1360"/>
      <c r="K312" s="1360"/>
      <c r="L312" s="1360"/>
      <c r="M312" s="1360"/>
      <c r="N312" s="1360"/>
      <c r="O312" s="1360"/>
      <c r="P312" s="1360"/>
      <c r="Q312" s="1361"/>
      <c r="R312" s="942"/>
      <c r="S312" s="942"/>
      <c r="T312" s="961"/>
      <c r="U312" s="961"/>
      <c r="V312" s="942"/>
      <c r="W312" s="1362"/>
      <c r="X312" s="1363"/>
      <c r="Y312" s="1360"/>
      <c r="Z312" s="1360"/>
      <c r="AA312" s="1360"/>
      <c r="AB312" s="1360"/>
      <c r="AC312" s="1360"/>
      <c r="AD312" s="1360"/>
      <c r="AE312" s="1360"/>
      <c r="AF312" s="1360"/>
      <c r="AG312" s="1360"/>
      <c r="AH312" s="1360"/>
      <c r="AI312" s="1360"/>
      <c r="AJ312" s="1360"/>
      <c r="AK312" s="1360"/>
      <c r="AL312" s="1361"/>
      <c r="AM312" s="1354"/>
      <c r="AN312" s="942"/>
      <c r="AO312" s="942"/>
      <c r="AP312" s="942"/>
      <c r="AQ312" s="1364"/>
      <c r="AR312" s="1365"/>
      <c r="AS312" s="1366"/>
      <c r="AT312" s="1366"/>
      <c r="AU312" s="1366"/>
      <c r="AV312" s="1366"/>
      <c r="AW312" s="1366"/>
      <c r="AX312" s="1366"/>
      <c r="AY312" s="1366"/>
      <c r="AZ312" s="1366"/>
      <c r="BA312" s="1366"/>
      <c r="BB312" s="1366"/>
      <c r="BC312" s="1366"/>
      <c r="BD312" s="1366"/>
      <c r="BE312" s="1366"/>
      <c r="BF312" s="1366"/>
      <c r="BG312" s="1244"/>
      <c r="BH312" s="1367"/>
    </row>
    <row r="313" spans="3:60" ht="100" customHeight="1" thickTop="1" x14ac:dyDescent="1">
      <c r="C313" s="1368"/>
      <c r="D313" s="408"/>
      <c r="E313" s="408"/>
      <c r="F313" s="408"/>
      <c r="G313" s="408"/>
      <c r="H313" s="408"/>
      <c r="I313" s="408"/>
      <c r="J313" s="408"/>
      <c r="K313" s="408"/>
      <c r="L313" s="408"/>
      <c r="M313" s="408"/>
      <c r="N313" s="408"/>
      <c r="O313" s="408"/>
      <c r="P313" s="408"/>
      <c r="Q313" s="408"/>
      <c r="R313" s="356"/>
      <c r="S313" s="356"/>
      <c r="T313" s="358"/>
      <c r="U313" s="358"/>
      <c r="V313" s="358"/>
      <c r="W313" s="1369"/>
      <c r="X313" s="358"/>
      <c r="Y313" s="358"/>
      <c r="Z313" s="358"/>
      <c r="AA313" s="358"/>
      <c r="AB313" s="358"/>
      <c r="AC313" s="358"/>
      <c r="AD313" s="408"/>
      <c r="AE313" s="408"/>
      <c r="AF313" s="408"/>
      <c r="AG313" s="408"/>
      <c r="AH313" s="408"/>
      <c r="AI313" s="408"/>
      <c r="AJ313" s="408"/>
      <c r="AK313" s="408"/>
      <c r="AL313" s="408"/>
      <c r="AM313" s="408"/>
      <c r="AN313" s="408"/>
      <c r="AO313" s="408"/>
      <c r="AP313" s="408"/>
      <c r="AQ313" s="408"/>
      <c r="AR313" s="408"/>
      <c r="AS313" s="408"/>
      <c r="AT313" s="408"/>
      <c r="AU313" s="408"/>
      <c r="BG313" s="408"/>
      <c r="BH313" s="408"/>
    </row>
    <row r="314" spans="3:60" s="1426" customFormat="1" ht="100" customHeight="1" x14ac:dyDescent="1.2">
      <c r="C314" s="2199" t="s">
        <v>206</v>
      </c>
      <c r="D314" s="2199"/>
      <c r="E314" s="2199"/>
      <c r="F314" s="2199"/>
      <c r="G314" s="2199"/>
      <c r="H314" s="2199"/>
      <c r="I314" s="2199"/>
      <c r="J314" s="2199"/>
      <c r="K314" s="2199"/>
      <c r="L314" s="2199"/>
      <c r="M314" s="2199"/>
      <c r="N314" s="2199"/>
      <c r="O314" s="2199"/>
      <c r="P314" s="2199"/>
      <c r="Q314" s="2199"/>
      <c r="R314" s="1432"/>
      <c r="S314" s="1432"/>
      <c r="T314" s="1432"/>
      <c r="U314" s="1432"/>
      <c r="V314" s="1432"/>
      <c r="W314" s="1432"/>
      <c r="X314" s="2199" t="s">
        <v>207</v>
      </c>
      <c r="Y314" s="2199"/>
      <c r="Z314" s="2199"/>
      <c r="AA314" s="2199"/>
      <c r="AB314" s="2199"/>
      <c r="AC314" s="2199"/>
      <c r="AD314" s="2199"/>
      <c r="AE314" s="2199"/>
      <c r="AF314" s="2199"/>
      <c r="AG314" s="2199"/>
      <c r="AH314" s="2199"/>
      <c r="AI314" s="2199"/>
      <c r="AJ314" s="2199"/>
      <c r="AK314" s="2199"/>
      <c r="AL314" s="2199"/>
      <c r="AQ314" s="2121" t="s">
        <v>200</v>
      </c>
      <c r="AR314" s="2121"/>
      <c r="AS314" s="2121"/>
      <c r="AT314" s="2121"/>
      <c r="AU314" s="2121"/>
      <c r="AV314" s="2121"/>
      <c r="AW314" s="2121"/>
      <c r="AX314" s="2121"/>
      <c r="AY314" s="2121"/>
      <c r="AZ314" s="2121"/>
      <c r="BA314" s="2121"/>
      <c r="BB314" s="2121"/>
      <c r="BC314" s="2121"/>
      <c r="BD314" s="2121"/>
      <c r="BE314" s="2121"/>
      <c r="BF314" s="2121"/>
      <c r="BG314" s="2121"/>
      <c r="BH314" s="2121"/>
    </row>
    <row r="315" spans="3:60" s="1426" customFormat="1" ht="110" customHeight="1" x14ac:dyDescent="1.2">
      <c r="C315" s="1431"/>
      <c r="H315" s="1432"/>
      <c r="I315" s="1432"/>
      <c r="J315" s="1432"/>
      <c r="K315" s="1432"/>
      <c r="L315" s="1432"/>
      <c r="M315" s="1432"/>
      <c r="N315" s="1432"/>
      <c r="O315" s="1432"/>
      <c r="P315" s="1432"/>
      <c r="Q315" s="1432"/>
      <c r="R315" s="1432"/>
      <c r="S315" s="1432"/>
      <c r="T315" s="1432"/>
      <c r="U315" s="1432"/>
      <c r="V315" s="1432"/>
      <c r="W315" s="1432"/>
      <c r="X315" s="1432"/>
      <c r="Y315" s="1432"/>
    </row>
    <row r="316" spans="3:60" s="1426" customFormat="1" ht="200" customHeight="1" x14ac:dyDescent="1.2">
      <c r="C316" s="1431"/>
      <c r="F316" s="1457" t="s">
        <v>218</v>
      </c>
      <c r="G316" s="1457"/>
      <c r="H316" s="1460"/>
      <c r="I316" s="1460"/>
      <c r="J316" s="1460"/>
      <c r="K316" s="1460"/>
      <c r="L316" s="1460"/>
      <c r="M316" s="1460"/>
      <c r="N316" s="1460"/>
      <c r="O316" s="1460"/>
      <c r="P316" s="1460"/>
      <c r="Q316" s="1460"/>
      <c r="R316" s="1460"/>
      <c r="S316" s="1460"/>
      <c r="T316" s="1460"/>
      <c r="U316" s="1460"/>
      <c r="V316" s="1460"/>
      <c r="W316" s="1460"/>
      <c r="X316" s="1460"/>
      <c r="Y316" s="1460"/>
      <c r="Z316" s="1435"/>
      <c r="AA316" s="1435"/>
      <c r="AB316" s="1435"/>
      <c r="AC316" s="1435"/>
      <c r="AD316" s="1435"/>
      <c r="AE316" s="1435"/>
      <c r="AF316" s="1435"/>
      <c r="AG316" s="1435"/>
      <c r="AH316" s="1435"/>
      <c r="AI316" s="1435"/>
      <c r="AJ316" s="1435"/>
      <c r="AK316" s="1435"/>
      <c r="AL316" s="1435"/>
      <c r="AM316" s="1435"/>
      <c r="AN316" s="1435"/>
      <c r="AO316" s="1435"/>
      <c r="AP316" s="1435"/>
      <c r="AQ316" s="1435"/>
      <c r="AR316" s="1435"/>
      <c r="AS316" s="1435"/>
      <c r="AT316" s="1435"/>
      <c r="AU316" s="1435"/>
      <c r="AV316" s="1435"/>
      <c r="AW316" s="1435"/>
      <c r="AX316" s="1435"/>
      <c r="AY316" s="1435"/>
      <c r="AZ316" s="1435"/>
      <c r="BA316" s="1435"/>
      <c r="BB316" s="1435"/>
      <c r="BC316" s="1435"/>
      <c r="BD316" s="1435"/>
      <c r="BE316" s="1435"/>
      <c r="BF316" s="1435"/>
      <c r="BG316" s="1435"/>
      <c r="BH316" s="1435"/>
    </row>
    <row r="317" spans="3:60" s="1429" customFormat="1" ht="100" customHeight="1" x14ac:dyDescent="1.2">
      <c r="C317" s="1432"/>
      <c r="F317" s="1458"/>
      <c r="G317" s="1458"/>
      <c r="H317" s="1432"/>
      <c r="I317" s="1432"/>
      <c r="J317" s="1432"/>
      <c r="K317" s="1432"/>
      <c r="L317" s="1432"/>
      <c r="M317" s="1432"/>
      <c r="N317" s="1432"/>
      <c r="O317" s="1432"/>
      <c r="P317" s="1432"/>
      <c r="Q317" s="1432"/>
      <c r="R317" s="1432"/>
      <c r="S317" s="1432"/>
      <c r="T317" s="1432"/>
      <c r="U317" s="1432"/>
      <c r="V317" s="1432"/>
      <c r="W317" s="1432"/>
      <c r="X317" s="1432"/>
      <c r="Y317" s="1432"/>
    </row>
    <row r="318" spans="3:60" s="1429" customFormat="1" ht="100" customHeight="1" x14ac:dyDescent="1.2">
      <c r="C318" s="1432"/>
      <c r="F318" s="1458" t="s">
        <v>231</v>
      </c>
      <c r="G318" s="1458" t="s">
        <v>151</v>
      </c>
      <c r="H318" s="1461" t="s">
        <v>280</v>
      </c>
      <c r="I318" s="1432"/>
      <c r="J318" s="1432"/>
      <c r="K318" s="1432"/>
      <c r="L318" s="1432"/>
      <c r="M318" s="1432"/>
      <c r="N318" s="1432"/>
      <c r="O318" s="1432"/>
      <c r="P318" s="1432"/>
      <c r="Q318" s="1432"/>
      <c r="R318" s="1432"/>
      <c r="S318" s="1432"/>
      <c r="T318" s="1432"/>
      <c r="U318" s="1432"/>
      <c r="V318" s="1432"/>
      <c r="W318" s="1432"/>
      <c r="X318" s="1432"/>
      <c r="Y318" s="1432"/>
    </row>
    <row r="319" spans="3:60" s="1429" customFormat="1" ht="100" customHeight="1" x14ac:dyDescent="1.2">
      <c r="C319" s="1432"/>
      <c r="F319" s="1458"/>
      <c r="G319" s="1458"/>
      <c r="H319" s="1461" t="s">
        <v>234</v>
      </c>
      <c r="I319" s="1432"/>
      <c r="J319" s="1432"/>
      <c r="K319" s="1432"/>
      <c r="L319" s="1432"/>
      <c r="M319" s="1432"/>
      <c r="N319" s="1432"/>
      <c r="O319" s="1432"/>
      <c r="P319" s="1432"/>
      <c r="Q319" s="1432"/>
      <c r="R319" s="1432"/>
      <c r="S319" s="1432"/>
      <c r="T319" s="1432"/>
      <c r="U319" s="1432"/>
      <c r="V319" s="1432"/>
      <c r="W319" s="1432"/>
      <c r="X319" s="1432"/>
      <c r="Y319" s="1432"/>
    </row>
    <row r="320" spans="3:60" s="1429" customFormat="1" ht="50" customHeight="1" x14ac:dyDescent="1.2">
      <c r="C320" s="1432"/>
      <c r="F320" s="1458"/>
      <c r="G320" s="1458"/>
      <c r="H320" s="1461"/>
      <c r="I320" s="1432"/>
      <c r="J320" s="1432"/>
      <c r="K320" s="1432"/>
      <c r="L320" s="1432"/>
      <c r="M320" s="1432"/>
      <c r="N320" s="1432"/>
      <c r="O320" s="1432"/>
      <c r="P320" s="1432"/>
      <c r="Q320" s="1432"/>
      <c r="R320" s="1432"/>
      <c r="S320" s="1432"/>
      <c r="T320" s="1432"/>
      <c r="U320" s="1432"/>
      <c r="V320" s="1432"/>
      <c r="W320" s="1432"/>
      <c r="X320" s="1432"/>
      <c r="Y320" s="1432"/>
    </row>
    <row r="321" spans="3:25" s="1429" customFormat="1" ht="100" customHeight="1" x14ac:dyDescent="1.2">
      <c r="C321" s="1432"/>
      <c r="F321" s="1458"/>
      <c r="G321" s="1458" t="s">
        <v>151</v>
      </c>
      <c r="H321" s="1461" t="s">
        <v>281</v>
      </c>
      <c r="I321" s="1432"/>
      <c r="J321" s="1426"/>
      <c r="K321" s="1432"/>
      <c r="L321" s="1432"/>
      <c r="M321" s="1432"/>
      <c r="N321" s="1432"/>
      <c r="O321" s="1432"/>
      <c r="P321" s="1432"/>
      <c r="Q321" s="1432"/>
      <c r="R321" s="1432"/>
      <c r="S321" s="1432"/>
      <c r="T321" s="1432"/>
      <c r="U321" s="1432"/>
      <c r="V321" s="1432"/>
      <c r="W321" s="1432"/>
      <c r="X321" s="1432"/>
      <c r="Y321" s="1432"/>
    </row>
    <row r="322" spans="3:25" s="1429" customFormat="1" ht="95" customHeight="1" x14ac:dyDescent="1.2">
      <c r="C322" s="1432"/>
      <c r="F322" s="1458"/>
      <c r="G322" s="1458"/>
      <c r="H322" s="1461" t="s">
        <v>235</v>
      </c>
      <c r="I322" s="1432"/>
      <c r="J322" s="1426"/>
      <c r="K322" s="1432"/>
      <c r="L322" s="1432"/>
      <c r="M322" s="1432"/>
      <c r="N322" s="1432"/>
      <c r="O322" s="1432"/>
      <c r="P322" s="1432"/>
      <c r="Q322" s="1432"/>
      <c r="R322" s="1432"/>
      <c r="S322" s="1432"/>
      <c r="T322" s="1432"/>
      <c r="U322" s="1432"/>
      <c r="V322" s="1432"/>
      <c r="W322" s="1432"/>
      <c r="X322" s="1432"/>
      <c r="Y322" s="1432"/>
    </row>
    <row r="323" spans="3:25" s="1429" customFormat="1" ht="50" customHeight="1" x14ac:dyDescent="1.2">
      <c r="C323" s="1432"/>
      <c r="F323" s="1458"/>
      <c r="G323" s="1458"/>
      <c r="H323" s="1461"/>
      <c r="I323" s="1432"/>
      <c r="J323" s="1426"/>
      <c r="K323" s="1432"/>
      <c r="L323" s="1432"/>
      <c r="M323" s="1432"/>
      <c r="N323" s="1432"/>
      <c r="O323" s="1432"/>
      <c r="P323" s="1432"/>
      <c r="Q323" s="1432"/>
      <c r="R323" s="1432"/>
      <c r="S323" s="1432"/>
      <c r="T323" s="1432"/>
      <c r="U323" s="1432"/>
      <c r="V323" s="1432"/>
      <c r="W323" s="1432"/>
      <c r="X323" s="1432"/>
      <c r="Y323" s="1432"/>
    </row>
    <row r="324" spans="3:25" s="1429" customFormat="1" ht="100" customHeight="1" x14ac:dyDescent="1.2">
      <c r="C324" s="1432"/>
      <c r="F324" s="1458"/>
      <c r="G324" s="1458" t="s">
        <v>151</v>
      </c>
      <c r="H324" s="1461" t="s">
        <v>222</v>
      </c>
      <c r="I324" s="1432"/>
      <c r="J324" s="1426"/>
      <c r="K324" s="1432"/>
      <c r="L324" s="1432"/>
      <c r="M324" s="1432"/>
      <c r="N324" s="1432"/>
      <c r="O324" s="1432"/>
      <c r="P324" s="1432"/>
      <c r="Q324" s="1432"/>
      <c r="R324" s="1432"/>
      <c r="S324" s="1432"/>
      <c r="T324" s="1432"/>
      <c r="U324" s="1432"/>
      <c r="V324" s="1432"/>
      <c r="W324" s="1432"/>
      <c r="X324" s="1432"/>
      <c r="Y324" s="1432"/>
    </row>
    <row r="325" spans="3:25" s="1429" customFormat="1" ht="50" customHeight="1" x14ac:dyDescent="1.2">
      <c r="C325" s="1432"/>
      <c r="F325" s="1458"/>
      <c r="G325" s="1458"/>
      <c r="H325" s="1461"/>
      <c r="I325" s="1432"/>
      <c r="J325" s="1426"/>
      <c r="K325" s="1432"/>
      <c r="L325" s="1432"/>
      <c r="M325" s="1432"/>
      <c r="N325" s="1432"/>
      <c r="O325" s="1432"/>
      <c r="P325" s="1432"/>
      <c r="Q325" s="1432"/>
      <c r="R325" s="1432"/>
      <c r="S325" s="1432"/>
      <c r="T325" s="1432"/>
      <c r="U325" s="1432"/>
      <c r="V325" s="1432"/>
      <c r="W325" s="1432"/>
      <c r="X325" s="1432"/>
      <c r="Y325" s="1432"/>
    </row>
    <row r="326" spans="3:25" s="1429" customFormat="1" ht="100" customHeight="1" x14ac:dyDescent="1.2">
      <c r="C326" s="1432"/>
      <c r="F326" s="1458"/>
      <c r="G326" s="1458" t="s">
        <v>151</v>
      </c>
      <c r="H326" s="1461" t="s">
        <v>251</v>
      </c>
      <c r="I326" s="1432"/>
      <c r="J326" s="1426"/>
      <c r="K326" s="1432"/>
      <c r="L326" s="1432"/>
      <c r="M326" s="1432"/>
      <c r="N326" s="1432"/>
      <c r="O326" s="1432"/>
      <c r="P326" s="1432"/>
      <c r="Q326" s="1432"/>
      <c r="R326" s="1432"/>
      <c r="S326" s="1432"/>
      <c r="T326" s="1432"/>
      <c r="U326" s="1432"/>
      <c r="V326" s="1432"/>
      <c r="W326" s="1432"/>
      <c r="X326" s="1432"/>
      <c r="Y326" s="1432"/>
    </row>
    <row r="327" spans="3:25" s="1429" customFormat="1" ht="100" customHeight="1" x14ac:dyDescent="1.2">
      <c r="C327" s="1432"/>
      <c r="F327" s="1458"/>
      <c r="G327" s="1458"/>
      <c r="H327" s="1461" t="s">
        <v>236</v>
      </c>
      <c r="I327" s="1432"/>
      <c r="J327" s="1426"/>
      <c r="K327" s="1432"/>
      <c r="L327" s="1432"/>
      <c r="M327" s="1432"/>
      <c r="N327" s="1432"/>
      <c r="O327" s="1432"/>
      <c r="P327" s="1432"/>
      <c r="Q327" s="1432"/>
      <c r="R327" s="1432"/>
      <c r="S327" s="1432"/>
      <c r="T327" s="1432"/>
      <c r="U327" s="1432"/>
      <c r="V327" s="1432"/>
      <c r="W327" s="1432"/>
      <c r="X327" s="1432"/>
      <c r="Y327" s="1432"/>
    </row>
    <row r="328" spans="3:25" s="1429" customFormat="1" ht="50" customHeight="1" x14ac:dyDescent="1.2">
      <c r="C328" s="1432"/>
      <c r="F328" s="1458"/>
      <c r="G328" s="1458"/>
      <c r="H328" s="1461"/>
      <c r="I328" s="1432"/>
      <c r="J328" s="1426"/>
      <c r="K328" s="1432"/>
      <c r="L328" s="1432"/>
      <c r="M328" s="1432"/>
      <c r="N328" s="1432"/>
      <c r="O328" s="1432"/>
      <c r="P328" s="1432"/>
      <c r="Q328" s="1432"/>
      <c r="R328" s="1432"/>
      <c r="S328" s="1432"/>
      <c r="T328" s="1432"/>
      <c r="U328" s="1432"/>
      <c r="V328" s="1432"/>
      <c r="W328" s="1432"/>
      <c r="X328" s="1432"/>
      <c r="Y328" s="1432"/>
    </row>
    <row r="329" spans="3:25" s="1429" customFormat="1" ht="100" customHeight="1" x14ac:dyDescent="1.2">
      <c r="C329" s="1432"/>
      <c r="F329" s="1458"/>
      <c r="G329" s="1458" t="s">
        <v>151</v>
      </c>
      <c r="H329" s="1432" t="s">
        <v>282</v>
      </c>
      <c r="I329" s="1432"/>
      <c r="J329" s="1432"/>
      <c r="K329" s="1432"/>
      <c r="L329" s="1432"/>
      <c r="M329" s="1432"/>
      <c r="N329" s="1432"/>
      <c r="O329" s="1432"/>
      <c r="P329" s="1432"/>
      <c r="Q329" s="1432"/>
      <c r="R329" s="1432"/>
      <c r="S329" s="1432"/>
      <c r="T329" s="1432"/>
      <c r="U329" s="1432"/>
      <c r="V329" s="1432"/>
      <c r="W329" s="1432"/>
      <c r="X329" s="1432"/>
      <c r="Y329" s="1432"/>
    </row>
    <row r="330" spans="3:25" s="1429" customFormat="1" ht="100" customHeight="1" x14ac:dyDescent="1.2">
      <c r="C330" s="1432"/>
      <c r="F330" s="1458"/>
      <c r="G330" s="1458"/>
      <c r="H330" s="1432" t="s">
        <v>237</v>
      </c>
      <c r="I330" s="1432"/>
      <c r="J330" s="1432"/>
      <c r="K330" s="1432"/>
      <c r="L330" s="1432"/>
      <c r="M330" s="1432"/>
      <c r="N330" s="1432"/>
      <c r="O330" s="1432"/>
      <c r="P330" s="1432"/>
      <c r="Q330" s="1432"/>
      <c r="R330" s="1432"/>
      <c r="S330" s="1432"/>
      <c r="T330" s="1432"/>
      <c r="U330" s="1432"/>
      <c r="V330" s="1432"/>
      <c r="W330" s="1432"/>
      <c r="X330" s="1432"/>
      <c r="Y330" s="1432"/>
    </row>
    <row r="331" spans="3:25" s="1429" customFormat="1" ht="50" customHeight="1" x14ac:dyDescent="1.2">
      <c r="C331" s="1432"/>
      <c r="F331" s="1458"/>
      <c r="G331" s="1458"/>
      <c r="H331" s="1432"/>
      <c r="I331" s="1432"/>
      <c r="J331" s="1432"/>
      <c r="K331" s="1432"/>
      <c r="L331" s="1432"/>
      <c r="M331" s="1432"/>
      <c r="N331" s="1432"/>
      <c r="O331" s="1432"/>
      <c r="P331" s="1432"/>
      <c r="Q331" s="1432"/>
      <c r="R331" s="1432"/>
      <c r="S331" s="1432"/>
      <c r="T331" s="1432"/>
      <c r="U331" s="1432"/>
      <c r="V331" s="1432"/>
      <c r="W331" s="1432"/>
      <c r="X331" s="1432"/>
      <c r="Y331" s="1432"/>
    </row>
    <row r="332" spans="3:25" s="1429" customFormat="1" ht="100" customHeight="1" x14ac:dyDescent="1.2">
      <c r="C332" s="1432"/>
      <c r="F332" s="1458"/>
      <c r="G332" s="1458" t="s">
        <v>151</v>
      </c>
      <c r="H332" s="1432" t="s">
        <v>252</v>
      </c>
      <c r="I332" s="1432"/>
      <c r="K332" s="1432"/>
      <c r="L332" s="1432"/>
      <c r="M332" s="1432"/>
      <c r="N332" s="1432"/>
      <c r="O332" s="1432"/>
      <c r="P332" s="1432"/>
      <c r="Q332" s="1432"/>
      <c r="R332" s="1432"/>
      <c r="S332" s="1432"/>
      <c r="T332" s="1432"/>
      <c r="U332" s="1432"/>
      <c r="V332" s="1432"/>
      <c r="W332" s="1432"/>
      <c r="X332" s="1432"/>
      <c r="Y332" s="1432"/>
    </row>
    <row r="333" spans="3:25" s="1429" customFormat="1" ht="100" customHeight="1" x14ac:dyDescent="1.2">
      <c r="C333" s="1432"/>
      <c r="F333" s="1458"/>
      <c r="G333" s="1458"/>
      <c r="H333" s="1432" t="s">
        <v>253</v>
      </c>
      <c r="I333" s="1432"/>
      <c r="K333" s="1432"/>
      <c r="L333" s="1432"/>
      <c r="M333" s="1432"/>
      <c r="N333" s="1432"/>
      <c r="O333" s="1432"/>
      <c r="P333" s="1432"/>
      <c r="Q333" s="1432"/>
      <c r="R333" s="1432"/>
      <c r="S333" s="1432"/>
      <c r="T333" s="1432"/>
      <c r="U333" s="1432"/>
      <c r="V333" s="1432"/>
      <c r="W333" s="1432"/>
      <c r="X333" s="1432"/>
      <c r="Y333" s="1432"/>
    </row>
    <row r="334" spans="3:25" s="1429" customFormat="1" ht="50" customHeight="1" x14ac:dyDescent="1.2">
      <c r="C334" s="1432"/>
      <c r="F334" s="1458"/>
      <c r="G334" s="1458"/>
      <c r="H334" s="1432"/>
      <c r="I334" s="1432"/>
      <c r="K334" s="1432"/>
      <c r="L334" s="1432"/>
      <c r="M334" s="1432"/>
      <c r="N334" s="1432"/>
      <c r="O334" s="1432"/>
      <c r="P334" s="1432"/>
      <c r="Q334" s="1432"/>
      <c r="R334" s="1432"/>
      <c r="S334" s="1432"/>
      <c r="T334" s="1432"/>
      <c r="U334" s="1432"/>
      <c r="V334" s="1432"/>
      <c r="W334" s="1432"/>
      <c r="X334" s="1432"/>
      <c r="Y334" s="1432"/>
    </row>
    <row r="335" spans="3:25" s="1429" customFormat="1" ht="100" customHeight="1" x14ac:dyDescent="1.2">
      <c r="C335" s="1432"/>
      <c r="F335" s="1458"/>
      <c r="G335" s="1458" t="s">
        <v>151</v>
      </c>
      <c r="H335" s="1432" t="s">
        <v>283</v>
      </c>
      <c r="I335" s="1432"/>
      <c r="K335" s="1432"/>
      <c r="L335" s="1432"/>
      <c r="M335" s="1432"/>
      <c r="N335" s="1432"/>
      <c r="O335" s="1432"/>
      <c r="P335" s="1432"/>
      <c r="Q335" s="1432"/>
      <c r="R335" s="1432"/>
      <c r="S335" s="1432"/>
      <c r="T335" s="1432"/>
      <c r="U335" s="1432"/>
      <c r="V335" s="1432"/>
      <c r="W335" s="1432"/>
      <c r="X335" s="1432"/>
      <c r="Y335" s="1432"/>
    </row>
    <row r="336" spans="3:25" s="1429" customFormat="1" ht="50" customHeight="1" x14ac:dyDescent="1.2">
      <c r="C336" s="1432"/>
      <c r="F336" s="1458"/>
      <c r="G336" s="1458"/>
      <c r="H336" s="1432"/>
      <c r="I336" s="1432"/>
      <c r="K336" s="1432"/>
      <c r="L336" s="1432"/>
      <c r="M336" s="1432"/>
      <c r="N336" s="1432"/>
      <c r="O336" s="1432"/>
      <c r="P336" s="1432"/>
      <c r="Q336" s="1432"/>
      <c r="R336" s="1432"/>
      <c r="S336" s="1432"/>
      <c r="T336" s="1432"/>
      <c r="U336" s="1432"/>
      <c r="V336" s="1432"/>
      <c r="W336" s="1432"/>
      <c r="X336" s="1432"/>
      <c r="Y336" s="1432"/>
    </row>
    <row r="337" spans="3:59" s="1429" customFormat="1" ht="100" customHeight="1" x14ac:dyDescent="1.2">
      <c r="C337" s="1432"/>
      <c r="F337" s="1458"/>
      <c r="G337" s="1458" t="s">
        <v>151</v>
      </c>
      <c r="H337" s="1432" t="s">
        <v>284</v>
      </c>
      <c r="I337" s="1432"/>
      <c r="K337" s="1432"/>
      <c r="L337" s="1432"/>
      <c r="M337" s="1432"/>
      <c r="N337" s="1432"/>
      <c r="O337" s="1432"/>
      <c r="P337" s="1432"/>
      <c r="Q337" s="1432"/>
      <c r="R337" s="1432"/>
      <c r="S337" s="1432"/>
      <c r="T337" s="1432"/>
      <c r="U337" s="1432"/>
      <c r="V337" s="1432"/>
      <c r="W337" s="1432"/>
      <c r="X337" s="1432"/>
      <c r="Y337" s="1432"/>
    </row>
    <row r="338" spans="3:59" s="1429" customFormat="1" ht="100" customHeight="1" x14ac:dyDescent="1.2">
      <c r="C338" s="1432"/>
      <c r="F338" s="1458"/>
      <c r="G338" s="1458"/>
      <c r="H338" s="1432" t="s">
        <v>238</v>
      </c>
      <c r="I338" s="1432"/>
      <c r="K338" s="1432"/>
      <c r="L338" s="1432"/>
      <c r="M338" s="1432"/>
      <c r="N338" s="1432"/>
      <c r="O338" s="1432"/>
      <c r="P338" s="1432"/>
      <c r="Q338" s="1432"/>
      <c r="R338" s="1432"/>
      <c r="S338" s="1432"/>
      <c r="T338" s="1432"/>
      <c r="U338" s="1432"/>
      <c r="V338" s="1432"/>
      <c r="W338" s="1432"/>
      <c r="X338" s="1432"/>
      <c r="Y338" s="1432"/>
    </row>
    <row r="339" spans="3:59" s="1429" customFormat="1" ht="50" customHeight="1" x14ac:dyDescent="1.2">
      <c r="C339" s="1432"/>
      <c r="F339" s="1458"/>
      <c r="G339" s="1458"/>
      <c r="H339" s="1432"/>
      <c r="I339" s="1432"/>
      <c r="K339" s="1432"/>
      <c r="L339" s="1432"/>
      <c r="M339" s="1432"/>
      <c r="N339" s="1432"/>
      <c r="O339" s="1432"/>
      <c r="P339" s="1432"/>
      <c r="Q339" s="1432"/>
      <c r="R339" s="1432"/>
      <c r="S339" s="1432"/>
      <c r="T339" s="1432"/>
      <c r="U339" s="1432"/>
      <c r="V339" s="1432"/>
      <c r="W339" s="1432"/>
      <c r="X339" s="1432"/>
      <c r="Y339" s="1432"/>
    </row>
    <row r="340" spans="3:59" s="1429" customFormat="1" ht="100" customHeight="1" x14ac:dyDescent="1.2">
      <c r="C340" s="1432"/>
      <c r="F340" s="1458"/>
      <c r="G340" s="1458" t="s">
        <v>151</v>
      </c>
      <c r="H340" s="1432" t="s">
        <v>285</v>
      </c>
      <c r="K340" s="1432"/>
      <c r="L340" s="1432"/>
      <c r="M340" s="1432"/>
      <c r="N340" s="1432"/>
      <c r="O340" s="1432"/>
      <c r="P340" s="1432"/>
      <c r="Q340" s="1432"/>
      <c r="R340" s="1432"/>
      <c r="S340" s="1432"/>
      <c r="T340" s="1432"/>
      <c r="U340" s="1432"/>
      <c r="V340" s="1432"/>
      <c r="W340" s="1432"/>
      <c r="X340" s="1432"/>
      <c r="Y340" s="1432"/>
    </row>
    <row r="341" spans="3:59" s="1429" customFormat="1" ht="50" customHeight="1" x14ac:dyDescent="1.2">
      <c r="C341" s="1432"/>
      <c r="F341" s="1458"/>
      <c r="G341" s="1458"/>
      <c r="H341" s="1432"/>
      <c r="K341" s="1432"/>
      <c r="L341" s="1432"/>
      <c r="M341" s="1432"/>
      <c r="N341" s="1432"/>
      <c r="O341" s="1432"/>
      <c r="P341" s="1432"/>
      <c r="Q341" s="1432"/>
      <c r="R341" s="1432"/>
      <c r="S341" s="1432"/>
      <c r="T341" s="1432"/>
      <c r="U341" s="1432"/>
      <c r="V341" s="1432"/>
      <c r="W341" s="1432"/>
      <c r="X341" s="1432"/>
      <c r="Y341" s="1432"/>
    </row>
    <row r="342" spans="3:59" s="1429" customFormat="1" ht="100" customHeight="1" x14ac:dyDescent="1.2">
      <c r="C342" s="1432"/>
      <c r="F342" s="1458"/>
      <c r="G342" s="1458" t="s">
        <v>151</v>
      </c>
      <c r="H342" s="1432" t="s">
        <v>286</v>
      </c>
      <c r="I342" s="1432"/>
      <c r="K342" s="1432"/>
      <c r="L342" s="1432"/>
      <c r="M342" s="1432"/>
      <c r="N342" s="1432"/>
      <c r="O342" s="1432"/>
      <c r="P342" s="1432"/>
      <c r="Q342" s="1432"/>
      <c r="R342" s="1432"/>
      <c r="S342" s="1432"/>
      <c r="T342" s="1432"/>
      <c r="U342" s="1432"/>
      <c r="V342" s="1432"/>
      <c r="W342" s="1432"/>
      <c r="X342" s="1432"/>
      <c r="Y342" s="1432"/>
    </row>
    <row r="343" spans="3:59" s="358" customFormat="1" ht="50" customHeight="1" x14ac:dyDescent="1">
      <c r="C343" s="356"/>
      <c r="F343" s="1116"/>
      <c r="G343" s="1116"/>
      <c r="H343" s="356"/>
      <c r="I343" s="356"/>
      <c r="J343" s="356"/>
      <c r="K343" s="356"/>
      <c r="L343" s="356"/>
      <c r="M343" s="356"/>
      <c r="N343" s="356"/>
      <c r="O343" s="356"/>
      <c r="P343" s="356"/>
      <c r="Q343" s="356"/>
      <c r="R343" s="356"/>
      <c r="S343" s="356"/>
      <c r="T343" s="356"/>
      <c r="U343" s="356"/>
      <c r="V343" s="356"/>
      <c r="W343" s="356"/>
      <c r="X343" s="356"/>
      <c r="Y343" s="356"/>
    </row>
    <row r="344" spans="3:59" s="1426" customFormat="1" ht="100" customHeight="1" x14ac:dyDescent="1.2">
      <c r="C344" s="1431"/>
      <c r="F344" s="1436" t="s">
        <v>145</v>
      </c>
      <c r="H344" s="1432"/>
      <c r="I344" s="1432"/>
      <c r="J344" s="1432"/>
      <c r="K344" s="1432"/>
      <c r="M344" s="1432"/>
      <c r="N344" s="1462">
        <f>H351+H362+T351+T362+AF351+AF362+AR351+AR362+AX362+AL362</f>
        <v>20000</v>
      </c>
      <c r="P344" s="1432" t="s">
        <v>33</v>
      </c>
      <c r="Q344" s="1432"/>
      <c r="R344" s="1432"/>
      <c r="S344" s="1432"/>
      <c r="T344" s="1462"/>
      <c r="U344" s="1432"/>
      <c r="V344" s="1432"/>
      <c r="W344" s="1432"/>
      <c r="X344" s="1432"/>
      <c r="Y344" s="1432"/>
      <c r="AP344" s="1429"/>
      <c r="AQ344" s="1429"/>
    </row>
    <row r="345" spans="3:59" ht="50" customHeight="1" thickBot="1" x14ac:dyDescent="1.05">
      <c r="AC345" s="408"/>
      <c r="AD345" s="697"/>
      <c r="AE345" s="697"/>
      <c r="AF345" s="697"/>
      <c r="AG345" s="697"/>
      <c r="AH345" s="697"/>
      <c r="AI345" s="697"/>
      <c r="AQ345" s="697"/>
      <c r="AR345" s="697"/>
      <c r="AS345" s="697"/>
      <c r="AT345" s="697"/>
      <c r="AU345" s="372"/>
      <c r="BG345" s="372"/>
    </row>
    <row r="346" spans="3:59" ht="10" customHeight="1" thickTop="1" thickBot="1" x14ac:dyDescent="1.05">
      <c r="E346" s="698"/>
      <c r="F346" s="477"/>
      <c r="G346" s="476"/>
      <c r="H346" s="476"/>
      <c r="I346" s="476"/>
      <c r="J346" s="476"/>
      <c r="K346" s="476"/>
      <c r="L346" s="476"/>
      <c r="M346" s="476"/>
      <c r="N346" s="699"/>
      <c r="O346" s="476"/>
      <c r="P346" s="700"/>
      <c r="Q346" s="476"/>
      <c r="R346" s="477"/>
      <c r="S346" s="476"/>
      <c r="T346" s="476"/>
      <c r="U346" s="476"/>
      <c r="V346" s="476"/>
      <c r="W346" s="476"/>
      <c r="X346" s="699"/>
      <c r="Y346" s="476"/>
      <c r="Z346" s="701"/>
      <c r="AA346" s="476"/>
      <c r="AB346" s="478"/>
      <c r="AC346" s="1371"/>
      <c r="AD346" s="712"/>
      <c r="AE346" s="861"/>
      <c r="AF346" s="1030"/>
      <c r="AG346" s="1030"/>
      <c r="AH346" s="857"/>
      <c r="AI346" s="704"/>
      <c r="AJ346" s="392"/>
      <c r="AK346" s="392"/>
      <c r="AL346" s="392"/>
      <c r="AM346" s="392"/>
      <c r="AN346" s="392"/>
      <c r="AO346" s="392"/>
      <c r="AP346" s="392"/>
      <c r="AQ346" s="705"/>
      <c r="AR346" s="705"/>
      <c r="AS346" s="1030"/>
      <c r="AT346" s="857"/>
      <c r="AU346" s="465"/>
      <c r="AV346" s="476"/>
      <c r="AW346" s="476"/>
      <c r="AX346" s="476"/>
      <c r="AY346" s="476"/>
      <c r="AZ346" s="476"/>
      <c r="BA346" s="476"/>
      <c r="BB346" s="476"/>
      <c r="BC346" s="476"/>
      <c r="BD346" s="476"/>
      <c r="BE346" s="476"/>
      <c r="BF346" s="478"/>
      <c r="BG346" s="471"/>
    </row>
    <row r="347" spans="3:59" ht="100" customHeight="1" thickTop="1" x14ac:dyDescent="1">
      <c r="E347" s="466"/>
      <c r="F347" s="508"/>
      <c r="G347" s="386"/>
      <c r="H347" s="386"/>
      <c r="I347" s="386"/>
      <c r="J347" s="386"/>
      <c r="K347" s="386"/>
      <c r="L347" s="386"/>
      <c r="M347" s="386"/>
      <c r="N347" s="392"/>
      <c r="O347" s="392"/>
      <c r="P347" s="505"/>
      <c r="Q347" s="465"/>
      <c r="R347" s="508"/>
      <c r="S347" s="386"/>
      <c r="T347" s="386"/>
      <c r="U347" s="386"/>
      <c r="V347" s="386"/>
      <c r="W347" s="386"/>
      <c r="X347" s="386"/>
      <c r="Y347" s="386"/>
      <c r="Z347" s="386"/>
      <c r="AA347" s="386"/>
      <c r="AB347" s="505"/>
      <c r="AC347" s="1372"/>
      <c r="AD347" s="709"/>
      <c r="AE347" s="710"/>
      <c r="AF347" s="710"/>
      <c r="AG347" s="710"/>
      <c r="AH347" s="711"/>
      <c r="AI347" s="704"/>
      <c r="AJ347" s="388"/>
      <c r="AK347" s="388"/>
      <c r="AL347" s="388"/>
      <c r="AM347" s="388"/>
      <c r="AN347" s="388"/>
      <c r="AO347" s="388"/>
      <c r="AP347" s="391"/>
      <c r="AQ347" s="712"/>
      <c r="AR347" s="713"/>
      <c r="AS347" s="714"/>
      <c r="AT347" s="715"/>
      <c r="AU347" s="469"/>
      <c r="AV347" s="716"/>
      <c r="AW347" s="716"/>
      <c r="AX347" s="716"/>
      <c r="AY347" s="716"/>
      <c r="AZ347" s="717"/>
      <c r="BA347" s="717"/>
      <c r="BB347" s="716"/>
      <c r="BC347" s="716"/>
      <c r="BD347" s="716"/>
      <c r="BE347" s="716"/>
      <c r="BF347" s="718"/>
      <c r="BG347" s="471"/>
    </row>
    <row r="348" spans="3:59" ht="100" customHeight="1" x14ac:dyDescent="1">
      <c r="E348" s="466"/>
      <c r="F348" s="508"/>
      <c r="G348" s="386"/>
      <c r="H348" s="386"/>
      <c r="I348" s="386"/>
      <c r="J348" s="386"/>
      <c r="K348" s="386"/>
      <c r="L348" s="386"/>
      <c r="M348" s="386"/>
      <c r="N348" s="392"/>
      <c r="O348" s="392"/>
      <c r="P348" s="505"/>
      <c r="Q348" s="465"/>
      <c r="R348" s="508"/>
      <c r="S348" s="386"/>
      <c r="T348" s="386"/>
      <c r="U348" s="386"/>
      <c r="V348" s="386"/>
      <c r="W348" s="386"/>
      <c r="X348" s="386"/>
      <c r="Y348" s="386"/>
      <c r="Z348" s="386"/>
      <c r="AA348" s="386"/>
      <c r="AB348" s="505"/>
      <c r="AC348" s="1372"/>
      <c r="AD348" s="719"/>
      <c r="AE348" s="720"/>
      <c r="AF348" s="720"/>
      <c r="AG348" s="720"/>
      <c r="AH348" s="721"/>
      <c r="AI348" s="704"/>
      <c r="AJ348" s="388"/>
      <c r="AK348" s="388"/>
      <c r="AL348" s="388"/>
      <c r="AM348" s="388"/>
      <c r="AN348" s="388"/>
      <c r="AO348" s="388"/>
      <c r="AP348" s="391"/>
      <c r="AQ348" s="712"/>
      <c r="AR348" s="722"/>
      <c r="AS348" s="723"/>
      <c r="AT348" s="724"/>
      <c r="AU348" s="469"/>
      <c r="AV348" s="386"/>
      <c r="AW348" s="386"/>
      <c r="AX348" s="386"/>
      <c r="AY348" s="386"/>
      <c r="AZ348" s="392"/>
      <c r="BA348" s="392"/>
      <c r="BB348" s="386"/>
      <c r="BC348" s="386"/>
      <c r="BD348" s="386"/>
      <c r="BE348" s="386"/>
      <c r="BF348" s="505"/>
      <c r="BG348" s="471"/>
    </row>
    <row r="349" spans="3:59" ht="100" customHeight="1" x14ac:dyDescent="1">
      <c r="E349" s="466"/>
      <c r="F349" s="684"/>
      <c r="G349" s="506"/>
      <c r="H349" s="506"/>
      <c r="I349" s="506"/>
      <c r="J349" s="506"/>
      <c r="K349" s="506"/>
      <c r="L349" s="506"/>
      <c r="M349" s="506"/>
      <c r="N349" s="732"/>
      <c r="O349" s="732"/>
      <c r="P349" s="686"/>
      <c r="Q349" s="680"/>
      <c r="R349" s="684"/>
      <c r="S349" s="506"/>
      <c r="T349" s="506"/>
      <c r="U349" s="506"/>
      <c r="V349" s="506"/>
      <c r="W349" s="506"/>
      <c r="X349" s="506"/>
      <c r="Y349" s="506"/>
      <c r="Z349" s="506"/>
      <c r="AA349" s="506"/>
      <c r="AB349" s="686"/>
      <c r="AC349" s="1373"/>
      <c r="AD349" s="729"/>
      <c r="AE349" s="730"/>
      <c r="AF349" s="730"/>
      <c r="AG349" s="730"/>
      <c r="AH349" s="731"/>
      <c r="AI349" s="725"/>
      <c r="AJ349" s="869"/>
      <c r="AK349" s="869"/>
      <c r="AL349" s="869"/>
      <c r="AM349" s="869"/>
      <c r="AN349" s="869"/>
      <c r="AO349" s="869"/>
      <c r="AP349" s="379"/>
      <c r="AQ349" s="726"/>
      <c r="AR349" s="733"/>
      <c r="AS349" s="734"/>
      <c r="AT349" s="735"/>
      <c r="AU349" s="468"/>
      <c r="AV349" s="506"/>
      <c r="AW349" s="506"/>
      <c r="AX349" s="506"/>
      <c r="AY349" s="506"/>
      <c r="AZ349" s="732"/>
      <c r="BA349" s="732"/>
      <c r="BB349" s="506"/>
      <c r="BC349" s="506"/>
      <c r="BD349" s="506"/>
      <c r="BE349" s="506"/>
      <c r="BF349" s="505"/>
      <c r="BG349" s="471"/>
    </row>
    <row r="350" spans="3:59" ht="100" customHeight="1" x14ac:dyDescent="1">
      <c r="E350" s="466"/>
      <c r="F350" s="684"/>
      <c r="G350" s="506"/>
      <c r="H350" s="727" t="s">
        <v>179</v>
      </c>
      <c r="I350" s="727"/>
      <c r="J350" s="648"/>
      <c r="K350" s="648"/>
      <c r="L350" s="506"/>
      <c r="M350" s="506"/>
      <c r="N350" s="728" t="s">
        <v>175</v>
      </c>
      <c r="O350" s="728"/>
      <c r="P350" s="686"/>
      <c r="Q350" s="680"/>
      <c r="R350" s="684"/>
      <c r="S350" s="506"/>
      <c r="T350" s="727" t="s">
        <v>179</v>
      </c>
      <c r="U350" s="506"/>
      <c r="V350" s="506"/>
      <c r="W350" s="506"/>
      <c r="X350" s="648"/>
      <c r="Y350" s="648"/>
      <c r="Z350" s="506"/>
      <c r="AA350" s="506"/>
      <c r="AB350" s="686"/>
      <c r="AC350" s="1373"/>
      <c r="AD350" s="2070" t="s">
        <v>138</v>
      </c>
      <c r="AE350" s="2071"/>
      <c r="AF350" s="2071"/>
      <c r="AG350" s="2071"/>
      <c r="AH350" s="2072"/>
      <c r="AI350" s="725"/>
      <c r="AJ350" s="2073" t="s">
        <v>124</v>
      </c>
      <c r="AK350" s="2056"/>
      <c r="AL350" s="2056"/>
      <c r="AM350" s="2056"/>
      <c r="AN350" s="2074"/>
      <c r="AO350" s="732"/>
      <c r="AP350" s="379" t="s">
        <v>178</v>
      </c>
      <c r="AQ350" s="726"/>
      <c r="AR350" s="2075" t="s">
        <v>139</v>
      </c>
      <c r="AS350" s="2076"/>
      <c r="AT350" s="2077"/>
      <c r="AU350" s="468"/>
      <c r="AV350" s="506"/>
      <c r="AW350" s="506"/>
      <c r="AX350" s="506"/>
      <c r="AY350" s="506"/>
      <c r="AZ350" s="728" t="s">
        <v>175</v>
      </c>
      <c r="BA350" s="728"/>
      <c r="BB350" s="648"/>
      <c r="BC350" s="648"/>
      <c r="BD350" s="506"/>
      <c r="BE350" s="506"/>
      <c r="BF350" s="686"/>
      <c r="BG350" s="471"/>
    </row>
    <row r="351" spans="3:59" ht="100" customHeight="1" x14ac:dyDescent="1">
      <c r="E351" s="466"/>
      <c r="F351" s="508"/>
      <c r="G351" s="386"/>
      <c r="H351" s="648">
        <v>2700</v>
      </c>
      <c r="I351" s="648"/>
      <c r="J351" s="386"/>
      <c r="K351" s="386"/>
      <c r="L351" s="386"/>
      <c r="M351" s="386"/>
      <c r="N351" s="728" t="s">
        <v>127</v>
      </c>
      <c r="O351" s="728"/>
      <c r="P351" s="505"/>
      <c r="Q351" s="465"/>
      <c r="R351" s="508"/>
      <c r="S351" s="386"/>
      <c r="T351" s="648">
        <v>2700</v>
      </c>
      <c r="U351" s="386"/>
      <c r="V351" s="386"/>
      <c r="W351" s="386"/>
      <c r="X351" s="648"/>
      <c r="Y351" s="648"/>
      <c r="Z351" s="386"/>
      <c r="AA351" s="386"/>
      <c r="AB351" s="505"/>
      <c r="AC351" s="1372"/>
      <c r="AD351" s="729"/>
      <c r="AE351" s="730"/>
      <c r="AF351" s="737">
        <v>400</v>
      </c>
      <c r="AG351" s="737"/>
      <c r="AH351" s="731"/>
      <c r="AI351" s="704"/>
      <c r="AJ351" s="388"/>
      <c r="AK351" s="388"/>
      <c r="AL351" s="388"/>
      <c r="AM351" s="388"/>
      <c r="AN351" s="388"/>
      <c r="AO351" s="388"/>
      <c r="AP351" s="379" t="s">
        <v>127</v>
      </c>
      <c r="AQ351" s="726"/>
      <c r="AR351" s="738">
        <v>300</v>
      </c>
      <c r="AS351" s="739"/>
      <c r="AT351" s="740"/>
      <c r="AU351" s="468"/>
      <c r="AV351" s="386"/>
      <c r="AW351" s="386"/>
      <c r="AX351" s="386"/>
      <c r="AY351" s="386"/>
      <c r="AZ351" s="728" t="s">
        <v>127</v>
      </c>
      <c r="BA351" s="728"/>
      <c r="BB351" s="741"/>
      <c r="BC351" s="741"/>
      <c r="BD351" s="506"/>
      <c r="BE351" s="506"/>
      <c r="BF351" s="505"/>
      <c r="BG351" s="471"/>
    </row>
    <row r="352" spans="3:59" ht="100" customHeight="1" x14ac:dyDescent="1">
      <c r="E352" s="466"/>
      <c r="F352" s="508"/>
      <c r="G352" s="386"/>
      <c r="H352" s="386"/>
      <c r="I352" s="386"/>
      <c r="J352" s="386"/>
      <c r="K352" s="386"/>
      <c r="L352" s="386"/>
      <c r="M352" s="386"/>
      <c r="N352" s="392"/>
      <c r="O352" s="392"/>
      <c r="P352" s="505"/>
      <c r="Q352" s="465"/>
      <c r="R352" s="508"/>
      <c r="S352" s="386"/>
      <c r="T352" s="386"/>
      <c r="U352" s="386"/>
      <c r="V352" s="386"/>
      <c r="W352" s="386"/>
      <c r="X352" s="386"/>
      <c r="Y352" s="386"/>
      <c r="Z352" s="386"/>
      <c r="AA352" s="386"/>
      <c r="AB352" s="505"/>
      <c r="AC352" s="1372"/>
      <c r="AD352" s="719"/>
      <c r="AE352" s="720"/>
      <c r="AF352" s="720"/>
      <c r="AG352" s="720"/>
      <c r="AH352" s="721"/>
      <c r="AI352" s="704"/>
      <c r="AJ352" s="388"/>
      <c r="AK352" s="388"/>
      <c r="AL352" s="388"/>
      <c r="AM352" s="388"/>
      <c r="AN352" s="388"/>
      <c r="AO352" s="388"/>
      <c r="AP352" s="391"/>
      <c r="AQ352" s="712"/>
      <c r="AR352" s="722"/>
      <c r="AS352" s="723"/>
      <c r="AT352" s="724"/>
      <c r="AU352" s="469"/>
      <c r="AV352" s="386"/>
      <c r="AW352" s="386"/>
      <c r="AX352" s="386"/>
      <c r="AY352" s="386"/>
      <c r="AZ352" s="392"/>
      <c r="BA352" s="392"/>
      <c r="BB352" s="386"/>
      <c r="BC352" s="386"/>
      <c r="BD352" s="386"/>
      <c r="BE352" s="386"/>
      <c r="BF352" s="505"/>
      <c r="BG352" s="471"/>
    </row>
    <row r="353" spans="3:60" ht="100" customHeight="1" thickBot="1" x14ac:dyDescent="1.05">
      <c r="E353" s="742"/>
      <c r="F353" s="743"/>
      <c r="G353" s="500"/>
      <c r="H353" s="500"/>
      <c r="I353" s="500"/>
      <c r="J353" s="500"/>
      <c r="K353" s="500"/>
      <c r="L353" s="500"/>
      <c r="M353" s="500"/>
      <c r="N353" s="744"/>
      <c r="O353" s="744"/>
      <c r="P353" s="509"/>
      <c r="Q353" s="467"/>
      <c r="R353" s="743"/>
      <c r="S353" s="500"/>
      <c r="T353" s="500"/>
      <c r="U353" s="500"/>
      <c r="V353" s="500"/>
      <c r="W353" s="500"/>
      <c r="X353" s="500"/>
      <c r="Y353" s="500"/>
      <c r="Z353" s="500"/>
      <c r="AA353" s="500"/>
      <c r="AB353" s="509"/>
      <c r="AC353" s="1374"/>
      <c r="AD353" s="745"/>
      <c r="AE353" s="746"/>
      <c r="AF353" s="746"/>
      <c r="AG353" s="746"/>
      <c r="AH353" s="747"/>
      <c r="AI353" s="748"/>
      <c r="AJ353" s="388"/>
      <c r="AK353" s="388"/>
      <c r="AL353" s="388"/>
      <c r="AM353" s="388"/>
      <c r="AN353" s="388"/>
      <c r="AO353" s="388"/>
      <c r="AP353" s="391"/>
      <c r="AQ353" s="749"/>
      <c r="AR353" s="750"/>
      <c r="AS353" s="751"/>
      <c r="AT353" s="752"/>
      <c r="AU353" s="469"/>
      <c r="AV353" s="386"/>
      <c r="AW353" s="386"/>
      <c r="AX353" s="386"/>
      <c r="AY353" s="386"/>
      <c r="AZ353" s="392"/>
      <c r="BA353" s="392"/>
      <c r="BB353" s="386"/>
      <c r="BC353" s="386"/>
      <c r="BD353" s="386"/>
      <c r="BE353" s="386"/>
      <c r="BF353" s="505"/>
      <c r="BG353" s="471"/>
    </row>
    <row r="354" spans="3:60" ht="10" customHeight="1" thickTop="1" thickBot="1" x14ac:dyDescent="1.05">
      <c r="E354" s="477"/>
      <c r="F354" s="476"/>
      <c r="G354" s="476"/>
      <c r="H354" s="476"/>
      <c r="I354" s="476"/>
      <c r="J354" s="476"/>
      <c r="K354" s="476"/>
      <c r="L354" s="476"/>
      <c r="M354" s="476"/>
      <c r="N354" s="476"/>
      <c r="O354" s="476"/>
      <c r="P354" s="476"/>
      <c r="Q354" s="478"/>
      <c r="R354" s="477"/>
      <c r="S354" s="476"/>
      <c r="T354" s="476"/>
      <c r="U354" s="476"/>
      <c r="V354" s="476"/>
      <c r="W354" s="476"/>
      <c r="X354" s="476"/>
      <c r="Y354" s="476"/>
      <c r="Z354" s="476"/>
      <c r="AA354" s="476"/>
      <c r="AB354" s="476"/>
      <c r="AC354" s="1375"/>
      <c r="AD354" s="753"/>
      <c r="AE354" s="754"/>
      <c r="AF354" s="754"/>
      <c r="AG354" s="754"/>
      <c r="AH354" s="755"/>
      <c r="AI354" s="755"/>
      <c r="AJ354" s="388"/>
      <c r="AK354" s="388"/>
      <c r="AL354" s="388"/>
      <c r="AM354" s="388"/>
      <c r="AN354" s="388"/>
      <c r="AO354" s="388"/>
      <c r="AP354" s="392"/>
      <c r="AQ354" s="753"/>
      <c r="AR354" s="754"/>
      <c r="AS354" s="754"/>
      <c r="AT354" s="755"/>
      <c r="AU354" s="469"/>
      <c r="AV354" s="386"/>
      <c r="AW354" s="386"/>
      <c r="AX354" s="386"/>
      <c r="AY354" s="386"/>
      <c r="AZ354" s="392"/>
      <c r="BA354" s="392"/>
      <c r="BB354" s="386"/>
      <c r="BC354" s="386"/>
      <c r="BD354" s="386"/>
      <c r="BE354" s="386"/>
      <c r="BF354" s="505"/>
      <c r="BG354" s="471"/>
    </row>
    <row r="355" spans="3:60" ht="100" customHeight="1" thickTop="1" x14ac:dyDescent="1">
      <c r="D355" s="408"/>
      <c r="E355" s="2079" t="s">
        <v>168</v>
      </c>
      <c r="F355" s="2079"/>
      <c r="G355" s="2079"/>
      <c r="H355" s="2079"/>
      <c r="I355" s="2079"/>
      <c r="J355" s="2079"/>
      <c r="K355" s="2079"/>
      <c r="L355" s="2079"/>
      <c r="M355" s="2079"/>
      <c r="N355" s="2079"/>
      <c r="O355" s="2079"/>
      <c r="P355" s="2080"/>
      <c r="Q355" s="2098" t="s">
        <v>168</v>
      </c>
      <c r="R355" s="2079"/>
      <c r="S355" s="2079"/>
      <c r="T355" s="2079"/>
      <c r="U355" s="2079"/>
      <c r="V355" s="2079"/>
      <c r="W355" s="2079"/>
      <c r="X355" s="2079"/>
      <c r="Y355" s="2079"/>
      <c r="Z355" s="2079"/>
      <c r="AA355" s="2079"/>
      <c r="AB355" s="2080"/>
      <c r="AC355" s="2100" t="s">
        <v>169</v>
      </c>
      <c r="AD355" s="1990"/>
      <c r="AE355" s="1990"/>
      <c r="AF355" s="1990"/>
      <c r="AG355" s="1990"/>
      <c r="AH355" s="1990"/>
      <c r="AI355" s="1990"/>
      <c r="AJ355" s="2085" t="s">
        <v>186</v>
      </c>
      <c r="AK355" s="2085"/>
      <c r="AL355" s="2085"/>
      <c r="AM355" s="2085"/>
      <c r="AN355" s="2085"/>
      <c r="AO355" s="2085"/>
      <c r="AP355" s="2085"/>
      <c r="AQ355" s="2064" t="s">
        <v>170</v>
      </c>
      <c r="AR355" s="2064"/>
      <c r="AS355" s="2064"/>
      <c r="AT355" s="2064"/>
      <c r="AU355" s="758"/>
      <c r="AV355" s="2053" t="s">
        <v>133</v>
      </c>
      <c r="AW355" s="2054"/>
      <c r="AX355" s="2054"/>
      <c r="AY355" s="2054"/>
      <c r="AZ355" s="2054"/>
      <c r="BA355" s="2054"/>
      <c r="BB355" s="2054"/>
      <c r="BC355" s="2054"/>
      <c r="BD355" s="2054"/>
      <c r="BE355" s="2054"/>
      <c r="BF355" s="2055"/>
      <c r="BG355" s="471"/>
    </row>
    <row r="356" spans="3:60" ht="100" customHeight="1" thickBot="1" x14ac:dyDescent="1.05">
      <c r="D356" s="408"/>
      <c r="E356" s="2082"/>
      <c r="F356" s="2082"/>
      <c r="G356" s="2082"/>
      <c r="H356" s="2082"/>
      <c r="I356" s="2082"/>
      <c r="J356" s="2082"/>
      <c r="K356" s="2082"/>
      <c r="L356" s="2082"/>
      <c r="M356" s="2082"/>
      <c r="N356" s="2082"/>
      <c r="O356" s="2082"/>
      <c r="P356" s="2083"/>
      <c r="Q356" s="2099"/>
      <c r="R356" s="2082"/>
      <c r="S356" s="2082"/>
      <c r="T356" s="2082"/>
      <c r="U356" s="2082"/>
      <c r="V356" s="2082"/>
      <c r="W356" s="2082"/>
      <c r="X356" s="2082"/>
      <c r="Y356" s="2082"/>
      <c r="Z356" s="2082"/>
      <c r="AA356" s="2082"/>
      <c r="AB356" s="2083"/>
      <c r="AC356" s="2099"/>
      <c r="AD356" s="1990"/>
      <c r="AE356" s="1990"/>
      <c r="AF356" s="1990"/>
      <c r="AG356" s="1990"/>
      <c r="AH356" s="1990"/>
      <c r="AI356" s="1990"/>
      <c r="AJ356" s="2066"/>
      <c r="AK356" s="2066"/>
      <c r="AL356" s="2066"/>
      <c r="AM356" s="2066"/>
      <c r="AN356" s="2066"/>
      <c r="AO356" s="2066"/>
      <c r="AP356" s="2066"/>
      <c r="AQ356" s="1990"/>
      <c r="AR356" s="1990"/>
      <c r="AS356" s="1990"/>
      <c r="AT356" s="1990"/>
      <c r="AU356" s="758"/>
      <c r="AV356" s="2053"/>
      <c r="AW356" s="2054"/>
      <c r="AX356" s="2054"/>
      <c r="AY356" s="2054"/>
      <c r="AZ356" s="2054"/>
      <c r="BA356" s="2054"/>
      <c r="BB356" s="2054"/>
      <c r="BC356" s="2054"/>
      <c r="BD356" s="2054"/>
      <c r="BE356" s="2054"/>
      <c r="BF356" s="2055"/>
      <c r="BG356" s="471"/>
    </row>
    <row r="357" spans="3:60" ht="10" customHeight="1" thickTop="1" thickBot="1" x14ac:dyDescent="1.05">
      <c r="E357" s="698"/>
      <c r="F357" s="760"/>
      <c r="G357" s="761"/>
      <c r="H357" s="761"/>
      <c r="I357" s="761"/>
      <c r="J357" s="761"/>
      <c r="K357" s="761"/>
      <c r="L357" s="761"/>
      <c r="M357" s="761"/>
      <c r="N357" s="761"/>
      <c r="O357" s="761"/>
      <c r="P357" s="761"/>
      <c r="Q357" s="762"/>
      <c r="R357" s="761"/>
      <c r="S357" s="761"/>
      <c r="T357" s="761"/>
      <c r="U357" s="761"/>
      <c r="V357" s="761"/>
      <c r="W357" s="761"/>
      <c r="X357" s="761"/>
      <c r="Y357" s="761"/>
      <c r="Z357" s="761"/>
      <c r="AA357" s="761"/>
      <c r="AB357" s="761"/>
      <c r="AC357" s="762"/>
      <c r="AD357" s="705"/>
      <c r="AE357" s="1030"/>
      <c r="AF357" s="1030"/>
      <c r="AG357" s="1030"/>
      <c r="AH357" s="857"/>
      <c r="AI357" s="857"/>
      <c r="AJ357" s="1376"/>
      <c r="AK357" s="1376"/>
      <c r="AL357" s="1376"/>
      <c r="AM357" s="1376"/>
      <c r="AN357" s="1376"/>
      <c r="AO357" s="1376"/>
      <c r="AP357" s="1376"/>
      <c r="AQ357" s="766"/>
      <c r="AR357" s="765"/>
      <c r="AS357" s="767"/>
      <c r="AT357" s="768"/>
      <c r="AU357" s="758"/>
      <c r="AV357" s="2053"/>
      <c r="AW357" s="2054"/>
      <c r="AX357" s="2054"/>
      <c r="AY357" s="2054"/>
      <c r="AZ357" s="2054"/>
      <c r="BA357" s="2054"/>
      <c r="BB357" s="2054"/>
      <c r="BC357" s="2054"/>
      <c r="BD357" s="2054"/>
      <c r="BE357" s="2054"/>
      <c r="BF357" s="2055"/>
      <c r="BG357" s="471"/>
    </row>
    <row r="358" spans="3:60" ht="100" customHeight="1" thickTop="1" x14ac:dyDescent="1">
      <c r="E358" s="466"/>
      <c r="F358" s="504"/>
      <c r="G358" s="716"/>
      <c r="H358" s="716"/>
      <c r="I358" s="716"/>
      <c r="J358" s="716"/>
      <c r="K358" s="716"/>
      <c r="L358" s="716"/>
      <c r="M358" s="716"/>
      <c r="N358" s="716"/>
      <c r="O358" s="716"/>
      <c r="P358" s="718"/>
      <c r="Q358" s="769"/>
      <c r="R358" s="504"/>
      <c r="S358" s="716"/>
      <c r="T358" s="716"/>
      <c r="U358" s="716"/>
      <c r="V358" s="716"/>
      <c r="W358" s="716"/>
      <c r="X358" s="716"/>
      <c r="Y358" s="716"/>
      <c r="Z358" s="716"/>
      <c r="AA358" s="716"/>
      <c r="AB358" s="718"/>
      <c r="AC358" s="769"/>
      <c r="AD358" s="709"/>
      <c r="AE358" s="710"/>
      <c r="AF358" s="710"/>
      <c r="AG358" s="710"/>
      <c r="AH358" s="711"/>
      <c r="AI358" s="704"/>
      <c r="AJ358" s="1377"/>
      <c r="AK358" s="1378"/>
      <c r="AL358" s="1378"/>
      <c r="AM358" s="1378"/>
      <c r="AN358" s="1378"/>
      <c r="AO358" s="1378"/>
      <c r="AP358" s="1379"/>
      <c r="AQ358" s="857"/>
      <c r="AR358" s="713"/>
      <c r="AS358" s="714"/>
      <c r="AT358" s="715"/>
      <c r="AU358" s="465"/>
      <c r="AV358" s="508"/>
      <c r="AW358" s="386"/>
      <c r="AX358" s="386"/>
      <c r="AY358" s="386"/>
      <c r="AZ358" s="386"/>
      <c r="BA358" s="386"/>
      <c r="BB358" s="386"/>
      <c r="BC358" s="386"/>
      <c r="BD358" s="386"/>
      <c r="BE358" s="386"/>
      <c r="BF358" s="505"/>
      <c r="BG358" s="471"/>
    </row>
    <row r="359" spans="3:60" ht="100" customHeight="1" x14ac:dyDescent="1">
      <c r="E359" s="466"/>
      <c r="F359" s="508"/>
      <c r="G359" s="386"/>
      <c r="H359" s="386"/>
      <c r="I359" s="386"/>
      <c r="J359" s="386"/>
      <c r="K359" s="386"/>
      <c r="L359" s="386"/>
      <c r="M359" s="386"/>
      <c r="N359" s="598"/>
      <c r="O359" s="598"/>
      <c r="P359" s="770"/>
      <c r="Q359" s="771"/>
      <c r="R359" s="508"/>
      <c r="S359" s="386"/>
      <c r="T359" s="386"/>
      <c r="U359" s="386"/>
      <c r="V359" s="386"/>
      <c r="W359" s="386"/>
      <c r="X359" s="386"/>
      <c r="Y359" s="386"/>
      <c r="Z359" s="772"/>
      <c r="AA359" s="772"/>
      <c r="AB359" s="773"/>
      <c r="AC359" s="1380"/>
      <c r="AD359" s="719"/>
      <c r="AE359" s="720"/>
      <c r="AF359" s="720"/>
      <c r="AG359" s="720"/>
      <c r="AH359" s="721"/>
      <c r="AI359" s="704"/>
      <c r="AJ359" s="1381"/>
      <c r="AK359" s="1382"/>
      <c r="AL359" s="1382"/>
      <c r="AM359" s="1382"/>
      <c r="AN359" s="1382"/>
      <c r="AO359" s="1382"/>
      <c r="AP359" s="1383"/>
      <c r="AQ359" s="704"/>
      <c r="AR359" s="722"/>
      <c r="AS359" s="723"/>
      <c r="AT359" s="724"/>
      <c r="AU359" s="465"/>
      <c r="AV359" s="508"/>
      <c r="AW359" s="386"/>
      <c r="AX359" s="386"/>
      <c r="AY359" s="386"/>
      <c r="AZ359" s="741"/>
      <c r="BA359" s="741"/>
      <c r="BB359" s="386"/>
      <c r="BC359" s="386"/>
      <c r="BD359" s="386"/>
      <c r="BE359" s="386"/>
      <c r="BF359" s="505"/>
      <c r="BG359" s="471"/>
    </row>
    <row r="360" spans="3:60" ht="100" customHeight="1" x14ac:dyDescent="1">
      <c r="E360" s="466"/>
      <c r="F360" s="684"/>
      <c r="G360" s="506"/>
      <c r="H360" s="506"/>
      <c r="I360" s="506"/>
      <c r="J360" s="386"/>
      <c r="K360" s="386"/>
      <c r="L360" s="386"/>
      <c r="M360" s="386"/>
      <c r="N360" s="598"/>
      <c r="O360" s="598"/>
      <c r="P360" s="770"/>
      <c r="Q360" s="771"/>
      <c r="R360" s="508"/>
      <c r="S360" s="386"/>
      <c r="T360" s="386"/>
      <c r="U360" s="386"/>
      <c r="V360" s="386"/>
      <c r="W360" s="386"/>
      <c r="X360" s="386"/>
      <c r="Y360" s="386"/>
      <c r="Z360" s="772"/>
      <c r="AA360" s="772"/>
      <c r="AB360" s="773"/>
      <c r="AC360" s="1380"/>
      <c r="AD360" s="729"/>
      <c r="AE360" s="730"/>
      <c r="AF360" s="730"/>
      <c r="AG360" s="730"/>
      <c r="AH360" s="731"/>
      <c r="AI360" s="725"/>
      <c r="AJ360" s="1381"/>
      <c r="AK360" s="1382"/>
      <c r="AL360" s="1382"/>
      <c r="AM360" s="1382"/>
      <c r="AN360" s="1382"/>
      <c r="AO360" s="1382"/>
      <c r="AP360" s="1384"/>
      <c r="AQ360" s="704"/>
      <c r="AR360" s="733"/>
      <c r="AS360" s="734"/>
      <c r="AT360" s="735"/>
      <c r="AU360" s="465"/>
      <c r="AV360" s="508"/>
      <c r="AW360" s="386"/>
      <c r="AX360" s="386"/>
      <c r="AY360" s="386"/>
      <c r="AZ360" s="506"/>
      <c r="BA360" s="506"/>
      <c r="BB360" s="506"/>
      <c r="BC360" s="506"/>
      <c r="BD360" s="506"/>
      <c r="BE360" s="506"/>
      <c r="BF360" s="686"/>
      <c r="BG360" s="471"/>
    </row>
    <row r="361" spans="3:60" ht="100" customHeight="1" x14ac:dyDescent="1">
      <c r="E361" s="466"/>
      <c r="F361" s="508"/>
      <c r="G361" s="386"/>
      <c r="H361" s="727" t="s">
        <v>179</v>
      </c>
      <c r="I361" s="727"/>
      <c r="J361" s="648"/>
      <c r="K361" s="648"/>
      <c r="L361" s="386"/>
      <c r="M361" s="386"/>
      <c r="N361" s="386"/>
      <c r="O361" s="386"/>
      <c r="P361" s="683"/>
      <c r="Q361" s="775"/>
      <c r="R361" s="681"/>
      <c r="S361" s="682"/>
      <c r="T361" s="727" t="s">
        <v>179</v>
      </c>
      <c r="U361" s="682"/>
      <c r="V361" s="682"/>
      <c r="W361" s="682"/>
      <c r="X361" s="648"/>
      <c r="Y361" s="648"/>
      <c r="Z361" s="598"/>
      <c r="AA361" s="598"/>
      <c r="AB361" s="770"/>
      <c r="AC361" s="771"/>
      <c r="AD361" s="2070" t="s">
        <v>138</v>
      </c>
      <c r="AE361" s="2071"/>
      <c r="AF361" s="2071"/>
      <c r="AG361" s="2071"/>
      <c r="AH361" s="2072"/>
      <c r="AI361" s="725"/>
      <c r="AJ361" s="2206" t="s">
        <v>210</v>
      </c>
      <c r="AK361" s="2207"/>
      <c r="AL361" s="2207"/>
      <c r="AM361" s="2207"/>
      <c r="AN361" s="2207"/>
      <c r="AO361" s="1385"/>
      <c r="AP361" s="1384"/>
      <c r="AQ361" s="725"/>
      <c r="AR361" s="2075" t="s">
        <v>139</v>
      </c>
      <c r="AS361" s="2076"/>
      <c r="AT361" s="2077"/>
      <c r="AU361" s="680"/>
      <c r="AV361" s="778"/>
      <c r="AW361" s="579"/>
      <c r="AX361" s="727" t="s">
        <v>196</v>
      </c>
      <c r="AY361" s="727"/>
      <c r="AZ361" s="579"/>
      <c r="BA361" s="579"/>
      <c r="BB361" s="579"/>
      <c r="BC361" s="579"/>
      <c r="BD361" s="579"/>
      <c r="BE361" s="579"/>
      <c r="BF361" s="779"/>
      <c r="BG361" s="471"/>
      <c r="BH361" s="696"/>
    </row>
    <row r="362" spans="3:60" ht="100" customHeight="1" x14ac:dyDescent="1">
      <c r="E362" s="466"/>
      <c r="F362" s="508"/>
      <c r="G362" s="386"/>
      <c r="H362" s="648">
        <v>2700</v>
      </c>
      <c r="I362" s="648"/>
      <c r="J362" s="780"/>
      <c r="K362" s="780"/>
      <c r="L362" s="780"/>
      <c r="M362" s="780"/>
      <c r="N362" s="780"/>
      <c r="O362" s="780"/>
      <c r="P362" s="683"/>
      <c r="Q362" s="775"/>
      <c r="R362" s="781"/>
      <c r="S362" s="780"/>
      <c r="T362" s="648">
        <v>2700</v>
      </c>
      <c r="U362" s="780"/>
      <c r="V362" s="780"/>
      <c r="W362" s="780"/>
      <c r="X362" s="780"/>
      <c r="Y362" s="780"/>
      <c r="Z362" s="782"/>
      <c r="AA362" s="782"/>
      <c r="AB362" s="773"/>
      <c r="AC362" s="1380"/>
      <c r="AD362" s="729"/>
      <c r="AE362" s="730"/>
      <c r="AF362" s="737">
        <v>400</v>
      </c>
      <c r="AG362" s="737"/>
      <c r="AH362" s="731"/>
      <c r="AI362" s="704"/>
      <c r="AJ362" s="1386"/>
      <c r="AK362" s="1387"/>
      <c r="AL362" s="1387">
        <v>4700</v>
      </c>
      <c r="AM362" s="1385"/>
      <c r="AN362" s="1385"/>
      <c r="AO362" s="1385"/>
      <c r="AP362" s="1388"/>
      <c r="AQ362" s="725"/>
      <c r="AR362" s="738">
        <v>300</v>
      </c>
      <c r="AS362" s="739"/>
      <c r="AT362" s="740"/>
      <c r="AU362" s="784"/>
      <c r="AV362" s="785"/>
      <c r="AW362" s="786"/>
      <c r="AX362" s="648">
        <f>AF362+T362</f>
        <v>3100</v>
      </c>
      <c r="AY362" s="786"/>
      <c r="AZ362" s="786"/>
      <c r="BA362" s="786"/>
      <c r="BB362" s="786"/>
      <c r="BC362" s="786"/>
      <c r="BD362" s="786"/>
      <c r="BE362" s="786"/>
      <c r="BF362" s="787"/>
      <c r="BG362" s="471"/>
    </row>
    <row r="363" spans="3:60" ht="100" customHeight="1" x14ac:dyDescent="1">
      <c r="D363" s="475"/>
      <c r="E363" s="465"/>
      <c r="F363" s="508"/>
      <c r="G363" s="386"/>
      <c r="H363" s="386"/>
      <c r="I363" s="386"/>
      <c r="J363" s="386"/>
      <c r="K363" s="386"/>
      <c r="L363" s="386"/>
      <c r="M363" s="386"/>
      <c r="N363" s="598"/>
      <c r="O363" s="598"/>
      <c r="P363" s="770"/>
      <c r="Q363" s="771"/>
      <c r="R363" s="508"/>
      <c r="S363" s="386"/>
      <c r="T363" s="386"/>
      <c r="U363" s="386"/>
      <c r="V363" s="386"/>
      <c r="W363" s="386"/>
      <c r="X363" s="386"/>
      <c r="Y363" s="386"/>
      <c r="Z363" s="772"/>
      <c r="AA363" s="772"/>
      <c r="AB363" s="773"/>
      <c r="AC363" s="1380"/>
      <c r="AD363" s="719"/>
      <c r="AE363" s="720"/>
      <c r="AF363" s="720"/>
      <c r="AG363" s="720"/>
      <c r="AH363" s="721"/>
      <c r="AI363" s="704"/>
      <c r="AJ363" s="1381"/>
      <c r="AK363" s="1382"/>
      <c r="AL363" s="1382"/>
      <c r="AM363" s="1382"/>
      <c r="AN363" s="1382"/>
      <c r="AO363" s="1382"/>
      <c r="AP363" s="1383"/>
      <c r="AQ363" s="704"/>
      <c r="AR363" s="722"/>
      <c r="AS363" s="723"/>
      <c r="AT363" s="724"/>
      <c r="AU363" s="465"/>
      <c r="AV363" s="508"/>
      <c r="AW363" s="386"/>
      <c r="AX363" s="386"/>
      <c r="AY363" s="386"/>
      <c r="AZ363" s="386"/>
      <c r="BA363" s="386"/>
      <c r="BB363" s="386"/>
      <c r="BC363" s="386"/>
      <c r="BD363" s="386"/>
      <c r="BE363" s="386"/>
      <c r="BF363" s="505"/>
      <c r="BG363" s="471"/>
    </row>
    <row r="364" spans="3:60" ht="100" customHeight="1" thickBot="1" x14ac:dyDescent="1.05">
      <c r="D364" s="475"/>
      <c r="E364" s="467"/>
      <c r="F364" s="743"/>
      <c r="G364" s="500"/>
      <c r="H364" s="500"/>
      <c r="I364" s="500"/>
      <c r="J364" s="500"/>
      <c r="K364" s="500"/>
      <c r="L364" s="500"/>
      <c r="M364" s="500"/>
      <c r="N364" s="500"/>
      <c r="O364" s="500"/>
      <c r="P364" s="509"/>
      <c r="Q364" s="467"/>
      <c r="R364" s="743"/>
      <c r="S364" s="500"/>
      <c r="T364" s="500"/>
      <c r="U364" s="500"/>
      <c r="V364" s="500"/>
      <c r="W364" s="500"/>
      <c r="X364" s="500"/>
      <c r="Y364" s="500"/>
      <c r="Z364" s="500"/>
      <c r="AA364" s="500"/>
      <c r="AB364" s="509"/>
      <c r="AC364" s="467"/>
      <c r="AD364" s="745"/>
      <c r="AE364" s="746"/>
      <c r="AF364" s="746"/>
      <c r="AG364" s="746"/>
      <c r="AH364" s="747"/>
      <c r="AI364" s="748"/>
      <c r="AJ364" s="1389"/>
      <c r="AK364" s="1390"/>
      <c r="AL364" s="1390"/>
      <c r="AM364" s="1390"/>
      <c r="AN364" s="1390"/>
      <c r="AO364" s="1390"/>
      <c r="AP364" s="1391"/>
      <c r="AQ364" s="748"/>
      <c r="AR364" s="750"/>
      <c r="AS364" s="751"/>
      <c r="AT364" s="752"/>
      <c r="AU364" s="465"/>
      <c r="AV364" s="508"/>
      <c r="AW364" s="386"/>
      <c r="AX364" s="386"/>
      <c r="AY364" s="386"/>
      <c r="AZ364" s="386"/>
      <c r="BA364" s="386"/>
      <c r="BB364" s="386"/>
      <c r="BC364" s="386"/>
      <c r="BD364" s="386"/>
      <c r="BE364" s="386"/>
      <c r="BF364" s="505"/>
      <c r="BG364" s="471"/>
    </row>
    <row r="365" spans="3:60" ht="10" customHeight="1" thickTop="1" thickBot="1" x14ac:dyDescent="1.05">
      <c r="D365" s="475"/>
      <c r="E365" s="471"/>
      <c r="F365" s="742"/>
      <c r="G365" s="467"/>
      <c r="H365" s="467"/>
      <c r="I365" s="467"/>
      <c r="J365" s="467"/>
      <c r="K365" s="467"/>
      <c r="L365" s="467"/>
      <c r="M365" s="467"/>
      <c r="N365" s="789"/>
      <c r="O365" s="467"/>
      <c r="P365" s="790"/>
      <c r="Q365" s="467"/>
      <c r="R365" s="742"/>
      <c r="S365" s="467"/>
      <c r="T365" s="467"/>
      <c r="U365" s="467"/>
      <c r="V365" s="467"/>
      <c r="W365" s="467"/>
      <c r="X365" s="789"/>
      <c r="Y365" s="467"/>
      <c r="Z365" s="791"/>
      <c r="AA365" s="467"/>
      <c r="AB365" s="788"/>
      <c r="AC365" s="467"/>
      <c r="AD365" s="753"/>
      <c r="AE365" s="754"/>
      <c r="AF365" s="754"/>
      <c r="AG365" s="754"/>
      <c r="AH365" s="754"/>
      <c r="AI365" s="755"/>
      <c r="AJ365" s="1392"/>
      <c r="AK365" s="874"/>
      <c r="AL365" s="753"/>
      <c r="AM365" s="874"/>
      <c r="AN365" s="874"/>
      <c r="AO365" s="903"/>
      <c r="AP365" s="749"/>
      <c r="AQ365" s="754"/>
      <c r="AR365" s="754"/>
      <c r="AS365" s="754"/>
      <c r="AT365" s="755"/>
      <c r="AU365" s="467"/>
      <c r="AV365" s="476"/>
      <c r="AW365" s="476"/>
      <c r="AX365" s="701"/>
      <c r="AY365" s="701"/>
      <c r="AZ365" s="701"/>
      <c r="BA365" s="476"/>
      <c r="BB365" s="476"/>
      <c r="BC365" s="476"/>
      <c r="BD365" s="476"/>
      <c r="BE365" s="476"/>
      <c r="BF365" s="478"/>
      <c r="BG365" s="471"/>
    </row>
    <row r="366" spans="3:60" ht="50" customHeight="1" thickTop="1" x14ac:dyDescent="1">
      <c r="BG366" s="792"/>
    </row>
    <row r="367" spans="3:60" ht="353" customHeight="1" x14ac:dyDescent="1">
      <c r="BG367" s="408"/>
    </row>
    <row r="368" spans="3:60" s="1426" customFormat="1" ht="100" customHeight="1" x14ac:dyDescent="1.2">
      <c r="C368" s="1431"/>
      <c r="F368" s="1436" t="s">
        <v>146</v>
      </c>
      <c r="G368" s="1436"/>
      <c r="N368" s="1430">
        <f>H375+X375+AT387+AL387+X387+H387</f>
        <v>22900</v>
      </c>
      <c r="P368" s="1463" t="s">
        <v>33</v>
      </c>
      <c r="Q368" s="1427"/>
      <c r="R368" s="1438"/>
      <c r="AN368" s="1422"/>
      <c r="AO368" s="1422"/>
      <c r="AP368" s="1427"/>
      <c r="AQ368" s="1427"/>
    </row>
    <row r="369" spans="4:62" ht="50" customHeight="1" thickBot="1" x14ac:dyDescent="1.05">
      <c r="E369" s="408"/>
      <c r="AJ369" s="793"/>
      <c r="AK369" s="793"/>
      <c r="AL369" s="793"/>
      <c r="AM369" s="793"/>
      <c r="AN369" s="793"/>
      <c r="AO369" s="793"/>
      <c r="AP369" s="793"/>
      <c r="AQ369" s="562"/>
      <c r="AR369" s="562"/>
      <c r="AS369" s="562"/>
      <c r="AT369" s="562"/>
      <c r="AU369" s="562"/>
      <c r="AV369" s="562"/>
      <c r="AW369" s="562"/>
      <c r="AX369" s="562"/>
      <c r="AY369" s="562"/>
      <c r="AZ369" s="562"/>
      <c r="BA369" s="562"/>
      <c r="BB369" s="562"/>
      <c r="BC369" s="562"/>
      <c r="BD369" s="562"/>
      <c r="BE369" s="562"/>
      <c r="BF369" s="562"/>
      <c r="BG369" s="408"/>
      <c r="BH369" s="961"/>
      <c r="BI369" s="961"/>
      <c r="BJ369" s="961"/>
    </row>
    <row r="370" spans="4:62" ht="10" customHeight="1" thickTop="1" thickBot="1" x14ac:dyDescent="1.05">
      <c r="D370" s="794"/>
      <c r="E370" s="511"/>
      <c r="F370" s="575"/>
      <c r="G370" s="561"/>
      <c r="H370" s="561"/>
      <c r="I370" s="561"/>
      <c r="J370" s="561"/>
      <c r="K370" s="561"/>
      <c r="L370" s="561"/>
      <c r="M370" s="561"/>
      <c r="N370" s="561"/>
      <c r="O370" s="561"/>
      <c r="P370" s="561"/>
      <c r="Q370" s="561"/>
      <c r="R370" s="561"/>
      <c r="S370" s="561"/>
      <c r="T370" s="576"/>
      <c r="U370" s="962"/>
      <c r="V370" s="753"/>
      <c r="W370" s="754"/>
      <c r="X370" s="754"/>
      <c r="Y370" s="754"/>
      <c r="Z370" s="754"/>
      <c r="AA370" s="754"/>
      <c r="AB370" s="754"/>
      <c r="AC370" s="754"/>
      <c r="AD370" s="754"/>
      <c r="AE370" s="754"/>
      <c r="AF370" s="754"/>
      <c r="AG370" s="754"/>
      <c r="AH370" s="755"/>
      <c r="AI370" s="903"/>
      <c r="AJ370" s="388"/>
      <c r="AK370" s="388"/>
      <c r="AL370" s="388"/>
      <c r="AM370" s="388"/>
      <c r="AN370" s="388"/>
      <c r="AO370" s="388"/>
      <c r="AP370" s="796"/>
      <c r="AQ370" s="547"/>
      <c r="AR370" s="514"/>
      <c r="AS370" s="514"/>
      <c r="AT370" s="514"/>
      <c r="AU370" s="514"/>
      <c r="AV370" s="547"/>
      <c r="AW370" s="547"/>
      <c r="AX370" s="547"/>
      <c r="AY370" s="547"/>
      <c r="AZ370" s="547"/>
      <c r="BA370" s="547"/>
      <c r="BB370" s="547"/>
      <c r="BC370" s="547"/>
      <c r="BD370" s="547"/>
      <c r="BE370" s="547"/>
      <c r="BF370" s="560"/>
      <c r="BG370" s="577"/>
      <c r="BH370" s="696"/>
      <c r="BI370" s="696"/>
      <c r="BJ370" s="696"/>
    </row>
    <row r="371" spans="4:62" ht="100" customHeight="1" thickTop="1" x14ac:dyDescent="1">
      <c r="D371" s="794"/>
      <c r="E371" s="547"/>
      <c r="F371" s="568"/>
      <c r="G371" s="386"/>
      <c r="H371" s="386"/>
      <c r="I371" s="386"/>
      <c r="J371" s="386"/>
      <c r="K371" s="386"/>
      <c r="L371" s="386"/>
      <c r="M371" s="386"/>
      <c r="N371" s="392"/>
      <c r="O371" s="392"/>
      <c r="P371" s="386"/>
      <c r="Q371" s="386"/>
      <c r="R371" s="386"/>
      <c r="S371" s="386"/>
      <c r="T371" s="546"/>
      <c r="U371" s="970"/>
      <c r="V371" s="797"/>
      <c r="W371" s="797"/>
      <c r="X371" s="797"/>
      <c r="Y371" s="797"/>
      <c r="Z371" s="797"/>
      <c r="AA371" s="797"/>
      <c r="AB371" s="797"/>
      <c r="AC371" s="797"/>
      <c r="AD371" s="797"/>
      <c r="AE371" s="797"/>
      <c r="AF371" s="797"/>
      <c r="AG371" s="797"/>
      <c r="AH371" s="720"/>
      <c r="AI371" s="798"/>
      <c r="AJ371" s="388"/>
      <c r="AK371" s="388"/>
      <c r="AL371" s="388"/>
      <c r="AM371" s="388"/>
      <c r="AN371" s="392"/>
      <c r="AO371" s="799"/>
      <c r="AP371" s="796"/>
      <c r="AQ371" s="547"/>
      <c r="AR371" s="563"/>
      <c r="AS371" s="564"/>
      <c r="AT371" s="564"/>
      <c r="AU371" s="564"/>
      <c r="AV371" s="564"/>
      <c r="AW371" s="564"/>
      <c r="AX371" s="564"/>
      <c r="AY371" s="564"/>
      <c r="AZ371" s="800"/>
      <c r="BA371" s="800"/>
      <c r="BB371" s="564"/>
      <c r="BC371" s="564"/>
      <c r="BD371" s="564"/>
      <c r="BE371" s="564"/>
      <c r="BF371" s="531"/>
      <c r="BG371" s="578"/>
    </row>
    <row r="372" spans="4:62" ht="100" customHeight="1" x14ac:dyDescent="1">
      <c r="D372" s="794"/>
      <c r="E372" s="514"/>
      <c r="F372" s="568"/>
      <c r="G372" s="386"/>
      <c r="H372" s="386"/>
      <c r="I372" s="386"/>
      <c r="J372" s="386"/>
      <c r="K372" s="386"/>
      <c r="L372" s="386"/>
      <c r="M372" s="386"/>
      <c r="N372" s="392"/>
      <c r="O372" s="392"/>
      <c r="P372" s="386"/>
      <c r="Q372" s="386"/>
      <c r="R372" s="386"/>
      <c r="S372" s="386"/>
      <c r="T372" s="546"/>
      <c r="U372" s="1014"/>
      <c r="V372" s="797"/>
      <c r="W372" s="797"/>
      <c r="X372" s="797"/>
      <c r="Y372" s="797"/>
      <c r="Z372" s="797"/>
      <c r="AA372" s="797"/>
      <c r="AB372" s="797"/>
      <c r="AC372" s="797"/>
      <c r="AD372" s="797"/>
      <c r="AE372" s="797"/>
      <c r="AF372" s="797"/>
      <c r="AG372" s="797"/>
      <c r="AH372" s="720"/>
      <c r="AI372" s="798"/>
      <c r="AJ372" s="388"/>
      <c r="AK372" s="388"/>
      <c r="AL372" s="388"/>
      <c r="AM372" s="388"/>
      <c r="AN372" s="392"/>
      <c r="AO372" s="799"/>
      <c r="AP372" s="796"/>
      <c r="AQ372" s="547"/>
      <c r="AR372" s="568"/>
      <c r="AS372" s="386"/>
      <c r="AT372" s="386"/>
      <c r="AU372" s="386"/>
      <c r="AV372" s="386"/>
      <c r="AW372" s="386"/>
      <c r="AX372" s="386"/>
      <c r="AY372" s="386"/>
      <c r="AZ372" s="392"/>
      <c r="BA372" s="392"/>
      <c r="BB372" s="386"/>
      <c r="BC372" s="386"/>
      <c r="BD372" s="386"/>
      <c r="BE372" s="386"/>
      <c r="BF372" s="546"/>
      <c r="BG372" s="578"/>
    </row>
    <row r="373" spans="4:62" ht="100" customHeight="1" x14ac:dyDescent="1">
      <c r="D373" s="794"/>
      <c r="E373" s="514"/>
      <c r="F373" s="688"/>
      <c r="G373" s="506"/>
      <c r="H373" s="506"/>
      <c r="I373" s="506"/>
      <c r="J373" s="506"/>
      <c r="K373" s="506"/>
      <c r="L373" s="506"/>
      <c r="M373" s="506"/>
      <c r="N373" s="732"/>
      <c r="O373" s="732"/>
      <c r="P373" s="506"/>
      <c r="Q373" s="506"/>
      <c r="R373" s="506"/>
      <c r="S373" s="506"/>
      <c r="T373" s="1077"/>
      <c r="U373" s="1017"/>
      <c r="V373" s="801"/>
      <c r="W373" s="801"/>
      <c r="X373" s="801"/>
      <c r="Y373" s="801"/>
      <c r="Z373" s="801"/>
      <c r="AA373" s="801"/>
      <c r="AB373" s="801"/>
      <c r="AC373" s="801"/>
      <c r="AD373" s="801"/>
      <c r="AE373" s="801"/>
      <c r="AF373" s="801"/>
      <c r="AG373" s="801"/>
      <c r="AH373" s="730"/>
      <c r="AI373" s="802"/>
      <c r="AJ373" s="869"/>
      <c r="AK373" s="869"/>
      <c r="AL373" s="869"/>
      <c r="AM373" s="869"/>
      <c r="AN373" s="732"/>
      <c r="AO373" s="803"/>
      <c r="AP373" s="804"/>
      <c r="AQ373" s="805"/>
      <c r="AR373" s="688"/>
      <c r="AS373" s="506"/>
      <c r="AT373" s="506"/>
      <c r="AU373" s="506"/>
      <c r="AV373" s="506"/>
      <c r="AW373" s="506"/>
      <c r="AX373" s="506"/>
      <c r="AY373" s="506"/>
      <c r="AZ373" s="732"/>
      <c r="BA373" s="732"/>
      <c r="BB373" s="506"/>
      <c r="BC373" s="506"/>
      <c r="BD373" s="506"/>
      <c r="BE373" s="506"/>
      <c r="BF373" s="546"/>
      <c r="BG373" s="578"/>
    </row>
    <row r="374" spans="4:62" ht="100" customHeight="1" x14ac:dyDescent="1">
      <c r="D374" s="794"/>
      <c r="E374" s="514"/>
      <c r="F374" s="688"/>
      <c r="G374" s="506"/>
      <c r="H374" s="727" t="s">
        <v>179</v>
      </c>
      <c r="I374" s="727"/>
      <c r="J374" s="648"/>
      <c r="K374" s="648"/>
      <c r="L374" s="506"/>
      <c r="M374" s="506"/>
      <c r="N374" s="728" t="s">
        <v>175</v>
      </c>
      <c r="O374" s="728"/>
      <c r="P374" s="506"/>
      <c r="Q374" s="506"/>
      <c r="R374" s="506"/>
      <c r="S374" s="506"/>
      <c r="T374" s="1077"/>
      <c r="U374" s="1017"/>
      <c r="V374" s="801"/>
      <c r="W374" s="801"/>
      <c r="X374" s="801" t="s">
        <v>138</v>
      </c>
      <c r="Y374" s="806"/>
      <c r="Z374" s="806"/>
      <c r="AA374" s="806"/>
      <c r="AB374" s="806"/>
      <c r="AC374" s="806"/>
      <c r="AD374" s="806"/>
      <c r="AE374" s="806"/>
      <c r="AF374" s="806"/>
      <c r="AG374" s="801"/>
      <c r="AH374" s="730"/>
      <c r="AI374" s="802"/>
      <c r="AJ374" s="2056" t="s">
        <v>124</v>
      </c>
      <c r="AK374" s="2056"/>
      <c r="AL374" s="2056"/>
      <c r="AM374" s="2056"/>
      <c r="AN374" s="2056"/>
      <c r="AO374" s="803"/>
      <c r="AP374" s="804" t="s">
        <v>178</v>
      </c>
      <c r="AQ374" s="805"/>
      <c r="AR374" s="688"/>
      <c r="AS374" s="506"/>
      <c r="AT374" s="506"/>
      <c r="AU374" s="506"/>
      <c r="AV374" s="506"/>
      <c r="AW374" s="506"/>
      <c r="AX374" s="506"/>
      <c r="AY374" s="506"/>
      <c r="AZ374" s="728" t="s">
        <v>175</v>
      </c>
      <c r="BA374" s="728"/>
      <c r="BB374" s="648"/>
      <c r="BC374" s="648"/>
      <c r="BD374" s="506"/>
      <c r="BE374" s="506"/>
      <c r="BF374" s="1077"/>
      <c r="BG374" s="578"/>
    </row>
    <row r="375" spans="4:62" ht="100" customHeight="1" x14ac:dyDescent="1">
      <c r="D375" s="794"/>
      <c r="E375" s="514"/>
      <c r="F375" s="568"/>
      <c r="G375" s="386"/>
      <c r="H375" s="648">
        <v>3500</v>
      </c>
      <c r="I375" s="648"/>
      <c r="J375" s="386"/>
      <c r="K375" s="386"/>
      <c r="L375" s="386"/>
      <c r="M375" s="386"/>
      <c r="N375" s="728" t="s">
        <v>127</v>
      </c>
      <c r="O375" s="728"/>
      <c r="P375" s="386"/>
      <c r="Q375" s="386"/>
      <c r="R375" s="386"/>
      <c r="S375" s="386"/>
      <c r="T375" s="546"/>
      <c r="U375" s="1014"/>
      <c r="V375" s="797"/>
      <c r="W375" s="797"/>
      <c r="X375" s="1393">
        <v>2100</v>
      </c>
      <c r="Y375" s="808"/>
      <c r="Z375" s="809"/>
      <c r="AA375" s="809"/>
      <c r="AB375" s="809"/>
      <c r="AC375" s="809"/>
      <c r="AD375" s="809"/>
      <c r="AE375" s="809"/>
      <c r="AF375" s="809"/>
      <c r="AG375" s="810"/>
      <c r="AH375" s="720"/>
      <c r="AI375" s="798"/>
      <c r="AJ375" s="388"/>
      <c r="AK375" s="388"/>
      <c r="AL375" s="392"/>
      <c r="AM375" s="392"/>
      <c r="AN375" s="392"/>
      <c r="AO375" s="799"/>
      <c r="AP375" s="804" t="s">
        <v>127</v>
      </c>
      <c r="AQ375" s="805"/>
      <c r="AR375" s="568"/>
      <c r="AS375" s="386"/>
      <c r="AT375" s="386"/>
      <c r="AU375" s="386"/>
      <c r="AV375" s="386"/>
      <c r="AW375" s="386"/>
      <c r="AX375" s="386"/>
      <c r="AY375" s="386"/>
      <c r="AZ375" s="728" t="s">
        <v>127</v>
      </c>
      <c r="BA375" s="728"/>
      <c r="BB375" s="648"/>
      <c r="BC375" s="648"/>
      <c r="BD375" s="386"/>
      <c r="BE375" s="386"/>
      <c r="BF375" s="546"/>
      <c r="BG375" s="578"/>
    </row>
    <row r="376" spans="4:62" ht="100" customHeight="1" x14ac:dyDescent="1">
      <c r="D376" s="794"/>
      <c r="E376" s="514"/>
      <c r="F376" s="568"/>
      <c r="G376" s="386"/>
      <c r="H376" s="386"/>
      <c r="I376" s="386"/>
      <c r="J376" s="386"/>
      <c r="K376" s="386"/>
      <c r="L376" s="386"/>
      <c r="M376" s="386"/>
      <c r="N376" s="392"/>
      <c r="O376" s="392"/>
      <c r="P376" s="386"/>
      <c r="Q376" s="386"/>
      <c r="R376" s="386"/>
      <c r="S376" s="386"/>
      <c r="T376" s="546"/>
      <c r="U376" s="1014"/>
      <c r="V376" s="797"/>
      <c r="W376" s="797"/>
      <c r="X376" s="797"/>
      <c r="Y376" s="797"/>
      <c r="Z376" s="797"/>
      <c r="AA376" s="797"/>
      <c r="AB376" s="797"/>
      <c r="AC376" s="797"/>
      <c r="AD376" s="797"/>
      <c r="AE376" s="797"/>
      <c r="AF376" s="797"/>
      <c r="AG376" s="797"/>
      <c r="AH376" s="720"/>
      <c r="AI376" s="798"/>
      <c r="AJ376" s="388"/>
      <c r="AK376" s="388"/>
      <c r="AL376" s="388"/>
      <c r="AM376" s="388"/>
      <c r="AN376" s="392"/>
      <c r="AO376" s="799"/>
      <c r="AP376" s="796"/>
      <c r="AQ376" s="547"/>
      <c r="AR376" s="568"/>
      <c r="AS376" s="386"/>
      <c r="AT376" s="386"/>
      <c r="AU376" s="386"/>
      <c r="AV376" s="386"/>
      <c r="AW376" s="386"/>
      <c r="AX376" s="386"/>
      <c r="AY376" s="386"/>
      <c r="AZ376" s="392"/>
      <c r="BA376" s="392"/>
      <c r="BB376" s="386"/>
      <c r="BC376" s="386"/>
      <c r="BD376" s="386"/>
      <c r="BE376" s="386"/>
      <c r="BF376" s="546"/>
      <c r="BG376" s="578"/>
    </row>
    <row r="377" spans="4:62" ht="100" customHeight="1" thickBot="1" x14ac:dyDescent="1.05">
      <c r="D377" s="794"/>
      <c r="E377" s="514"/>
      <c r="F377" s="569"/>
      <c r="G377" s="570"/>
      <c r="H377" s="570"/>
      <c r="I377" s="570"/>
      <c r="J377" s="570"/>
      <c r="K377" s="570"/>
      <c r="L377" s="570"/>
      <c r="M377" s="570"/>
      <c r="N377" s="811"/>
      <c r="O377" s="811"/>
      <c r="P377" s="570"/>
      <c r="Q377" s="570"/>
      <c r="R377" s="570"/>
      <c r="S377" s="570"/>
      <c r="T377" s="626"/>
      <c r="U377" s="1014"/>
      <c r="V377" s="720"/>
      <c r="W377" s="720"/>
      <c r="X377" s="720"/>
      <c r="Y377" s="720"/>
      <c r="Z377" s="720"/>
      <c r="AA377" s="720"/>
      <c r="AB377" s="720"/>
      <c r="AC377" s="720"/>
      <c r="AD377" s="720"/>
      <c r="AE377" s="720"/>
      <c r="AF377" s="720"/>
      <c r="AG377" s="720"/>
      <c r="AH377" s="720"/>
      <c r="AI377" s="798"/>
      <c r="AJ377" s="388"/>
      <c r="AK377" s="388"/>
      <c r="AL377" s="388"/>
      <c r="AM377" s="388"/>
      <c r="AN377" s="392"/>
      <c r="AO377" s="799"/>
      <c r="AP377" s="392"/>
      <c r="AQ377" s="578"/>
      <c r="AR377" s="568"/>
      <c r="AS377" s="386"/>
      <c r="AT377" s="386"/>
      <c r="AU377" s="386"/>
      <c r="AV377" s="386"/>
      <c r="AW377" s="386"/>
      <c r="AX377" s="386"/>
      <c r="AY377" s="386"/>
      <c r="AZ377" s="392"/>
      <c r="BA377" s="392"/>
      <c r="BB377" s="386"/>
      <c r="BC377" s="386"/>
      <c r="BD377" s="386"/>
      <c r="BE377" s="386"/>
      <c r="BF377" s="546"/>
      <c r="BG377" s="578"/>
    </row>
    <row r="378" spans="4:62" ht="10" customHeight="1" thickTop="1" thickBot="1" x14ac:dyDescent="1.05">
      <c r="D378" s="794"/>
      <c r="E378" s="519"/>
      <c r="F378" s="519"/>
      <c r="G378" s="519"/>
      <c r="H378" s="519"/>
      <c r="I378" s="519"/>
      <c r="J378" s="519"/>
      <c r="K378" s="519"/>
      <c r="L378" s="519"/>
      <c r="M378" s="519"/>
      <c r="N378" s="519"/>
      <c r="O378" s="519"/>
      <c r="P378" s="519"/>
      <c r="Q378" s="519"/>
      <c r="R378" s="519"/>
      <c r="S378" s="519"/>
      <c r="T378" s="519"/>
      <c r="U378" s="1005"/>
      <c r="V378" s="753"/>
      <c r="W378" s="754"/>
      <c r="X378" s="754"/>
      <c r="Y378" s="754"/>
      <c r="Z378" s="754"/>
      <c r="AA378" s="754"/>
      <c r="AB378" s="754"/>
      <c r="AC378" s="754"/>
      <c r="AD378" s="754"/>
      <c r="AE378" s="754"/>
      <c r="AF378" s="754"/>
      <c r="AG378" s="754"/>
      <c r="AH378" s="755"/>
      <c r="AI378" s="903"/>
      <c r="AJ378" s="813"/>
      <c r="AK378" s="814"/>
      <c r="AL378" s="814"/>
      <c r="AM378" s="814"/>
      <c r="AN378" s="814"/>
      <c r="AO378" s="814"/>
      <c r="AP378" s="815"/>
      <c r="AQ378" s="623"/>
      <c r="AR378" s="568"/>
      <c r="AS378" s="386"/>
      <c r="AT378" s="386"/>
      <c r="AU378" s="386"/>
      <c r="AV378" s="386"/>
      <c r="AW378" s="386"/>
      <c r="AX378" s="386"/>
      <c r="AY378" s="386"/>
      <c r="AZ378" s="392"/>
      <c r="BA378" s="392"/>
      <c r="BB378" s="386"/>
      <c r="BC378" s="386"/>
      <c r="BD378" s="386"/>
      <c r="BE378" s="386"/>
      <c r="BF378" s="546"/>
      <c r="BG378" s="578"/>
    </row>
    <row r="379" spans="4:62" ht="10" customHeight="1" thickTop="1" thickBot="1" x14ac:dyDescent="1.05">
      <c r="D379" s="408"/>
      <c r="E379" s="512"/>
      <c r="F379" s="547"/>
      <c r="G379" s="547"/>
      <c r="H379" s="547"/>
      <c r="I379" s="547"/>
      <c r="J379" s="547"/>
      <c r="K379" s="547"/>
      <c r="L379" s="547"/>
      <c r="M379" s="547"/>
      <c r="N379" s="547"/>
      <c r="O379" s="547"/>
      <c r="P379" s="547"/>
      <c r="Q379" s="547"/>
      <c r="R379" s="547"/>
      <c r="S379" s="547"/>
      <c r="T379" s="547"/>
      <c r="U379" s="1005"/>
      <c r="V379" s="753"/>
      <c r="W379" s="754"/>
      <c r="X379" s="754"/>
      <c r="Y379" s="754"/>
      <c r="Z379" s="754"/>
      <c r="AA379" s="754"/>
      <c r="AB379" s="754"/>
      <c r="AC379" s="754"/>
      <c r="AD379" s="754"/>
      <c r="AE379" s="754"/>
      <c r="AF379" s="754"/>
      <c r="AG379" s="754"/>
      <c r="AH379" s="754"/>
      <c r="AI379" s="748"/>
      <c r="AJ379" s="1394"/>
      <c r="AK379" s="1046"/>
      <c r="AL379" s="1046"/>
      <c r="AM379" s="1046"/>
      <c r="AN379" s="1046"/>
      <c r="AO379" s="1046"/>
      <c r="AP379" s="1395"/>
      <c r="AQ379" s="547"/>
      <c r="AR379" s="568"/>
      <c r="AS379" s="386"/>
      <c r="AT379" s="386"/>
      <c r="AU379" s="386"/>
      <c r="AV379" s="386"/>
      <c r="AW379" s="386"/>
      <c r="AX379" s="386"/>
      <c r="AY379" s="386"/>
      <c r="AZ379" s="392"/>
      <c r="BA379" s="392"/>
      <c r="BB379" s="386"/>
      <c r="BC379" s="386"/>
      <c r="BD379" s="386"/>
      <c r="BE379" s="386"/>
      <c r="BF379" s="546"/>
      <c r="BG379" s="578"/>
    </row>
    <row r="380" spans="4:62" ht="100" customHeight="1" thickTop="1" x14ac:dyDescent="1">
      <c r="D380" s="408"/>
      <c r="E380" s="1396"/>
      <c r="F380" s="2057" t="s">
        <v>168</v>
      </c>
      <c r="G380" s="2058"/>
      <c r="H380" s="2058"/>
      <c r="I380" s="2058"/>
      <c r="J380" s="2058"/>
      <c r="K380" s="2058"/>
      <c r="L380" s="2058"/>
      <c r="M380" s="2058"/>
      <c r="N380" s="2058"/>
      <c r="O380" s="2058"/>
      <c r="P380" s="2058"/>
      <c r="Q380" s="2058"/>
      <c r="R380" s="2058"/>
      <c r="S380" s="2058"/>
      <c r="T380" s="2059"/>
      <c r="U380" s="817"/>
      <c r="V380" s="2063" t="s">
        <v>171</v>
      </c>
      <c r="W380" s="2064"/>
      <c r="X380" s="2064"/>
      <c r="Y380" s="2064"/>
      <c r="Z380" s="2064"/>
      <c r="AA380" s="2064"/>
      <c r="AB380" s="2064"/>
      <c r="AC380" s="2064"/>
      <c r="AD380" s="2064"/>
      <c r="AE380" s="2064"/>
      <c r="AF380" s="2064"/>
      <c r="AG380" s="2064"/>
      <c r="AH380" s="2065"/>
      <c r="AI380" s="818"/>
      <c r="AJ380" s="2066" t="s">
        <v>186</v>
      </c>
      <c r="AK380" s="2066"/>
      <c r="AL380" s="2066"/>
      <c r="AM380" s="2066"/>
      <c r="AN380" s="2066"/>
      <c r="AO380" s="2066"/>
      <c r="AP380" s="2067"/>
      <c r="AQ380" s="819"/>
      <c r="AR380" s="2068" t="s">
        <v>133</v>
      </c>
      <c r="AS380" s="2054"/>
      <c r="AT380" s="2054"/>
      <c r="AU380" s="2054"/>
      <c r="AV380" s="2054"/>
      <c r="AW380" s="2054"/>
      <c r="AX380" s="2054"/>
      <c r="AY380" s="2054"/>
      <c r="AZ380" s="2054"/>
      <c r="BA380" s="2054"/>
      <c r="BB380" s="2054"/>
      <c r="BC380" s="2054"/>
      <c r="BD380" s="2054"/>
      <c r="BE380" s="2054"/>
      <c r="BF380" s="2069"/>
      <c r="BG380" s="560"/>
    </row>
    <row r="381" spans="4:62" ht="100" customHeight="1" thickBot="1" x14ac:dyDescent="1.05">
      <c r="D381" s="408"/>
      <c r="E381" s="1397"/>
      <c r="F381" s="2060"/>
      <c r="G381" s="2061"/>
      <c r="H381" s="2061"/>
      <c r="I381" s="2061"/>
      <c r="J381" s="2061"/>
      <c r="K381" s="2061"/>
      <c r="L381" s="2061"/>
      <c r="M381" s="2061"/>
      <c r="N381" s="2061"/>
      <c r="O381" s="2061"/>
      <c r="P381" s="2061"/>
      <c r="Q381" s="2061"/>
      <c r="R381" s="2061"/>
      <c r="S381" s="2061"/>
      <c r="T381" s="2062"/>
      <c r="U381" s="690"/>
      <c r="V381" s="2019"/>
      <c r="W381" s="1990"/>
      <c r="X381" s="1990"/>
      <c r="Y381" s="1990"/>
      <c r="Z381" s="1990"/>
      <c r="AA381" s="1990"/>
      <c r="AB381" s="1990"/>
      <c r="AC381" s="1990"/>
      <c r="AD381" s="1990"/>
      <c r="AE381" s="1990"/>
      <c r="AF381" s="1990"/>
      <c r="AG381" s="1990"/>
      <c r="AH381" s="2084"/>
      <c r="AI381" s="821"/>
      <c r="AJ381" s="2066"/>
      <c r="AK381" s="2066"/>
      <c r="AL381" s="2066"/>
      <c r="AM381" s="2066"/>
      <c r="AN381" s="2066"/>
      <c r="AO381" s="2066"/>
      <c r="AP381" s="2067"/>
      <c r="AQ381" s="822"/>
      <c r="AR381" s="2068"/>
      <c r="AS381" s="2054"/>
      <c r="AT381" s="2054"/>
      <c r="AU381" s="2054"/>
      <c r="AV381" s="2054"/>
      <c r="AW381" s="2054"/>
      <c r="AX381" s="2054"/>
      <c r="AY381" s="2054"/>
      <c r="AZ381" s="2054"/>
      <c r="BA381" s="2054"/>
      <c r="BB381" s="2054"/>
      <c r="BC381" s="2054"/>
      <c r="BD381" s="2054"/>
      <c r="BE381" s="2054"/>
      <c r="BF381" s="2069"/>
      <c r="BG381" s="560"/>
      <c r="BH381" s="961"/>
      <c r="BI381" s="961"/>
      <c r="BJ381" s="961"/>
    </row>
    <row r="382" spans="4:62" ht="10" customHeight="1" thickTop="1" thickBot="1" x14ac:dyDescent="1.05">
      <c r="E382" s="577"/>
      <c r="F382" s="823"/>
      <c r="G382" s="824"/>
      <c r="H382" s="824"/>
      <c r="I382" s="824"/>
      <c r="J382" s="824"/>
      <c r="K382" s="824"/>
      <c r="L382" s="824"/>
      <c r="M382" s="824"/>
      <c r="N382" s="824"/>
      <c r="O382" s="824"/>
      <c r="P382" s="824"/>
      <c r="Q382" s="824"/>
      <c r="R382" s="824"/>
      <c r="S382" s="824"/>
      <c r="T382" s="824"/>
      <c r="U382" s="1398"/>
      <c r="V382" s="753"/>
      <c r="W382" s="754"/>
      <c r="X382" s="754"/>
      <c r="Y382" s="754"/>
      <c r="Z382" s="754"/>
      <c r="AA382" s="754"/>
      <c r="AB382" s="754"/>
      <c r="AC382" s="754"/>
      <c r="AD382" s="754"/>
      <c r="AE382" s="754"/>
      <c r="AF382" s="754"/>
      <c r="AG382" s="754"/>
      <c r="AH382" s="755"/>
      <c r="AI382" s="903"/>
      <c r="AJ382" s="1376"/>
      <c r="AK382" s="1376"/>
      <c r="AL382" s="1376"/>
      <c r="AM382" s="1376"/>
      <c r="AN382" s="1376"/>
      <c r="AO382" s="1376"/>
      <c r="AP382" s="1376"/>
      <c r="AQ382" s="828"/>
      <c r="AR382" s="829"/>
      <c r="AS382" s="829"/>
      <c r="AT382" s="829"/>
      <c r="AU382" s="829"/>
      <c r="AV382" s="829"/>
      <c r="AW382" s="829"/>
      <c r="AX382" s="829"/>
      <c r="AY382" s="829"/>
      <c r="AZ382" s="829"/>
      <c r="BA382" s="829"/>
      <c r="BB382" s="829"/>
      <c r="BC382" s="829"/>
      <c r="BD382" s="829"/>
      <c r="BE382" s="829"/>
      <c r="BF382" s="829"/>
      <c r="BG382" s="578"/>
      <c r="BH382" s="961"/>
      <c r="BI382" s="961"/>
      <c r="BJ382" s="961"/>
    </row>
    <row r="383" spans="4:62" ht="10" customHeight="1" thickTop="1" x14ac:dyDescent="1">
      <c r="E383" s="578"/>
      <c r="F383" s="564"/>
      <c r="G383" s="564"/>
      <c r="H383" s="564"/>
      <c r="I383" s="564"/>
      <c r="J383" s="564"/>
      <c r="K383" s="564"/>
      <c r="L383" s="564"/>
      <c r="M383" s="564"/>
      <c r="N383" s="564"/>
      <c r="O383" s="564"/>
      <c r="P383" s="564"/>
      <c r="Q383" s="564"/>
      <c r="R383" s="564"/>
      <c r="S383" s="564"/>
      <c r="T383" s="531"/>
      <c r="U383" s="1399"/>
      <c r="V383" s="797"/>
      <c r="W383" s="797"/>
      <c r="X383" s="797"/>
      <c r="Y383" s="797"/>
      <c r="Z383" s="797"/>
      <c r="AA383" s="797"/>
      <c r="AB383" s="797"/>
      <c r="AC383" s="797"/>
      <c r="AD383" s="797"/>
      <c r="AE383" s="797"/>
      <c r="AF383" s="797"/>
      <c r="AG383" s="797"/>
      <c r="AH383" s="720"/>
      <c r="AI383" s="798"/>
      <c r="AJ383" s="1377"/>
      <c r="AK383" s="1378"/>
      <c r="AL383" s="1378"/>
      <c r="AM383" s="1378"/>
      <c r="AN383" s="1378"/>
      <c r="AO383" s="1378"/>
      <c r="AP383" s="1379"/>
      <c r="AQ383" s="577"/>
      <c r="AR383" s="568"/>
      <c r="AS383" s="386"/>
      <c r="AT383" s="386"/>
      <c r="AU383" s="386"/>
      <c r="AV383" s="386"/>
      <c r="AW383" s="386"/>
      <c r="AX383" s="386"/>
      <c r="AY383" s="386"/>
      <c r="AZ383" s="386"/>
      <c r="BA383" s="386"/>
      <c r="BB383" s="386"/>
      <c r="BC383" s="386"/>
      <c r="BD383" s="386"/>
      <c r="BE383" s="386"/>
      <c r="BF383" s="546"/>
      <c r="BG383" s="578"/>
      <c r="BH383" s="696"/>
      <c r="BI383" s="696"/>
      <c r="BJ383" s="696"/>
    </row>
    <row r="384" spans="4:62" ht="100" customHeight="1" x14ac:dyDescent="1">
      <c r="E384" s="578"/>
      <c r="F384" s="386"/>
      <c r="G384" s="386"/>
      <c r="H384" s="386"/>
      <c r="I384" s="386"/>
      <c r="J384" s="386"/>
      <c r="K384" s="386"/>
      <c r="L384" s="386"/>
      <c r="M384" s="386"/>
      <c r="N384" s="598"/>
      <c r="O384" s="598"/>
      <c r="P384" s="598"/>
      <c r="Q384" s="598"/>
      <c r="R384" s="386"/>
      <c r="S384" s="386"/>
      <c r="T384" s="546"/>
      <c r="U384" s="1014"/>
      <c r="V384" s="797"/>
      <c r="W384" s="797"/>
      <c r="X384" s="797"/>
      <c r="Y384" s="797"/>
      <c r="Z384" s="797"/>
      <c r="AA384" s="797"/>
      <c r="AB384" s="797"/>
      <c r="AC384" s="797"/>
      <c r="AD384" s="797"/>
      <c r="AE384" s="797"/>
      <c r="AF384" s="797"/>
      <c r="AG384" s="797"/>
      <c r="AH384" s="720"/>
      <c r="AI384" s="798"/>
      <c r="AJ384" s="1381"/>
      <c r="AK384" s="1382"/>
      <c r="AL384" s="1382"/>
      <c r="AM384" s="1382"/>
      <c r="AN384" s="1382"/>
      <c r="AO384" s="1382"/>
      <c r="AP384" s="1383"/>
      <c r="AQ384" s="547"/>
      <c r="AR384" s="568"/>
      <c r="AS384" s="386"/>
      <c r="AT384" s="386"/>
      <c r="AU384" s="386"/>
      <c r="AV384" s="386"/>
      <c r="AW384" s="386"/>
      <c r="AX384" s="386"/>
      <c r="AY384" s="386"/>
      <c r="AZ384" s="598"/>
      <c r="BA384" s="598"/>
      <c r="BB384" s="598"/>
      <c r="BC384" s="598"/>
      <c r="BD384" s="386"/>
      <c r="BE384" s="386"/>
      <c r="BF384" s="546"/>
      <c r="BG384" s="578"/>
    </row>
    <row r="385" spans="3:60" ht="100" customHeight="1" x14ac:dyDescent="1">
      <c r="E385" s="578"/>
      <c r="F385" s="506"/>
      <c r="G385" s="506"/>
      <c r="H385" s="506"/>
      <c r="I385" s="506"/>
      <c r="J385" s="386"/>
      <c r="K385" s="386"/>
      <c r="L385" s="386"/>
      <c r="M385" s="386"/>
      <c r="N385" s="598"/>
      <c r="O385" s="598"/>
      <c r="P385" s="598"/>
      <c r="Q385" s="598"/>
      <c r="R385" s="386"/>
      <c r="S385" s="386"/>
      <c r="T385" s="546"/>
      <c r="U385" s="1014"/>
      <c r="V385" s="801"/>
      <c r="W385" s="801"/>
      <c r="X385" s="801"/>
      <c r="Y385" s="801"/>
      <c r="Z385" s="801"/>
      <c r="AA385" s="801"/>
      <c r="AB385" s="801"/>
      <c r="AC385" s="801"/>
      <c r="AD385" s="801"/>
      <c r="AE385" s="801"/>
      <c r="AF385" s="801"/>
      <c r="AG385" s="801"/>
      <c r="AH385" s="730"/>
      <c r="AI385" s="802"/>
      <c r="AJ385" s="1381"/>
      <c r="AK385" s="1382"/>
      <c r="AL385" s="1382"/>
      <c r="AM385" s="1382"/>
      <c r="AN385" s="1382"/>
      <c r="AO385" s="1382"/>
      <c r="AP385" s="1384"/>
      <c r="AQ385" s="547"/>
      <c r="AR385" s="688"/>
      <c r="AS385" s="506"/>
      <c r="AT385" s="506"/>
      <c r="AU385" s="506"/>
      <c r="AV385" s="386"/>
      <c r="AW385" s="386"/>
      <c r="AX385" s="579"/>
      <c r="AY385" s="579"/>
      <c r="AZ385" s="579"/>
      <c r="BA385" s="579"/>
      <c r="BB385" s="579"/>
      <c r="BC385" s="579"/>
      <c r="BD385" s="579"/>
      <c r="BE385" s="579"/>
      <c r="BF385" s="546"/>
      <c r="BG385" s="578"/>
    </row>
    <row r="386" spans="3:60" ht="100" customHeight="1" x14ac:dyDescent="1">
      <c r="E386" s="578"/>
      <c r="F386" s="506"/>
      <c r="G386" s="506"/>
      <c r="H386" s="727" t="s">
        <v>179</v>
      </c>
      <c r="I386" s="727"/>
      <c r="J386" s="648"/>
      <c r="K386" s="648"/>
      <c r="L386" s="682"/>
      <c r="M386" s="682"/>
      <c r="N386" s="682"/>
      <c r="O386" s="682"/>
      <c r="P386" s="682"/>
      <c r="Q386" s="682"/>
      <c r="R386" s="682"/>
      <c r="S386" s="682"/>
      <c r="T386" s="833"/>
      <c r="U386" s="1400"/>
      <c r="V386" s="801"/>
      <c r="W386" s="801"/>
      <c r="X386" s="801" t="s">
        <v>138</v>
      </c>
      <c r="Y386" s="806"/>
      <c r="Z386" s="806"/>
      <c r="AA386" s="806"/>
      <c r="AB386" s="806"/>
      <c r="AC386" s="806"/>
      <c r="AD386" s="806"/>
      <c r="AE386" s="806"/>
      <c r="AF386" s="806"/>
      <c r="AG386" s="801"/>
      <c r="AH386" s="730"/>
      <c r="AI386" s="802"/>
      <c r="AJ386" s="1381"/>
      <c r="AK386" s="1401" t="s">
        <v>210</v>
      </c>
      <c r="AL386" s="1385"/>
      <c r="AM386" s="1385"/>
      <c r="AN386" s="1385"/>
      <c r="AO386" s="1385"/>
      <c r="AP386" s="1384"/>
      <c r="AQ386" s="840"/>
      <c r="AR386" s="688"/>
      <c r="AS386" s="506"/>
      <c r="AT386" s="727" t="s">
        <v>196</v>
      </c>
      <c r="AU386" s="506"/>
      <c r="AV386" s="682"/>
      <c r="AW386" s="682"/>
      <c r="AX386" s="682"/>
      <c r="AY386" s="682"/>
      <c r="AZ386" s="598"/>
      <c r="BA386" s="598"/>
      <c r="BB386" s="648"/>
      <c r="BC386" s="648"/>
      <c r="BD386" s="682"/>
      <c r="BE386" s="682"/>
      <c r="BF386" s="833"/>
      <c r="BG386" s="578"/>
    </row>
    <row r="387" spans="3:60" ht="100" customHeight="1" x14ac:dyDescent="1">
      <c r="E387" s="578"/>
      <c r="F387" s="386"/>
      <c r="G387" s="386"/>
      <c r="H387" s="648">
        <v>3500</v>
      </c>
      <c r="I387" s="648"/>
      <c r="J387" s="780"/>
      <c r="K387" s="780"/>
      <c r="L387" s="780"/>
      <c r="M387" s="780"/>
      <c r="N387" s="780"/>
      <c r="O387" s="780"/>
      <c r="P387" s="682"/>
      <c r="Q387" s="682"/>
      <c r="R387" s="780"/>
      <c r="S387" s="780"/>
      <c r="T387" s="841"/>
      <c r="U387" s="1402"/>
      <c r="V387" s="797"/>
      <c r="W387" s="797"/>
      <c r="X387" s="1393">
        <v>2100</v>
      </c>
      <c r="Y387" s="808"/>
      <c r="Z387" s="809"/>
      <c r="AA387" s="809"/>
      <c r="AB387" s="809"/>
      <c r="AC387" s="809"/>
      <c r="AD387" s="809"/>
      <c r="AE387" s="809"/>
      <c r="AF387" s="809"/>
      <c r="AG387" s="810"/>
      <c r="AH387" s="720"/>
      <c r="AI387" s="798"/>
      <c r="AJ387" s="1386"/>
      <c r="AK387" s="1387"/>
      <c r="AL387" s="1387">
        <v>4700</v>
      </c>
      <c r="AM387" s="1385"/>
      <c r="AN387" s="1385"/>
      <c r="AO387" s="1385"/>
      <c r="AP387" s="1388"/>
      <c r="AQ387" s="547"/>
      <c r="AR387" s="568"/>
      <c r="AS387" s="386"/>
      <c r="AT387" s="741">
        <f>H375+H387</f>
        <v>7000</v>
      </c>
      <c r="AU387" s="386"/>
      <c r="AV387" s="780"/>
      <c r="AW387" s="780"/>
      <c r="AX387" s="780"/>
      <c r="AY387" s="780"/>
      <c r="AZ387" s="780"/>
      <c r="BA387" s="780"/>
      <c r="BB387" s="648"/>
      <c r="BC387" s="648"/>
      <c r="BD387" s="780"/>
      <c r="BE387" s="780"/>
      <c r="BF387" s="841"/>
      <c r="BG387" s="578"/>
    </row>
    <row r="388" spans="3:60" ht="100" customHeight="1" x14ac:dyDescent="1">
      <c r="E388" s="578"/>
      <c r="F388" s="386"/>
      <c r="G388" s="386"/>
      <c r="H388" s="386"/>
      <c r="I388" s="386"/>
      <c r="J388" s="386"/>
      <c r="K388" s="386"/>
      <c r="L388" s="386"/>
      <c r="M388" s="386"/>
      <c r="N388" s="598"/>
      <c r="O388" s="598"/>
      <c r="P388" s="598"/>
      <c r="Q388" s="598"/>
      <c r="R388" s="386"/>
      <c r="S388" s="386"/>
      <c r="T388" s="546"/>
      <c r="U388" s="1014"/>
      <c r="V388" s="797"/>
      <c r="W388" s="797"/>
      <c r="X388" s="797"/>
      <c r="Y388" s="797"/>
      <c r="Z388" s="797"/>
      <c r="AA388" s="797"/>
      <c r="AB388" s="797"/>
      <c r="AC388" s="797"/>
      <c r="AD388" s="797"/>
      <c r="AE388" s="797"/>
      <c r="AF388" s="797"/>
      <c r="AG388" s="797"/>
      <c r="AH388" s="720"/>
      <c r="AI388" s="798"/>
      <c r="AJ388" s="1381"/>
      <c r="AK388" s="1382"/>
      <c r="AL388" s="1382"/>
      <c r="AM388" s="1382"/>
      <c r="AN388" s="1382"/>
      <c r="AO388" s="1382"/>
      <c r="AP388" s="1383"/>
      <c r="AQ388" s="547"/>
      <c r="AR388" s="568"/>
      <c r="AS388" s="386"/>
      <c r="AT388" s="386"/>
      <c r="AU388" s="386"/>
      <c r="AV388" s="386"/>
      <c r="AW388" s="386"/>
      <c r="AX388" s="386"/>
      <c r="AY388" s="386"/>
      <c r="AZ388" s="598"/>
      <c r="BA388" s="598"/>
      <c r="BB388" s="598"/>
      <c r="BC388" s="598"/>
      <c r="BD388" s="386"/>
      <c r="BE388" s="386"/>
      <c r="BF388" s="546"/>
      <c r="BG388" s="578"/>
    </row>
    <row r="389" spans="3:60" ht="100" customHeight="1" thickBot="1" x14ac:dyDescent="1.05">
      <c r="E389" s="578"/>
      <c r="F389" s="570"/>
      <c r="G389" s="570"/>
      <c r="H389" s="570"/>
      <c r="I389" s="570"/>
      <c r="J389" s="570"/>
      <c r="K389" s="570"/>
      <c r="L389" s="570"/>
      <c r="M389" s="570"/>
      <c r="N389" s="570"/>
      <c r="O389" s="570"/>
      <c r="P389" s="570"/>
      <c r="Q389" s="570"/>
      <c r="R389" s="570"/>
      <c r="S389" s="570"/>
      <c r="T389" s="626"/>
      <c r="U389" s="1005"/>
      <c r="V389" s="746"/>
      <c r="W389" s="746"/>
      <c r="X389" s="746"/>
      <c r="Y389" s="746"/>
      <c r="Z389" s="746"/>
      <c r="AA389" s="746"/>
      <c r="AB389" s="746"/>
      <c r="AC389" s="746"/>
      <c r="AD389" s="746"/>
      <c r="AE389" s="746"/>
      <c r="AF389" s="746"/>
      <c r="AG389" s="746"/>
      <c r="AH389" s="746"/>
      <c r="AI389" s="798"/>
      <c r="AJ389" s="1389"/>
      <c r="AK389" s="1390"/>
      <c r="AL389" s="1390"/>
      <c r="AM389" s="1390"/>
      <c r="AN389" s="1390"/>
      <c r="AO389" s="1390"/>
      <c r="AP389" s="1391"/>
      <c r="AQ389" s="547"/>
      <c r="AR389" s="569"/>
      <c r="AS389" s="570"/>
      <c r="AT389" s="570"/>
      <c r="AU389" s="570"/>
      <c r="AV389" s="570"/>
      <c r="AW389" s="570"/>
      <c r="AX389" s="570"/>
      <c r="AY389" s="570"/>
      <c r="AZ389" s="570"/>
      <c r="BA389" s="570"/>
      <c r="BB389" s="570"/>
      <c r="BC389" s="570"/>
      <c r="BD389" s="570"/>
      <c r="BE389" s="570"/>
      <c r="BF389" s="626"/>
      <c r="BG389" s="578"/>
    </row>
    <row r="390" spans="3:60" ht="10" customHeight="1" thickTop="1" thickBot="1" x14ac:dyDescent="1.05">
      <c r="E390" s="623"/>
      <c r="F390" s="561"/>
      <c r="G390" s="561"/>
      <c r="H390" s="561"/>
      <c r="I390" s="561"/>
      <c r="J390" s="561"/>
      <c r="K390" s="561"/>
      <c r="L390" s="561"/>
      <c r="M390" s="561"/>
      <c r="N390" s="561"/>
      <c r="O390" s="561"/>
      <c r="P390" s="561"/>
      <c r="Q390" s="561"/>
      <c r="R390" s="561"/>
      <c r="S390" s="561"/>
      <c r="T390" s="561"/>
      <c r="U390" s="1403"/>
      <c r="V390" s="754"/>
      <c r="W390" s="754"/>
      <c r="X390" s="754"/>
      <c r="Y390" s="754"/>
      <c r="Z390" s="754"/>
      <c r="AA390" s="754"/>
      <c r="AB390" s="754"/>
      <c r="AC390" s="754"/>
      <c r="AD390" s="754"/>
      <c r="AE390" s="754"/>
      <c r="AF390" s="754"/>
      <c r="AG390" s="754"/>
      <c r="AH390" s="755"/>
      <c r="AI390" s="812"/>
      <c r="AJ390" s="1392"/>
      <c r="AK390" s="874"/>
      <c r="AL390" s="753"/>
      <c r="AM390" s="874"/>
      <c r="AN390" s="874"/>
      <c r="AO390" s="903"/>
      <c r="AP390" s="749"/>
      <c r="AQ390" s="577"/>
      <c r="AR390" s="575"/>
      <c r="AS390" s="561"/>
      <c r="AT390" s="561"/>
      <c r="AU390" s="561"/>
      <c r="AV390" s="561"/>
      <c r="AW390" s="561"/>
      <c r="AX390" s="561"/>
      <c r="AY390" s="561"/>
      <c r="AZ390" s="561"/>
      <c r="BA390" s="561"/>
      <c r="BB390" s="561"/>
      <c r="BC390" s="561"/>
      <c r="BD390" s="561"/>
      <c r="BE390" s="561"/>
      <c r="BF390" s="576"/>
      <c r="BG390" s="623"/>
    </row>
    <row r="391" spans="3:60" ht="100" customHeight="1" thickTop="1" x14ac:dyDescent="1">
      <c r="V391" s="1404"/>
      <c r="W391" s="1404"/>
      <c r="X391" s="1404"/>
      <c r="Y391" s="1404"/>
      <c r="Z391" s="1404"/>
      <c r="AA391" s="1404"/>
      <c r="AB391" s="1404"/>
      <c r="AC391" s="1404"/>
      <c r="AD391" s="1404"/>
      <c r="AE391" s="1404"/>
      <c r="AF391" s="1404"/>
      <c r="AG391" s="1404"/>
      <c r="AH391" s="1404"/>
      <c r="AI391" s="356"/>
      <c r="AQ391" s="521"/>
      <c r="BH391" s="408"/>
    </row>
    <row r="392" spans="3:60" s="1426" customFormat="1" ht="100" customHeight="1" x14ac:dyDescent="1.2">
      <c r="C392" s="1431"/>
      <c r="F392" s="1436" t="s">
        <v>147</v>
      </c>
      <c r="G392" s="1436"/>
      <c r="N392" s="1430">
        <f>H410+AB399+AT399+AT410+AL410+AB410</f>
        <v>20100</v>
      </c>
      <c r="P392" s="1463" t="s">
        <v>33</v>
      </c>
      <c r="Q392" s="1427"/>
      <c r="R392" s="1438"/>
      <c r="S392" s="1446"/>
      <c r="T392" s="1431"/>
      <c r="U392" s="1431"/>
      <c r="AH392" s="1449"/>
      <c r="AN392" s="1422"/>
      <c r="AO392" s="1422"/>
      <c r="AP392" s="1423"/>
      <c r="AQ392" s="1423"/>
      <c r="AR392" s="1424"/>
      <c r="AS392" s="1424"/>
    </row>
    <row r="393" spans="3:60" ht="100" customHeight="1" thickBot="1" x14ac:dyDescent="1.05">
      <c r="E393" s="851"/>
      <c r="F393" s="851"/>
      <c r="G393" s="851"/>
      <c r="AH393" s="408"/>
      <c r="AI393" s="408"/>
      <c r="AJ393" s="408"/>
      <c r="AK393" s="793"/>
      <c r="AL393" s="793"/>
      <c r="AM393" s="793"/>
      <c r="AN393" s="793"/>
      <c r="AO393" s="793"/>
      <c r="AP393" s="793"/>
      <c r="AQ393" s="408"/>
    </row>
    <row r="394" spans="3:60" ht="10" customHeight="1" thickTop="1" thickBot="1" x14ac:dyDescent="1.05">
      <c r="D394" s="408"/>
      <c r="E394" s="630"/>
      <c r="F394" s="638"/>
      <c r="G394" s="639"/>
      <c r="H394" s="632"/>
      <c r="I394" s="632"/>
      <c r="J394" s="632"/>
      <c r="K394" s="632"/>
      <c r="L394" s="632"/>
      <c r="M394" s="632"/>
      <c r="N394" s="632"/>
      <c r="O394" s="632"/>
      <c r="P394" s="632"/>
      <c r="Q394" s="632"/>
      <c r="R394" s="632"/>
      <c r="S394" s="632"/>
      <c r="T394" s="632"/>
      <c r="U394" s="632"/>
      <c r="V394" s="632"/>
      <c r="W394" s="632"/>
      <c r="X394" s="632"/>
      <c r="Y394" s="852"/>
      <c r="Z394" s="1405"/>
      <c r="AA394" s="1405"/>
      <c r="AB394" s="1405"/>
      <c r="AC394" s="1405"/>
      <c r="AD394" s="1405"/>
      <c r="AE394" s="1405"/>
      <c r="AF394" s="1405"/>
      <c r="AG394" s="1405"/>
      <c r="AH394" s="1405"/>
      <c r="AI394" s="854"/>
      <c r="AJ394" s="855"/>
      <c r="AK394" s="388"/>
      <c r="AL394" s="388"/>
      <c r="AM394" s="388"/>
      <c r="AN394" s="388"/>
      <c r="AO394" s="388"/>
      <c r="AP394" s="856"/>
      <c r="AQ394" s="857"/>
      <c r="AR394" s="753"/>
      <c r="AS394" s="754"/>
      <c r="AT394" s="754"/>
      <c r="AU394" s="754"/>
      <c r="AV394" s="754"/>
      <c r="AW394" s="754"/>
      <c r="AX394" s="754"/>
      <c r="AY394" s="754"/>
      <c r="AZ394" s="754"/>
      <c r="BA394" s="754"/>
      <c r="BB394" s="754"/>
      <c r="BC394" s="754"/>
      <c r="BD394" s="754"/>
      <c r="BE394" s="754"/>
      <c r="BF394" s="755"/>
      <c r="BG394" s="705"/>
    </row>
    <row r="395" spans="3:60" ht="100" customHeight="1" thickTop="1" x14ac:dyDescent="1">
      <c r="D395" s="408"/>
      <c r="E395" s="635"/>
      <c r="F395" s="858"/>
      <c r="G395" s="667"/>
      <c r="H395" s="667"/>
      <c r="I395" s="667"/>
      <c r="J395" s="667"/>
      <c r="K395" s="667"/>
      <c r="L395" s="667"/>
      <c r="M395" s="667"/>
      <c r="N395" s="859"/>
      <c r="O395" s="859"/>
      <c r="P395" s="667"/>
      <c r="Q395" s="667"/>
      <c r="R395" s="667"/>
      <c r="S395" s="667"/>
      <c r="T395" s="667"/>
      <c r="U395" s="667"/>
      <c r="V395" s="667"/>
      <c r="W395" s="667"/>
      <c r="X395" s="669"/>
      <c r="Y395" s="1406"/>
      <c r="Z395" s="723"/>
      <c r="AA395" s="723"/>
      <c r="AB395" s="723"/>
      <c r="AC395" s="723"/>
      <c r="AD395" s="723"/>
      <c r="AE395" s="723"/>
      <c r="AF395" s="723"/>
      <c r="AG395" s="723"/>
      <c r="AH395" s="830"/>
      <c r="AI395" s="798"/>
      <c r="AJ395" s="388"/>
      <c r="AK395" s="388"/>
      <c r="AL395" s="388"/>
      <c r="AM395" s="388"/>
      <c r="AN395" s="388"/>
      <c r="AO395" s="388"/>
      <c r="AP395" s="860"/>
      <c r="AQ395" s="798"/>
      <c r="AR395" s="719"/>
      <c r="AS395" s="720"/>
      <c r="AT395" s="720"/>
      <c r="AU395" s="720"/>
      <c r="AV395" s="720"/>
      <c r="AW395" s="720"/>
      <c r="AX395" s="720"/>
      <c r="AY395" s="720"/>
      <c r="AZ395" s="392"/>
      <c r="BA395" s="392"/>
      <c r="BB395" s="720"/>
      <c r="BC395" s="720"/>
      <c r="BD395" s="720"/>
      <c r="BE395" s="720"/>
      <c r="BF395" s="721"/>
      <c r="BG395" s="703"/>
    </row>
    <row r="396" spans="3:60" ht="100" customHeight="1" x14ac:dyDescent="1">
      <c r="D396" s="408"/>
      <c r="E396" s="635"/>
      <c r="F396" s="664"/>
      <c r="G396" s="386"/>
      <c r="H396" s="386"/>
      <c r="I396" s="386"/>
      <c r="J396" s="386"/>
      <c r="K396" s="386"/>
      <c r="L396" s="386"/>
      <c r="M396" s="386"/>
      <c r="N396" s="392"/>
      <c r="O396" s="392"/>
      <c r="P396" s="386"/>
      <c r="Q396" s="386"/>
      <c r="R396" s="386"/>
      <c r="S396" s="386"/>
      <c r="T396" s="386"/>
      <c r="U396" s="386"/>
      <c r="V396" s="386"/>
      <c r="W396" s="386"/>
      <c r="X396" s="674"/>
      <c r="Y396" s="1406"/>
      <c r="Z396" s="838"/>
      <c r="AA396" s="838"/>
      <c r="AB396" s="838"/>
      <c r="AC396" s="838"/>
      <c r="AD396" s="838"/>
      <c r="AE396" s="838"/>
      <c r="AF396" s="838"/>
      <c r="AG396" s="838"/>
      <c r="AH396" s="723"/>
      <c r="AI396" s="798"/>
      <c r="AJ396" s="388"/>
      <c r="AK396" s="388"/>
      <c r="AL396" s="388"/>
      <c r="AM396" s="388"/>
      <c r="AN396" s="388"/>
      <c r="AO396" s="388"/>
      <c r="AP396" s="860"/>
      <c r="AQ396" s="798"/>
      <c r="AR396" s="719"/>
      <c r="AS396" s="720"/>
      <c r="AT396" s="720"/>
      <c r="AU396" s="720"/>
      <c r="AV396" s="720"/>
      <c r="AW396" s="720"/>
      <c r="AX396" s="720"/>
      <c r="AY396" s="720"/>
      <c r="AZ396" s="392"/>
      <c r="BA396" s="392"/>
      <c r="BB396" s="720"/>
      <c r="BC396" s="720"/>
      <c r="BD396" s="720"/>
      <c r="BE396" s="720"/>
      <c r="BF396" s="721"/>
      <c r="BG396" s="703"/>
    </row>
    <row r="397" spans="3:60" ht="100" customHeight="1" x14ac:dyDescent="1">
      <c r="D397" s="408"/>
      <c r="E397" s="635"/>
      <c r="F397" s="692"/>
      <c r="G397" s="506"/>
      <c r="H397" s="506"/>
      <c r="I397" s="506"/>
      <c r="J397" s="506"/>
      <c r="K397" s="506"/>
      <c r="L397" s="506"/>
      <c r="M397" s="506"/>
      <c r="N397" s="732"/>
      <c r="O397" s="732"/>
      <c r="P397" s="506"/>
      <c r="Q397" s="506"/>
      <c r="R397" s="506"/>
      <c r="S397" s="506"/>
      <c r="T397" s="506"/>
      <c r="U397" s="506"/>
      <c r="V397" s="506"/>
      <c r="W397" s="506"/>
      <c r="X397" s="672"/>
      <c r="Y397" s="1407"/>
      <c r="Z397" s="951"/>
      <c r="AA397" s="951"/>
      <c r="AB397" s="951"/>
      <c r="AC397" s="951"/>
      <c r="AD397" s="951"/>
      <c r="AE397" s="951"/>
      <c r="AF397" s="951"/>
      <c r="AG397" s="951"/>
      <c r="AH397" s="734"/>
      <c r="AI397" s="802"/>
      <c r="AJ397" s="869"/>
      <c r="AK397" s="869"/>
      <c r="AL397" s="869"/>
      <c r="AM397" s="869"/>
      <c r="AN397" s="869"/>
      <c r="AO397" s="869"/>
      <c r="AP397" s="866"/>
      <c r="AQ397" s="802"/>
      <c r="AR397" s="729"/>
      <c r="AS397" s="730"/>
      <c r="AT397" s="730"/>
      <c r="AU397" s="730"/>
      <c r="AV397" s="730"/>
      <c r="AW397" s="730"/>
      <c r="AX397" s="730"/>
      <c r="AY397" s="730"/>
      <c r="AZ397" s="732"/>
      <c r="BA397" s="732"/>
      <c r="BB397" s="730"/>
      <c r="BC397" s="730"/>
      <c r="BD397" s="730"/>
      <c r="BE397" s="730"/>
      <c r="BF397" s="721"/>
      <c r="BG397" s="703"/>
    </row>
    <row r="398" spans="3:60" ht="100" customHeight="1" x14ac:dyDescent="1">
      <c r="D398" s="408"/>
      <c r="E398" s="635"/>
      <c r="F398" s="692"/>
      <c r="G398" s="506"/>
      <c r="H398" s="727"/>
      <c r="I398" s="727"/>
      <c r="J398" s="506"/>
      <c r="K398" s="506"/>
      <c r="L398" s="648"/>
      <c r="M398" s="648"/>
      <c r="N398" s="728" t="s">
        <v>175</v>
      </c>
      <c r="O398" s="728"/>
      <c r="P398" s="506"/>
      <c r="Q398" s="506"/>
      <c r="R398" s="506"/>
      <c r="S398" s="506"/>
      <c r="T398" s="506"/>
      <c r="U398" s="506"/>
      <c r="V398" s="506"/>
      <c r="W398" s="506"/>
      <c r="X398" s="672"/>
      <c r="Y398" s="1407"/>
      <c r="Z398" s="951"/>
      <c r="AA398" s="951"/>
      <c r="AB398" s="868" t="s">
        <v>139</v>
      </c>
      <c r="AC398" s="868"/>
      <c r="AD398" s="868"/>
      <c r="AE398" s="868"/>
      <c r="AF398" s="868"/>
      <c r="AG398" s="951"/>
      <c r="AH398" s="734"/>
      <c r="AI398" s="802"/>
      <c r="AJ398" s="2073" t="s">
        <v>124</v>
      </c>
      <c r="AK398" s="2107"/>
      <c r="AL398" s="2107"/>
      <c r="AM398" s="2107"/>
      <c r="AN398" s="2107"/>
      <c r="AO398" s="869"/>
      <c r="AP398" s="866" t="s">
        <v>178</v>
      </c>
      <c r="AQ398" s="802"/>
      <c r="AR398" s="729"/>
      <c r="AS398" s="730"/>
      <c r="AT398" s="730" t="s">
        <v>138</v>
      </c>
      <c r="AU398" s="870"/>
      <c r="AV398" s="870"/>
      <c r="AW398" s="870"/>
      <c r="AX398" s="730"/>
      <c r="AY398" s="730"/>
      <c r="AZ398" s="728" t="s">
        <v>175</v>
      </c>
      <c r="BA398" s="728"/>
      <c r="BB398" s="737"/>
      <c r="BC398" s="737"/>
      <c r="BD398" s="730"/>
      <c r="BE398" s="730"/>
      <c r="BF398" s="731"/>
      <c r="BG398" s="703"/>
    </row>
    <row r="399" spans="3:60" ht="100" customHeight="1" x14ac:dyDescent="1">
      <c r="D399" s="408"/>
      <c r="E399" s="635"/>
      <c r="F399" s="664"/>
      <c r="G399" s="386"/>
      <c r="H399" s="648"/>
      <c r="I399" s="648"/>
      <c r="J399" s="386"/>
      <c r="K399" s="386"/>
      <c r="L399" s="386"/>
      <c r="M399" s="386"/>
      <c r="N399" s="728" t="s">
        <v>127</v>
      </c>
      <c r="O399" s="728"/>
      <c r="P399" s="386"/>
      <c r="Q399" s="386"/>
      <c r="R399" s="386"/>
      <c r="S399" s="386"/>
      <c r="T399" s="386"/>
      <c r="U399" s="386"/>
      <c r="V399" s="386"/>
      <c r="W399" s="386"/>
      <c r="X399" s="674"/>
      <c r="Y399" s="1406"/>
      <c r="Z399" s="838"/>
      <c r="AA399" s="838"/>
      <c r="AB399" s="1408">
        <v>800</v>
      </c>
      <c r="AC399" s="838"/>
      <c r="AD399" s="838"/>
      <c r="AE399" s="838"/>
      <c r="AF399" s="838"/>
      <c r="AG399" s="838"/>
      <c r="AH399" s="723"/>
      <c r="AI399" s="798"/>
      <c r="AJ399" s="388"/>
      <c r="AK399" s="388"/>
      <c r="AL399" s="388"/>
      <c r="AM399" s="388"/>
      <c r="AN399" s="388"/>
      <c r="AO399" s="388"/>
      <c r="AP399" s="866" t="s">
        <v>127</v>
      </c>
      <c r="AQ399" s="802"/>
      <c r="AR399" s="719"/>
      <c r="AS399" s="720"/>
      <c r="AT399" s="737">
        <v>2000</v>
      </c>
      <c r="AU399" s="872"/>
      <c r="AV399" s="870"/>
      <c r="AW399" s="870"/>
      <c r="AX399" s="720"/>
      <c r="AY399" s="720"/>
      <c r="AZ399" s="728" t="s">
        <v>127</v>
      </c>
      <c r="BA399" s="728"/>
      <c r="BB399" s="720"/>
      <c r="BC399" s="720"/>
      <c r="BD399" s="720"/>
      <c r="BE399" s="720"/>
      <c r="BF399" s="721"/>
      <c r="BG399" s="703"/>
    </row>
    <row r="400" spans="3:60" ht="100" customHeight="1" x14ac:dyDescent="1">
      <c r="D400" s="408"/>
      <c r="E400" s="635"/>
      <c r="F400" s="664"/>
      <c r="G400" s="386"/>
      <c r="H400" s="386"/>
      <c r="I400" s="386"/>
      <c r="J400" s="386"/>
      <c r="K400" s="386"/>
      <c r="L400" s="386"/>
      <c r="M400" s="386"/>
      <c r="N400" s="392"/>
      <c r="O400" s="392"/>
      <c r="P400" s="386"/>
      <c r="Q400" s="386"/>
      <c r="R400" s="386"/>
      <c r="S400" s="386"/>
      <c r="T400" s="386"/>
      <c r="U400" s="386"/>
      <c r="V400" s="386"/>
      <c r="W400" s="386"/>
      <c r="X400" s="674"/>
      <c r="Y400" s="1406"/>
      <c r="Z400" s="838"/>
      <c r="AA400" s="838"/>
      <c r="AB400" s="838"/>
      <c r="AC400" s="838"/>
      <c r="AD400" s="838"/>
      <c r="AE400" s="838"/>
      <c r="AF400" s="838"/>
      <c r="AG400" s="838"/>
      <c r="AH400" s="723"/>
      <c r="AI400" s="798"/>
      <c r="AJ400" s="388"/>
      <c r="AK400" s="388"/>
      <c r="AL400" s="388"/>
      <c r="AM400" s="388"/>
      <c r="AN400" s="388"/>
      <c r="AO400" s="388"/>
      <c r="AP400" s="860"/>
      <c r="AQ400" s="798"/>
      <c r="AR400" s="719"/>
      <c r="AS400" s="720"/>
      <c r="AT400" s="720"/>
      <c r="AU400" s="720"/>
      <c r="AV400" s="720"/>
      <c r="AW400" s="720"/>
      <c r="AX400" s="720"/>
      <c r="AY400" s="720"/>
      <c r="AZ400" s="392"/>
      <c r="BA400" s="392"/>
      <c r="BB400" s="720"/>
      <c r="BC400" s="720"/>
      <c r="BD400" s="720"/>
      <c r="BE400" s="720"/>
      <c r="BF400" s="721"/>
      <c r="BG400" s="703"/>
    </row>
    <row r="401" spans="4:59" ht="100" customHeight="1" thickBot="1" x14ac:dyDescent="1.05">
      <c r="D401" s="408"/>
      <c r="E401" s="635"/>
      <c r="F401" s="664"/>
      <c r="G401" s="386"/>
      <c r="H401" s="386"/>
      <c r="I401" s="386"/>
      <c r="J401" s="386"/>
      <c r="K401" s="386"/>
      <c r="L401" s="386"/>
      <c r="M401" s="386"/>
      <c r="N401" s="392"/>
      <c r="O401" s="392"/>
      <c r="P401" s="386"/>
      <c r="Q401" s="386"/>
      <c r="R401" s="386"/>
      <c r="S401" s="386"/>
      <c r="T401" s="386"/>
      <c r="U401" s="386"/>
      <c r="V401" s="386"/>
      <c r="W401" s="386"/>
      <c r="X401" s="674"/>
      <c r="Y401" s="1406"/>
      <c r="Z401" s="723"/>
      <c r="AA401" s="723"/>
      <c r="AB401" s="723"/>
      <c r="AC401" s="723"/>
      <c r="AD401" s="723"/>
      <c r="AE401" s="723"/>
      <c r="AF401" s="723"/>
      <c r="AG401" s="723"/>
      <c r="AH401" s="723"/>
      <c r="AI401" s="798"/>
      <c r="AJ401" s="388"/>
      <c r="AK401" s="388"/>
      <c r="AL401" s="388"/>
      <c r="AM401" s="388"/>
      <c r="AN401" s="388"/>
      <c r="AO401" s="388"/>
      <c r="AP401" s="860"/>
      <c r="AQ401" s="798"/>
      <c r="AR401" s="745"/>
      <c r="AS401" s="746"/>
      <c r="AT401" s="746"/>
      <c r="AU401" s="746"/>
      <c r="AV401" s="746"/>
      <c r="AW401" s="746"/>
      <c r="AX401" s="746"/>
      <c r="AY401" s="746"/>
      <c r="AZ401" s="873"/>
      <c r="BA401" s="873"/>
      <c r="BB401" s="746"/>
      <c r="BC401" s="746"/>
      <c r="BD401" s="746"/>
      <c r="BE401" s="746"/>
      <c r="BF401" s="747"/>
      <c r="BG401" s="703"/>
    </row>
    <row r="402" spans="4:59" ht="10" customHeight="1" thickTop="1" thickBot="1" x14ac:dyDescent="1.05">
      <c r="D402" s="408"/>
      <c r="E402" s="635"/>
      <c r="F402" s="664"/>
      <c r="G402" s="386"/>
      <c r="H402" s="386"/>
      <c r="I402" s="386"/>
      <c r="J402" s="386"/>
      <c r="K402" s="386"/>
      <c r="L402" s="386"/>
      <c r="M402" s="386"/>
      <c r="N402" s="392"/>
      <c r="O402" s="392"/>
      <c r="P402" s="386"/>
      <c r="Q402" s="386"/>
      <c r="R402" s="386"/>
      <c r="S402" s="386"/>
      <c r="T402" s="386"/>
      <c r="U402" s="386"/>
      <c r="V402" s="386"/>
      <c r="W402" s="386"/>
      <c r="X402" s="674"/>
      <c r="Y402" s="652"/>
      <c r="Z402" s="753"/>
      <c r="AA402" s="754"/>
      <c r="AB402" s="754"/>
      <c r="AC402" s="754"/>
      <c r="AD402" s="754"/>
      <c r="AE402" s="754"/>
      <c r="AF402" s="754"/>
      <c r="AG402" s="754"/>
      <c r="AH402" s="755"/>
      <c r="AI402" s="812"/>
      <c r="AJ402" s="813"/>
      <c r="AK402" s="814"/>
      <c r="AL402" s="814"/>
      <c r="AM402" s="814"/>
      <c r="AN402" s="814"/>
      <c r="AO402" s="814"/>
      <c r="AP402" s="814"/>
      <c r="AQ402" s="749"/>
      <c r="AR402" s="874"/>
      <c r="AS402" s="874"/>
      <c r="AT402" s="874"/>
      <c r="AU402" s="874"/>
      <c r="AV402" s="754"/>
      <c r="AW402" s="754"/>
      <c r="AX402" s="754"/>
      <c r="AY402" s="754"/>
      <c r="AZ402" s="754"/>
      <c r="BA402" s="754"/>
      <c r="BB402" s="754"/>
      <c r="BC402" s="754"/>
      <c r="BD402" s="754"/>
      <c r="BE402" s="754"/>
      <c r="BF402" s="754"/>
      <c r="BG402" s="703"/>
    </row>
    <row r="403" spans="4:59" ht="100" customHeight="1" thickTop="1" x14ac:dyDescent="1">
      <c r="D403" s="408"/>
      <c r="E403" s="663"/>
      <c r="F403" s="2087" t="s">
        <v>133</v>
      </c>
      <c r="G403" s="2054"/>
      <c r="H403" s="2054"/>
      <c r="I403" s="2054"/>
      <c r="J403" s="2054"/>
      <c r="K403" s="2054"/>
      <c r="L403" s="2054"/>
      <c r="M403" s="2054"/>
      <c r="N403" s="2054"/>
      <c r="O403" s="2054"/>
      <c r="P403" s="2054"/>
      <c r="Q403" s="2054"/>
      <c r="R403" s="2054"/>
      <c r="S403" s="2054"/>
      <c r="T403" s="2054"/>
      <c r="U403" s="2054"/>
      <c r="V403" s="2054"/>
      <c r="W403" s="2054"/>
      <c r="X403" s="2088"/>
      <c r="Y403" s="875"/>
      <c r="Z403" s="2064" t="s">
        <v>168</v>
      </c>
      <c r="AA403" s="2064"/>
      <c r="AB403" s="2064"/>
      <c r="AC403" s="2064"/>
      <c r="AD403" s="2064"/>
      <c r="AE403" s="2064"/>
      <c r="AF403" s="2064"/>
      <c r="AG403" s="2064"/>
      <c r="AH403" s="2065"/>
      <c r="AI403" s="2092" t="s">
        <v>186</v>
      </c>
      <c r="AJ403" s="2066"/>
      <c r="AK403" s="2066"/>
      <c r="AL403" s="2066"/>
      <c r="AM403" s="2066"/>
      <c r="AN403" s="2066"/>
      <c r="AO403" s="2066"/>
      <c r="AP403" s="2066"/>
      <c r="AQ403" s="2064" t="s">
        <v>171</v>
      </c>
      <c r="AR403" s="2064"/>
      <c r="AS403" s="2064"/>
      <c r="AT403" s="2064"/>
      <c r="AU403" s="2064"/>
      <c r="AV403" s="2064"/>
      <c r="AW403" s="2064"/>
      <c r="AX403" s="2064"/>
      <c r="AY403" s="2064"/>
      <c r="AZ403" s="2064"/>
      <c r="BA403" s="2064"/>
      <c r="BB403" s="2064"/>
      <c r="BC403" s="2064"/>
      <c r="BD403" s="2064"/>
      <c r="BE403" s="2064"/>
      <c r="BF403" s="2064"/>
      <c r="BG403" s="2065"/>
    </row>
    <row r="404" spans="4:59" ht="100" customHeight="1" thickBot="1" x14ac:dyDescent="1.05">
      <c r="D404" s="408"/>
      <c r="E404" s="635"/>
      <c r="F404" s="2054"/>
      <c r="G404" s="2054"/>
      <c r="H404" s="2054"/>
      <c r="I404" s="2054"/>
      <c r="J404" s="2054"/>
      <c r="K404" s="2054"/>
      <c r="L404" s="2054"/>
      <c r="M404" s="2054"/>
      <c r="N404" s="2054"/>
      <c r="O404" s="2054"/>
      <c r="P404" s="2054"/>
      <c r="Q404" s="2054"/>
      <c r="R404" s="2054"/>
      <c r="S404" s="2054"/>
      <c r="T404" s="2054"/>
      <c r="U404" s="2054"/>
      <c r="V404" s="2054"/>
      <c r="W404" s="2054"/>
      <c r="X404" s="2088"/>
      <c r="Y404" s="875"/>
      <c r="Z404" s="2086"/>
      <c r="AA404" s="2086"/>
      <c r="AB404" s="2086"/>
      <c r="AC404" s="2086"/>
      <c r="AD404" s="2086"/>
      <c r="AE404" s="2086"/>
      <c r="AF404" s="2086"/>
      <c r="AG404" s="2086"/>
      <c r="AH404" s="2091"/>
      <c r="AI404" s="2092"/>
      <c r="AJ404" s="2066"/>
      <c r="AK404" s="2066"/>
      <c r="AL404" s="2066"/>
      <c r="AM404" s="2066"/>
      <c r="AN404" s="2066"/>
      <c r="AO404" s="2066"/>
      <c r="AP404" s="2066"/>
      <c r="AQ404" s="1990"/>
      <c r="AR404" s="1990"/>
      <c r="AS404" s="1990"/>
      <c r="AT404" s="1990"/>
      <c r="AU404" s="1990"/>
      <c r="AV404" s="1990"/>
      <c r="AW404" s="1990"/>
      <c r="AX404" s="1990"/>
      <c r="AY404" s="1990"/>
      <c r="AZ404" s="1990"/>
      <c r="BA404" s="1990"/>
      <c r="BB404" s="1990"/>
      <c r="BC404" s="1990"/>
      <c r="BD404" s="1990"/>
      <c r="BE404" s="1990"/>
      <c r="BF404" s="1990"/>
      <c r="BG404" s="2084"/>
    </row>
    <row r="405" spans="4:59" ht="10" customHeight="1" thickTop="1" thickBot="1" x14ac:dyDescent="1.05">
      <c r="D405" s="408"/>
      <c r="E405" s="635"/>
      <c r="F405" s="829"/>
      <c r="G405" s="829"/>
      <c r="H405" s="829"/>
      <c r="I405" s="829"/>
      <c r="J405" s="829"/>
      <c r="K405" s="829"/>
      <c r="L405" s="829"/>
      <c r="M405" s="829"/>
      <c r="N405" s="829"/>
      <c r="O405" s="829"/>
      <c r="P405" s="829"/>
      <c r="Q405" s="829"/>
      <c r="R405" s="829"/>
      <c r="S405" s="829"/>
      <c r="T405" s="829"/>
      <c r="U405" s="829"/>
      <c r="V405" s="829"/>
      <c r="W405" s="829"/>
      <c r="X405" s="876"/>
      <c r="Y405" s="1409"/>
      <c r="Z405" s="766"/>
      <c r="AA405" s="766"/>
      <c r="AB405" s="766"/>
      <c r="AC405" s="766"/>
      <c r="AD405" s="766"/>
      <c r="AE405" s="766"/>
      <c r="AF405" s="766"/>
      <c r="AG405" s="766"/>
      <c r="AH405" s="766"/>
      <c r="AI405" s="795"/>
      <c r="AJ405" s="1376"/>
      <c r="AK405" s="1376"/>
      <c r="AL405" s="1376"/>
      <c r="AM405" s="1376"/>
      <c r="AN405" s="1376"/>
      <c r="AO405" s="1376"/>
      <c r="AP405" s="1376"/>
      <c r="AQ405" s="878"/>
      <c r="AR405" s="766"/>
      <c r="AS405" s="766"/>
      <c r="AT405" s="766"/>
      <c r="AU405" s="878"/>
      <c r="AV405" s="766"/>
      <c r="AW405" s="766"/>
      <c r="AX405" s="766"/>
      <c r="AY405" s="766"/>
      <c r="AZ405" s="766"/>
      <c r="BA405" s="766"/>
      <c r="BB405" s="766"/>
      <c r="BC405" s="766"/>
      <c r="BD405" s="766"/>
      <c r="BE405" s="766"/>
      <c r="BF405" s="766"/>
      <c r="BG405" s="903"/>
    </row>
    <row r="406" spans="4:59" ht="100" customHeight="1" thickTop="1" x14ac:dyDescent="1">
      <c r="D406" s="408"/>
      <c r="E406" s="635"/>
      <c r="F406" s="386"/>
      <c r="G406" s="386"/>
      <c r="H406" s="386"/>
      <c r="I406" s="386"/>
      <c r="J406" s="386"/>
      <c r="K406" s="386"/>
      <c r="L406" s="386"/>
      <c r="M406" s="386"/>
      <c r="N406" s="386"/>
      <c r="O406" s="386"/>
      <c r="P406" s="386"/>
      <c r="Q406" s="386"/>
      <c r="R406" s="386"/>
      <c r="S406" s="386"/>
      <c r="T406" s="386"/>
      <c r="U406" s="386"/>
      <c r="V406" s="386"/>
      <c r="W406" s="386"/>
      <c r="X406" s="674"/>
      <c r="Y406" s="1410"/>
      <c r="Z406" s="723"/>
      <c r="AA406" s="723"/>
      <c r="AB406" s="723"/>
      <c r="AC406" s="723"/>
      <c r="AD406" s="723"/>
      <c r="AE406" s="723"/>
      <c r="AF406" s="723"/>
      <c r="AG406" s="723"/>
      <c r="AH406" s="830"/>
      <c r="AI406" s="798"/>
      <c r="AJ406" s="1377"/>
      <c r="AK406" s="1378"/>
      <c r="AL406" s="1378"/>
      <c r="AM406" s="1378"/>
      <c r="AN406" s="1378"/>
      <c r="AO406" s="1378"/>
      <c r="AP406" s="1379"/>
      <c r="AQ406" s="795"/>
      <c r="AR406" s="720"/>
      <c r="AS406" s="720"/>
      <c r="AT406" s="720"/>
      <c r="AU406" s="720"/>
      <c r="AV406" s="720"/>
      <c r="AW406" s="720"/>
      <c r="AX406" s="720"/>
      <c r="AY406" s="720"/>
      <c r="AZ406" s="720"/>
      <c r="BA406" s="720"/>
      <c r="BB406" s="720"/>
      <c r="BC406" s="720"/>
      <c r="BD406" s="720"/>
      <c r="BE406" s="720"/>
      <c r="BF406" s="711"/>
      <c r="BG406" s="795"/>
    </row>
    <row r="407" spans="4:59" ht="100" customHeight="1" x14ac:dyDescent="1">
      <c r="D407" s="408"/>
      <c r="E407" s="635"/>
      <c r="F407" s="664"/>
      <c r="G407" s="386"/>
      <c r="H407" s="386"/>
      <c r="I407" s="386"/>
      <c r="J407" s="386"/>
      <c r="K407" s="386"/>
      <c r="L407" s="386"/>
      <c r="M407" s="386"/>
      <c r="N407" s="598"/>
      <c r="O407" s="598"/>
      <c r="P407" s="598"/>
      <c r="Q407" s="598"/>
      <c r="R407" s="386"/>
      <c r="S407" s="386"/>
      <c r="T407" s="386"/>
      <c r="U407" s="386"/>
      <c r="V407" s="386"/>
      <c r="W407" s="386"/>
      <c r="X407" s="674"/>
      <c r="Y407" s="1410"/>
      <c r="Z407" s="838"/>
      <c r="AA407" s="838"/>
      <c r="AB407" s="838"/>
      <c r="AC407" s="838"/>
      <c r="AD407" s="838"/>
      <c r="AE407" s="838"/>
      <c r="AF407" s="838"/>
      <c r="AG407" s="838"/>
      <c r="AH407" s="723"/>
      <c r="AI407" s="798"/>
      <c r="AJ407" s="1381"/>
      <c r="AK407" s="1382"/>
      <c r="AL407" s="1382"/>
      <c r="AM407" s="1382"/>
      <c r="AN407" s="1382"/>
      <c r="AO407" s="1382"/>
      <c r="AP407" s="1383"/>
      <c r="AQ407" s="798"/>
      <c r="AR407" s="720"/>
      <c r="AS407" s="720"/>
      <c r="AT407" s="720"/>
      <c r="AU407" s="720"/>
      <c r="AV407" s="720"/>
      <c r="AW407" s="720"/>
      <c r="AX407" s="720"/>
      <c r="AY407" s="720"/>
      <c r="AZ407" s="720"/>
      <c r="BA407" s="720"/>
      <c r="BB407" s="720"/>
      <c r="BC407" s="720"/>
      <c r="BD407" s="720"/>
      <c r="BE407" s="720"/>
      <c r="BF407" s="721"/>
      <c r="BG407" s="798"/>
    </row>
    <row r="408" spans="4:59" ht="100" customHeight="1" x14ac:dyDescent="1">
      <c r="D408" s="408"/>
      <c r="E408" s="635"/>
      <c r="F408" s="692"/>
      <c r="G408" s="506"/>
      <c r="H408" s="506"/>
      <c r="I408" s="506"/>
      <c r="J408" s="386"/>
      <c r="K408" s="386"/>
      <c r="L408" s="598"/>
      <c r="M408" s="598"/>
      <c r="N408" s="598"/>
      <c r="O408" s="598"/>
      <c r="P408" s="598"/>
      <c r="Q408" s="598"/>
      <c r="R408" s="386"/>
      <c r="S408" s="386"/>
      <c r="T408" s="386"/>
      <c r="U408" s="386"/>
      <c r="V408" s="386"/>
      <c r="W408" s="386"/>
      <c r="X408" s="674"/>
      <c r="Y408" s="1410"/>
      <c r="Z408" s="951"/>
      <c r="AA408" s="951"/>
      <c r="AB408" s="951"/>
      <c r="AC408" s="951"/>
      <c r="AD408" s="951"/>
      <c r="AE408" s="951"/>
      <c r="AF408" s="951"/>
      <c r="AG408" s="951"/>
      <c r="AH408" s="734"/>
      <c r="AI408" s="802"/>
      <c r="AJ408" s="1381"/>
      <c r="AK408" s="1382"/>
      <c r="AL408" s="1382"/>
      <c r="AM408" s="1382"/>
      <c r="AN408" s="1382"/>
      <c r="AO408" s="1382"/>
      <c r="AP408" s="1384"/>
      <c r="AQ408" s="802"/>
      <c r="AR408" s="730"/>
      <c r="AS408" s="730"/>
      <c r="AT408" s="730"/>
      <c r="AU408" s="730"/>
      <c r="AV408" s="730"/>
      <c r="AW408" s="730"/>
      <c r="AX408" s="730"/>
      <c r="AY408" s="730"/>
      <c r="AZ408" s="730"/>
      <c r="BA408" s="730"/>
      <c r="BB408" s="730"/>
      <c r="BC408" s="730"/>
      <c r="BD408" s="730"/>
      <c r="BE408" s="730"/>
      <c r="BF408" s="721"/>
      <c r="BG408" s="798"/>
    </row>
    <row r="409" spans="4:59" ht="100" customHeight="1" x14ac:dyDescent="1">
      <c r="D409" s="408"/>
      <c r="E409" s="635"/>
      <c r="F409" s="692"/>
      <c r="G409" s="506"/>
      <c r="H409" s="727" t="s">
        <v>196</v>
      </c>
      <c r="I409" s="727"/>
      <c r="J409" s="682"/>
      <c r="K409" s="682"/>
      <c r="L409" s="598"/>
      <c r="M409" s="598"/>
      <c r="N409" s="682"/>
      <c r="O409" s="682"/>
      <c r="P409" s="682"/>
      <c r="Q409" s="682"/>
      <c r="R409" s="682"/>
      <c r="S409" s="682"/>
      <c r="T409" s="682"/>
      <c r="U409" s="682"/>
      <c r="V409" s="682"/>
      <c r="W409" s="682"/>
      <c r="X409" s="691"/>
      <c r="Y409" s="1409"/>
      <c r="Z409" s="951"/>
      <c r="AA409" s="951"/>
      <c r="AB409" s="868" t="s">
        <v>139</v>
      </c>
      <c r="AC409" s="868"/>
      <c r="AD409" s="868"/>
      <c r="AE409" s="868"/>
      <c r="AF409" s="868"/>
      <c r="AG409" s="951"/>
      <c r="AH409" s="734"/>
      <c r="AI409" s="802"/>
      <c r="AJ409" s="1381"/>
      <c r="AK409" s="1401" t="s">
        <v>210</v>
      </c>
      <c r="AL409" s="1385"/>
      <c r="AM409" s="1385"/>
      <c r="AN409" s="1385"/>
      <c r="AO409" s="1385"/>
      <c r="AP409" s="1384"/>
      <c r="AQ409" s="802"/>
      <c r="AR409" s="730"/>
      <c r="AS409" s="870" t="s">
        <v>138</v>
      </c>
      <c r="AT409" s="730"/>
      <c r="AU409" s="870"/>
      <c r="AV409" s="870"/>
      <c r="AW409" s="730"/>
      <c r="AX409" s="730"/>
      <c r="AY409" s="730"/>
      <c r="AZ409" s="730"/>
      <c r="BA409" s="730"/>
      <c r="BB409" s="730"/>
      <c r="BC409" s="737"/>
      <c r="BD409" s="730"/>
      <c r="BE409" s="730"/>
      <c r="BF409" s="731"/>
      <c r="BG409" s="798"/>
    </row>
    <row r="410" spans="4:59" ht="100" customHeight="1" x14ac:dyDescent="1">
      <c r="D410" s="408"/>
      <c r="E410" s="635"/>
      <c r="F410" s="664"/>
      <c r="G410" s="386"/>
      <c r="H410" s="648">
        <f>4900+4900</f>
        <v>9800</v>
      </c>
      <c r="I410" s="648"/>
      <c r="J410" s="780"/>
      <c r="K410" s="780"/>
      <c r="L410" s="780"/>
      <c r="M410" s="780"/>
      <c r="N410" s="780"/>
      <c r="O410" s="780"/>
      <c r="P410" s="682"/>
      <c r="Q410" s="682"/>
      <c r="R410" s="780"/>
      <c r="S410" s="780"/>
      <c r="T410" s="780"/>
      <c r="U410" s="780"/>
      <c r="V410" s="780"/>
      <c r="W410" s="780"/>
      <c r="X410" s="891"/>
      <c r="Y410" s="1411"/>
      <c r="Z410" s="838"/>
      <c r="AA410" s="838"/>
      <c r="AB410" s="1408">
        <v>800</v>
      </c>
      <c r="AC410" s="838"/>
      <c r="AD410" s="838"/>
      <c r="AE410" s="838"/>
      <c r="AF410" s="838"/>
      <c r="AG410" s="838"/>
      <c r="AH410" s="723"/>
      <c r="AI410" s="798"/>
      <c r="AJ410" s="1386"/>
      <c r="AK410" s="1387"/>
      <c r="AL410" s="1387">
        <v>4700</v>
      </c>
      <c r="AM410" s="1385"/>
      <c r="AN410" s="1385"/>
      <c r="AO410" s="1385"/>
      <c r="AP410" s="1388"/>
      <c r="AQ410" s="798"/>
      <c r="AR410" s="720"/>
      <c r="AS410" s="872">
        <v>2000</v>
      </c>
      <c r="AT410" s="737">
        <v>2000</v>
      </c>
      <c r="AU410" s="870"/>
      <c r="AV410" s="870"/>
      <c r="AW410" s="720"/>
      <c r="AX410" s="720"/>
      <c r="AY410" s="720"/>
      <c r="AZ410" s="720"/>
      <c r="BA410" s="720"/>
      <c r="BB410" s="720"/>
      <c r="BC410" s="720"/>
      <c r="BD410" s="720"/>
      <c r="BE410" s="720"/>
      <c r="BF410" s="721"/>
      <c r="BG410" s="798"/>
    </row>
    <row r="411" spans="4:59" ht="100" customHeight="1" x14ac:dyDescent="1">
      <c r="D411" s="408"/>
      <c r="E411" s="635"/>
      <c r="F411" s="664"/>
      <c r="G411" s="386"/>
      <c r="H411" s="386"/>
      <c r="I411" s="386"/>
      <c r="J411" s="386"/>
      <c r="K411" s="386"/>
      <c r="L411" s="386"/>
      <c r="M411" s="386"/>
      <c r="N411" s="598"/>
      <c r="O411" s="598"/>
      <c r="P411" s="598"/>
      <c r="Q411" s="598"/>
      <c r="R411" s="386"/>
      <c r="S411" s="386"/>
      <c r="T411" s="386"/>
      <c r="U411" s="386"/>
      <c r="V411" s="386"/>
      <c r="W411" s="386"/>
      <c r="X411" s="674"/>
      <c r="Y411" s="1410"/>
      <c r="Z411" s="838"/>
      <c r="AA411" s="838"/>
      <c r="AB411" s="838"/>
      <c r="AC411" s="838"/>
      <c r="AD411" s="838"/>
      <c r="AE411" s="838"/>
      <c r="AF411" s="838"/>
      <c r="AG411" s="838"/>
      <c r="AH411" s="723"/>
      <c r="AI411" s="798"/>
      <c r="AJ411" s="1381"/>
      <c r="AK411" s="1382"/>
      <c r="AL411" s="1382"/>
      <c r="AM411" s="1382"/>
      <c r="AN411" s="1382"/>
      <c r="AO411" s="1382"/>
      <c r="AP411" s="1383"/>
      <c r="AQ411" s="798"/>
      <c r="AR411" s="720"/>
      <c r="AS411" s="720"/>
      <c r="AT411" s="720"/>
      <c r="AU411" s="720"/>
      <c r="AV411" s="720"/>
      <c r="AW411" s="720"/>
      <c r="AX411" s="720"/>
      <c r="AY411" s="720"/>
      <c r="AZ411" s="720"/>
      <c r="BA411" s="720"/>
      <c r="BB411" s="720"/>
      <c r="BC411" s="720"/>
      <c r="BD411" s="720"/>
      <c r="BE411" s="720"/>
      <c r="BF411" s="721"/>
      <c r="BG411" s="798"/>
    </row>
    <row r="412" spans="4:59" ht="100" customHeight="1" thickBot="1" x14ac:dyDescent="1.05">
      <c r="D412" s="408"/>
      <c r="E412" s="899"/>
      <c r="F412" s="676"/>
      <c r="G412" s="658"/>
      <c r="H412" s="658"/>
      <c r="I412" s="658"/>
      <c r="J412" s="658"/>
      <c r="K412" s="658"/>
      <c r="L412" s="658"/>
      <c r="M412" s="658"/>
      <c r="N412" s="658"/>
      <c r="O412" s="658"/>
      <c r="P412" s="658"/>
      <c r="Q412" s="658"/>
      <c r="R412" s="658"/>
      <c r="S412" s="658"/>
      <c r="T412" s="658"/>
      <c r="U412" s="658"/>
      <c r="V412" s="658"/>
      <c r="W412" s="658"/>
      <c r="X412" s="678"/>
      <c r="Y412" s="1410"/>
      <c r="Z412" s="723"/>
      <c r="AA412" s="723"/>
      <c r="AB412" s="723"/>
      <c r="AC412" s="723"/>
      <c r="AD412" s="723"/>
      <c r="AE412" s="723"/>
      <c r="AF412" s="723"/>
      <c r="AG412" s="723"/>
      <c r="AH412" s="723"/>
      <c r="AI412" s="798"/>
      <c r="AJ412" s="1389"/>
      <c r="AK412" s="1390"/>
      <c r="AL412" s="1390"/>
      <c r="AM412" s="1390"/>
      <c r="AN412" s="1390"/>
      <c r="AO412" s="1390"/>
      <c r="AP412" s="1391"/>
      <c r="AQ412" s="812"/>
      <c r="AR412" s="746"/>
      <c r="AS412" s="746"/>
      <c r="AT412" s="746"/>
      <c r="AU412" s="746"/>
      <c r="AV412" s="746"/>
      <c r="AW412" s="746"/>
      <c r="AX412" s="746"/>
      <c r="AY412" s="746"/>
      <c r="AZ412" s="746"/>
      <c r="BA412" s="746"/>
      <c r="BB412" s="746"/>
      <c r="BC412" s="746"/>
      <c r="BD412" s="746"/>
      <c r="BE412" s="746"/>
      <c r="BF412" s="747"/>
      <c r="BG412" s="798"/>
    </row>
    <row r="413" spans="4:59" ht="10" customHeight="1" thickTop="1" thickBot="1" x14ac:dyDescent="1.05">
      <c r="D413" s="408"/>
      <c r="E413" s="638"/>
      <c r="F413" s="631"/>
      <c r="G413" s="632"/>
      <c r="H413" s="632"/>
      <c r="I413" s="632"/>
      <c r="J413" s="632"/>
      <c r="K413" s="632"/>
      <c r="L413" s="632"/>
      <c r="M413" s="632"/>
      <c r="N413" s="632"/>
      <c r="O413" s="632"/>
      <c r="P413" s="632"/>
      <c r="Q413" s="632"/>
      <c r="R413" s="632"/>
      <c r="S413" s="632"/>
      <c r="T413" s="632"/>
      <c r="U413" s="632"/>
      <c r="V413" s="632"/>
      <c r="W413" s="632"/>
      <c r="X413" s="632"/>
      <c r="Y413" s="1412"/>
      <c r="Z413" s="754"/>
      <c r="AA413" s="754"/>
      <c r="AB413" s="754"/>
      <c r="AC413" s="754"/>
      <c r="AD413" s="754"/>
      <c r="AE413" s="754"/>
      <c r="AF413" s="754"/>
      <c r="AG413" s="754"/>
      <c r="AH413" s="754"/>
      <c r="AI413" s="812"/>
      <c r="AJ413" s="1392"/>
      <c r="AK413" s="874"/>
      <c r="AL413" s="753"/>
      <c r="AM413" s="874"/>
      <c r="AN413" s="874"/>
      <c r="AO413" s="903"/>
      <c r="AP413" s="749"/>
      <c r="AQ413" s="874"/>
      <c r="AR413" s="874"/>
      <c r="AS413" s="874"/>
      <c r="AT413" s="874"/>
      <c r="AU413" s="874"/>
      <c r="AV413" s="874"/>
      <c r="AW413" s="874"/>
      <c r="AX413" s="874"/>
      <c r="AY413" s="874"/>
      <c r="AZ413" s="874"/>
      <c r="BA413" s="874"/>
      <c r="BB413" s="874"/>
      <c r="BC413" s="874"/>
      <c r="BD413" s="874"/>
      <c r="BE413" s="874"/>
      <c r="BF413" s="748"/>
      <c r="BG413" s="812"/>
    </row>
    <row r="414" spans="4:59" ht="100" customHeight="1" thickTop="1" x14ac:dyDescent="1">
      <c r="E414" s="408"/>
      <c r="AO414" s="408"/>
      <c r="BG414" s="408"/>
    </row>
    <row r="417" spans="3:60" s="1426" customFormat="1" ht="190" customHeight="1" x14ac:dyDescent="1.2">
      <c r="C417" s="1431"/>
      <c r="F417" s="1457" t="s">
        <v>219</v>
      </c>
      <c r="G417" s="1457"/>
      <c r="H417" s="1460"/>
      <c r="I417" s="1435"/>
      <c r="J417" s="1435"/>
      <c r="K417" s="1435"/>
      <c r="L417" s="1435"/>
      <c r="M417" s="1435"/>
      <c r="N417" s="1435"/>
      <c r="O417" s="1435"/>
      <c r="P417" s="1435"/>
      <c r="Q417" s="1435"/>
      <c r="R417" s="1435"/>
      <c r="S417" s="1435"/>
      <c r="T417" s="1435"/>
      <c r="U417" s="1435"/>
      <c r="V417" s="1435"/>
      <c r="W417" s="1435"/>
      <c r="X417" s="1435"/>
      <c r="Y417" s="1435"/>
      <c r="Z417" s="1435"/>
      <c r="AA417" s="1435"/>
      <c r="AB417" s="1435"/>
      <c r="AC417" s="1435"/>
      <c r="AD417" s="1435"/>
      <c r="AE417" s="1435"/>
      <c r="AF417" s="1435"/>
      <c r="AG417" s="1435"/>
      <c r="AH417" s="1435"/>
      <c r="AI417" s="1435"/>
      <c r="AJ417" s="1435"/>
      <c r="AK417" s="1435"/>
      <c r="AL417" s="1435"/>
      <c r="AM417" s="1435"/>
      <c r="AN417" s="1435"/>
      <c r="AO417" s="1435"/>
      <c r="AP417" s="1435"/>
      <c r="AQ417" s="1435"/>
      <c r="AR417" s="1435"/>
      <c r="AS417" s="1435"/>
      <c r="AT417" s="1435"/>
      <c r="AU417" s="1435"/>
      <c r="AV417" s="1435"/>
      <c r="AW417" s="1435"/>
      <c r="AX417" s="1435"/>
      <c r="AY417" s="1435"/>
      <c r="AZ417" s="1435"/>
      <c r="BA417" s="1435"/>
      <c r="BB417" s="1435"/>
      <c r="BC417" s="1435"/>
      <c r="BD417" s="1435"/>
      <c r="BE417" s="1435"/>
      <c r="BF417" s="1435"/>
      <c r="BG417" s="1435"/>
      <c r="BH417" s="1435"/>
    </row>
    <row r="418" spans="3:60" s="1426" customFormat="1" ht="100" customHeight="1" x14ac:dyDescent="1.2">
      <c r="C418" s="1431"/>
      <c r="F418" s="1429" t="s">
        <v>220</v>
      </c>
      <c r="G418" s="1429"/>
      <c r="H418" s="1429"/>
      <c r="I418" s="1429"/>
      <c r="J418" s="1429"/>
      <c r="K418" s="1429"/>
      <c r="L418" s="1429"/>
      <c r="M418" s="1429"/>
      <c r="N418" s="1429"/>
      <c r="O418" s="1429"/>
      <c r="P418" s="1429"/>
      <c r="Q418" s="1429"/>
      <c r="R418" s="1429"/>
      <c r="S418" s="1429"/>
      <c r="T418" s="1429"/>
      <c r="U418" s="1429"/>
      <c r="V418" s="1429"/>
      <c r="W418" s="1429"/>
      <c r="X418" s="1429"/>
      <c r="Y418" s="1429"/>
      <c r="Z418" s="1429"/>
      <c r="BF418" s="1431"/>
    </row>
    <row r="419" spans="3:60" ht="100" customHeight="1" thickBot="1" x14ac:dyDescent="1.05">
      <c r="AJ419" s="793"/>
      <c r="AK419" s="793"/>
      <c r="AL419" s="793"/>
      <c r="AM419" s="793"/>
      <c r="AN419" s="793"/>
      <c r="AO419" s="793"/>
      <c r="AP419" s="793"/>
      <c r="BG419" s="408"/>
    </row>
    <row r="420" spans="3:60" ht="10" customHeight="1" thickTop="1" thickBot="1" x14ac:dyDescent="1.05">
      <c r="E420" s="577"/>
      <c r="F420" s="512"/>
      <c r="G420" s="513"/>
      <c r="H420" s="513"/>
      <c r="I420" s="513"/>
      <c r="J420" s="513"/>
      <c r="K420" s="513"/>
      <c r="L420" s="513"/>
      <c r="M420" s="513"/>
      <c r="N420" s="513"/>
      <c r="O420" s="513"/>
      <c r="P420" s="513"/>
      <c r="Q420" s="513"/>
      <c r="R420" s="513"/>
      <c r="S420" s="513"/>
      <c r="T420" s="513"/>
      <c r="U420" s="513"/>
      <c r="V420" s="513"/>
      <c r="W420" s="513"/>
      <c r="X420" s="513"/>
      <c r="Y420" s="513"/>
      <c r="Z420" s="513"/>
      <c r="AA420" s="513"/>
      <c r="AB420" s="513"/>
      <c r="AC420" s="513"/>
      <c r="AD420" s="513"/>
      <c r="AE420" s="513"/>
      <c r="AF420" s="513"/>
      <c r="AG420" s="513"/>
      <c r="AH420" s="511"/>
      <c r="AI420" s="577"/>
      <c r="AJ420" s="388"/>
      <c r="AK420" s="388"/>
      <c r="AL420" s="388"/>
      <c r="AM420" s="388"/>
      <c r="AN420" s="388"/>
      <c r="AO420" s="388"/>
      <c r="AP420" s="388"/>
      <c r="AQ420" s="575"/>
      <c r="AR420" s="575"/>
      <c r="AS420" s="561"/>
      <c r="AT420" s="561"/>
      <c r="AU420" s="575"/>
      <c r="AV420" s="561"/>
      <c r="AW420" s="561"/>
      <c r="AX420" s="561"/>
      <c r="AY420" s="561"/>
      <c r="AZ420" s="575"/>
      <c r="BA420" s="561"/>
      <c r="BB420" s="561"/>
      <c r="BC420" s="561"/>
      <c r="BD420" s="574"/>
      <c r="BE420" s="575"/>
      <c r="BF420" s="575"/>
      <c r="BG420" s="576"/>
      <c r="BH420" s="356"/>
    </row>
    <row r="421" spans="3:60" ht="100" customHeight="1" thickTop="1" thickBot="1" x14ac:dyDescent="1.05">
      <c r="E421" s="578"/>
      <c r="F421" s="568"/>
      <c r="G421" s="386"/>
      <c r="H421" s="386"/>
      <c r="I421" s="386"/>
      <c r="J421" s="386"/>
      <c r="K421" s="386"/>
      <c r="L421" s="386"/>
      <c r="M421" s="386"/>
      <c r="N421" s="392"/>
      <c r="O421" s="392"/>
      <c r="P421" s="386"/>
      <c r="Q421" s="386"/>
      <c r="R421" s="386"/>
      <c r="S421" s="386"/>
      <c r="T421" s="386"/>
      <c r="U421" s="386"/>
      <c r="V421" s="720"/>
      <c r="W421" s="720"/>
      <c r="X421" s="720"/>
      <c r="Y421" s="720"/>
      <c r="Z421" s="720"/>
      <c r="AA421" s="720"/>
      <c r="AB421" s="720"/>
      <c r="AC421" s="720"/>
      <c r="AD421" s="720"/>
      <c r="AE421" s="720"/>
      <c r="AF421" s="720"/>
      <c r="AG421" s="720"/>
      <c r="AH421" s="1036"/>
      <c r="AI421" s="578"/>
      <c r="AJ421" s="388"/>
      <c r="AK421" s="388"/>
      <c r="AL421" s="392"/>
      <c r="AM421" s="392"/>
      <c r="AN421" s="392"/>
      <c r="AO421" s="799"/>
      <c r="AP421" s="796"/>
      <c r="AQ421" s="577"/>
      <c r="AR421" s="386"/>
      <c r="AS421" s="386"/>
      <c r="AT421" s="386"/>
      <c r="AU421" s="386"/>
      <c r="AV421" s="386"/>
      <c r="AW421" s="386"/>
      <c r="AX421" s="386"/>
      <c r="AY421" s="386"/>
      <c r="AZ421" s="392"/>
      <c r="BA421" s="392"/>
      <c r="BB421" s="2215" t="s">
        <v>208</v>
      </c>
      <c r="BC421" s="386"/>
      <c r="BD421" s="1867"/>
      <c r="BE421" s="1867"/>
      <c r="BF421" s="1920"/>
      <c r="BG421" s="560"/>
      <c r="BH421" s="356"/>
    </row>
    <row r="422" spans="3:60" ht="100" customHeight="1" thickTop="1" x14ac:dyDescent="1">
      <c r="E422" s="578"/>
      <c r="F422" s="568"/>
      <c r="G422" s="386"/>
      <c r="H422" s="386"/>
      <c r="I422" s="386"/>
      <c r="J422" s="386"/>
      <c r="K422" s="386"/>
      <c r="L422" s="386"/>
      <c r="M422" s="386"/>
      <c r="N422" s="392"/>
      <c r="O422" s="392"/>
      <c r="P422" s="386"/>
      <c r="Q422" s="386"/>
      <c r="R422" s="386"/>
      <c r="S422" s="386"/>
      <c r="T422" s="386"/>
      <c r="U422" s="386"/>
      <c r="V422" s="720"/>
      <c r="W422" s="720"/>
      <c r="X422" s="720"/>
      <c r="Y422" s="720"/>
      <c r="Z422" s="720"/>
      <c r="AA422" s="720"/>
      <c r="AB422" s="720"/>
      <c r="AC422" s="720"/>
      <c r="AD422" s="720"/>
      <c r="AE422" s="720"/>
      <c r="AF422" s="720"/>
      <c r="AG422" s="720"/>
      <c r="AH422" s="1036"/>
      <c r="AI422" s="578"/>
      <c r="AJ422" s="388"/>
      <c r="AK422" s="388"/>
      <c r="AL422" s="392"/>
      <c r="AM422" s="392"/>
      <c r="AN422" s="392"/>
      <c r="AO422" s="799"/>
      <c r="AP422" s="796"/>
      <c r="AQ422" s="577"/>
      <c r="AR422" s="506"/>
      <c r="AS422" s="506"/>
      <c r="AT422" s="506"/>
      <c r="AU422" s="506"/>
      <c r="AV422" s="506"/>
      <c r="AW422" s="506"/>
      <c r="AX422" s="506"/>
      <c r="AY422" s="506"/>
      <c r="AZ422" s="392"/>
      <c r="BA422" s="392"/>
      <c r="BB422" s="2215"/>
      <c r="BC422" s="386"/>
      <c r="BD422" s="1867"/>
      <c r="BE422" s="1867"/>
      <c r="BF422" s="1920"/>
      <c r="BG422" s="1413"/>
      <c r="BH422" s="356"/>
    </row>
    <row r="423" spans="3:60" ht="100" customHeight="1" x14ac:dyDescent="1">
      <c r="E423" s="578"/>
      <c r="F423" s="688"/>
      <c r="G423" s="506"/>
      <c r="H423" s="506"/>
      <c r="I423" s="506"/>
      <c r="J423" s="506"/>
      <c r="K423" s="506"/>
      <c r="L423" s="506"/>
      <c r="M423" s="506"/>
      <c r="N423" s="732"/>
      <c r="O423" s="732"/>
      <c r="P423" s="506"/>
      <c r="Q423" s="506"/>
      <c r="R423" s="506"/>
      <c r="S423" s="506"/>
      <c r="T423" s="506"/>
      <c r="U423" s="506"/>
      <c r="V423" s="730"/>
      <c r="W423" s="730"/>
      <c r="X423" s="730"/>
      <c r="Y423" s="730"/>
      <c r="Z423" s="730"/>
      <c r="AA423" s="730"/>
      <c r="AB423" s="730"/>
      <c r="AC423" s="730"/>
      <c r="AD423" s="730"/>
      <c r="AE423" s="730"/>
      <c r="AF423" s="730"/>
      <c r="AG423" s="730"/>
      <c r="AH423" s="1040"/>
      <c r="AI423" s="1041"/>
      <c r="AJ423" s="869"/>
      <c r="AK423" s="869"/>
      <c r="AL423" s="732"/>
      <c r="AM423" s="732"/>
      <c r="AN423" s="732"/>
      <c r="AO423" s="803"/>
      <c r="AP423" s="804"/>
      <c r="AQ423" s="578"/>
      <c r="AR423" s="506"/>
      <c r="AS423" s="506"/>
      <c r="AT423" s="506"/>
      <c r="AU423" s="506"/>
      <c r="AV423" s="506"/>
      <c r="AW423" s="506"/>
      <c r="AX423" s="506"/>
      <c r="AY423" s="506"/>
      <c r="AZ423" s="1414"/>
      <c r="BA423" s="1414"/>
      <c r="BB423" s="2215"/>
      <c r="BC423" s="579"/>
      <c r="BD423" s="1867"/>
      <c r="BE423" s="1867"/>
      <c r="BF423" s="1920"/>
      <c r="BG423" s="588"/>
      <c r="BH423" s="573"/>
    </row>
    <row r="424" spans="3:60" ht="100" customHeight="1" thickBot="1" x14ac:dyDescent="1.05">
      <c r="E424" s="578"/>
      <c r="F424" s="688"/>
      <c r="G424" s="506"/>
      <c r="H424" s="506"/>
      <c r="I424" s="506"/>
      <c r="J424" s="648"/>
      <c r="K424" s="648"/>
      <c r="L424" s="506"/>
      <c r="M424" s="506"/>
      <c r="N424" s="728" t="s">
        <v>175</v>
      </c>
      <c r="O424" s="728"/>
      <c r="P424" s="506"/>
      <c r="Q424" s="506"/>
      <c r="R424" s="506"/>
      <c r="S424" s="506"/>
      <c r="T424" s="506"/>
      <c r="U424" s="506"/>
      <c r="V424" s="730"/>
      <c r="W424" s="730"/>
      <c r="X424" s="2071"/>
      <c r="Y424" s="2071"/>
      <c r="Z424" s="2071"/>
      <c r="AA424" s="2071"/>
      <c r="AB424" s="2071"/>
      <c r="AC424" s="2071"/>
      <c r="AD424" s="2071"/>
      <c r="AE424" s="2071"/>
      <c r="AF424" s="2071"/>
      <c r="AG424" s="730"/>
      <c r="AH424" s="1040"/>
      <c r="AI424" s="1041"/>
      <c r="AJ424" s="2112" t="s">
        <v>124</v>
      </c>
      <c r="AK424" s="2056"/>
      <c r="AL424" s="2056"/>
      <c r="AM424" s="2056"/>
      <c r="AN424" s="2056"/>
      <c r="AO424" s="803"/>
      <c r="AP424" s="804" t="s">
        <v>178</v>
      </c>
      <c r="AQ424" s="578"/>
      <c r="AR424" s="506"/>
      <c r="AS424" s="506"/>
      <c r="AT424" s="506"/>
      <c r="AU424" s="506"/>
      <c r="AV424" s="506"/>
      <c r="AW424" s="506"/>
      <c r="AX424" s="506"/>
      <c r="AY424" s="506"/>
      <c r="AZ424" s="1414"/>
      <c r="BA424" s="1414"/>
      <c r="BB424" s="2215"/>
      <c r="BC424" s="579"/>
      <c r="BD424" s="1867"/>
      <c r="BE424" s="1867"/>
      <c r="BF424" s="1920"/>
      <c r="BG424" s="1415"/>
      <c r="BH424" s="573"/>
    </row>
    <row r="425" spans="3:60" ht="100" customHeight="1" thickTop="1" x14ac:dyDescent="1">
      <c r="E425" s="578"/>
      <c r="F425" s="568"/>
      <c r="G425" s="386"/>
      <c r="H425" s="386"/>
      <c r="I425" s="386"/>
      <c r="J425" s="386"/>
      <c r="K425" s="386"/>
      <c r="L425" s="386"/>
      <c r="M425" s="386"/>
      <c r="N425" s="728" t="s">
        <v>127</v>
      </c>
      <c r="O425" s="728"/>
      <c r="P425" s="386"/>
      <c r="Q425" s="386"/>
      <c r="R425" s="386"/>
      <c r="S425" s="386"/>
      <c r="T425" s="386"/>
      <c r="U425" s="386"/>
      <c r="V425" s="720"/>
      <c r="W425" s="720"/>
      <c r="X425" s="2113"/>
      <c r="Y425" s="2113"/>
      <c r="Z425" s="2216"/>
      <c r="AA425" s="2216"/>
      <c r="AB425" s="2216"/>
      <c r="AC425" s="2216"/>
      <c r="AD425" s="2216"/>
      <c r="AE425" s="2216"/>
      <c r="AF425" s="2216"/>
      <c r="AG425" s="1042"/>
      <c r="AH425" s="1036"/>
      <c r="AI425" s="578"/>
      <c r="AJ425" s="388"/>
      <c r="AK425" s="388"/>
      <c r="AL425" s="392"/>
      <c r="AM425" s="392"/>
      <c r="AN425" s="392"/>
      <c r="AO425" s="799"/>
      <c r="AP425" s="804" t="s">
        <v>127</v>
      </c>
      <c r="AQ425" s="578"/>
      <c r="AR425" s="506"/>
      <c r="AS425" s="506"/>
      <c r="AT425" s="506"/>
      <c r="AU425" s="506"/>
      <c r="AV425" s="506"/>
      <c r="AW425" s="506"/>
      <c r="AX425" s="506"/>
      <c r="AY425" s="506"/>
      <c r="AZ425" s="732" t="s">
        <v>175</v>
      </c>
      <c r="BA425" s="732"/>
      <c r="BB425" s="2215"/>
      <c r="BC425" s="579"/>
      <c r="BD425" s="1867"/>
      <c r="BE425" s="1867"/>
      <c r="BF425" s="1920"/>
      <c r="BG425" s="588"/>
      <c r="BH425" s="1370"/>
    </row>
    <row r="426" spans="3:60" ht="100" customHeight="1" thickBot="1" x14ac:dyDescent="1.05">
      <c r="E426" s="578"/>
      <c r="F426" s="568"/>
      <c r="G426" s="386"/>
      <c r="H426" s="386"/>
      <c r="I426" s="386"/>
      <c r="J426" s="386"/>
      <c r="K426" s="386"/>
      <c r="L426" s="386"/>
      <c r="M426" s="386"/>
      <c r="N426" s="392"/>
      <c r="O426" s="392"/>
      <c r="P426" s="386"/>
      <c r="Q426" s="386"/>
      <c r="R426" s="386"/>
      <c r="S426" s="386"/>
      <c r="T426" s="386"/>
      <c r="U426" s="386"/>
      <c r="V426" s="720"/>
      <c r="W426" s="720"/>
      <c r="X426" s="720"/>
      <c r="Y426" s="720"/>
      <c r="Z426" s="720"/>
      <c r="AA426" s="720"/>
      <c r="AB426" s="720"/>
      <c r="AC426" s="720"/>
      <c r="AD426" s="720"/>
      <c r="AE426" s="720"/>
      <c r="AF426" s="720"/>
      <c r="AG426" s="720"/>
      <c r="AH426" s="1036"/>
      <c r="AI426" s="578"/>
      <c r="AJ426" s="388"/>
      <c r="AK426" s="388"/>
      <c r="AL426" s="388"/>
      <c r="AM426" s="388"/>
      <c r="AN426" s="388"/>
      <c r="AO426" s="388"/>
      <c r="AP426" s="995"/>
      <c r="AQ426" s="623"/>
      <c r="AR426" s="386"/>
      <c r="AS426" s="386"/>
      <c r="AT426" s="386"/>
      <c r="AU426" s="386"/>
      <c r="AV426" s="386"/>
      <c r="AW426" s="386"/>
      <c r="AX426" s="386"/>
      <c r="AY426" s="386"/>
      <c r="AZ426" s="732" t="s">
        <v>127</v>
      </c>
      <c r="BA426" s="732"/>
      <c r="BB426" s="2215"/>
      <c r="BC426" s="579"/>
      <c r="BD426" s="1867"/>
      <c r="BE426" s="1867"/>
      <c r="BF426" s="1920"/>
      <c r="BG426" s="1041"/>
      <c r="BH426" s="1370"/>
    </row>
    <row r="427" spans="3:60" ht="100" customHeight="1" thickTop="1" thickBot="1" x14ac:dyDescent="1.05">
      <c r="E427" s="578"/>
      <c r="F427" s="568"/>
      <c r="G427" s="386"/>
      <c r="H427" s="386"/>
      <c r="I427" s="386"/>
      <c r="J427" s="386"/>
      <c r="K427" s="386"/>
      <c r="L427" s="386"/>
      <c r="M427" s="386"/>
      <c r="N427" s="392"/>
      <c r="O427" s="392"/>
      <c r="P427" s="386"/>
      <c r="Q427" s="386"/>
      <c r="R427" s="386"/>
      <c r="S427" s="386"/>
      <c r="T427" s="386"/>
      <c r="U427" s="386"/>
      <c r="V427" s="720"/>
      <c r="W427" s="720"/>
      <c r="X427" s="720"/>
      <c r="Y427" s="720"/>
      <c r="Z427" s="720"/>
      <c r="AA427" s="720"/>
      <c r="AB427" s="720"/>
      <c r="AC427" s="720"/>
      <c r="AD427" s="720"/>
      <c r="AE427" s="720"/>
      <c r="AF427" s="720"/>
      <c r="AG427" s="720"/>
      <c r="AH427" s="720"/>
      <c r="AI427" s="574"/>
      <c r="AJ427" s="388"/>
      <c r="AK427" s="388"/>
      <c r="AL427" s="388"/>
      <c r="AM427" s="388"/>
      <c r="AN427" s="388"/>
      <c r="AO427" s="388"/>
      <c r="AP427" s="995"/>
      <c r="AQ427" s="578"/>
      <c r="AR427" s="386"/>
      <c r="AS427" s="386"/>
      <c r="AT427" s="386"/>
      <c r="AU427" s="386"/>
      <c r="AV427" s="386"/>
      <c r="AW427" s="386"/>
      <c r="AX427" s="386"/>
      <c r="AY427" s="386"/>
      <c r="AZ427" s="392"/>
      <c r="BA427" s="392"/>
      <c r="BB427" s="2215"/>
      <c r="BC427" s="579"/>
      <c r="BD427" s="1867"/>
      <c r="BE427" s="1867"/>
      <c r="BF427" s="1920"/>
      <c r="BG427" s="1416"/>
      <c r="BH427" s="356"/>
    </row>
    <row r="428" spans="3:60" ht="100" customHeight="1" thickTop="1" thickBot="1" x14ac:dyDescent="1.05">
      <c r="E428" s="578"/>
      <c r="F428" s="386"/>
      <c r="G428" s="386"/>
      <c r="H428" s="386"/>
      <c r="I428" s="386"/>
      <c r="J428" s="386"/>
      <c r="K428" s="386"/>
      <c r="L428" s="386"/>
      <c r="M428" s="386"/>
      <c r="N428" s="392"/>
      <c r="O428" s="392"/>
      <c r="P428" s="386"/>
      <c r="Q428" s="386"/>
      <c r="R428" s="386"/>
      <c r="S428" s="386"/>
      <c r="T428" s="386"/>
      <c r="U428" s="386"/>
      <c r="V428" s="720"/>
      <c r="W428" s="720"/>
      <c r="X428" s="720"/>
      <c r="Y428" s="720"/>
      <c r="Z428" s="720"/>
      <c r="AA428" s="720"/>
      <c r="AB428" s="720"/>
      <c r="AC428" s="720"/>
      <c r="AD428" s="720"/>
      <c r="AE428" s="720"/>
      <c r="AF428" s="720"/>
      <c r="AG428" s="720"/>
      <c r="AH428" s="720"/>
      <c r="AI428" s="577"/>
      <c r="AJ428" s="1046"/>
      <c r="AK428" s="1046"/>
      <c r="AL428" s="1046"/>
      <c r="AM428" s="1046"/>
      <c r="AN428" s="1046"/>
      <c r="AO428" s="1046"/>
      <c r="AP428" s="1395"/>
      <c r="AQ428" s="578"/>
      <c r="AR428" s="386"/>
      <c r="AS428" s="386"/>
      <c r="AT428" s="386"/>
      <c r="AU428" s="386"/>
      <c r="AV428" s="386"/>
      <c r="AW428" s="386"/>
      <c r="AX428" s="386"/>
      <c r="AY428" s="386"/>
      <c r="AZ428" s="392"/>
      <c r="BA428" s="392"/>
      <c r="BB428" s="2215"/>
      <c r="BC428" s="579"/>
      <c r="BD428" s="506"/>
      <c r="BE428" s="506"/>
      <c r="BF428" s="1077"/>
      <c r="BG428" s="1416"/>
      <c r="BH428" s="1370"/>
    </row>
    <row r="429" spans="3:60" ht="100" customHeight="1" thickTop="1" x14ac:dyDescent="1">
      <c r="E429" s="578"/>
      <c r="F429" s="2054" t="s">
        <v>133</v>
      </c>
      <c r="G429" s="2054"/>
      <c r="H429" s="2054"/>
      <c r="I429" s="2054"/>
      <c r="J429" s="2054"/>
      <c r="K429" s="2054"/>
      <c r="L429" s="2054"/>
      <c r="M429" s="2054"/>
      <c r="N429" s="2054"/>
      <c r="O429" s="2054"/>
      <c r="P429" s="2054"/>
      <c r="Q429" s="2054"/>
      <c r="R429" s="2054"/>
      <c r="S429" s="2054"/>
      <c r="T429" s="2054"/>
      <c r="U429" s="2054"/>
      <c r="V429" s="2054"/>
      <c r="W429" s="2054"/>
      <c r="X429" s="2054"/>
      <c r="Y429" s="2054"/>
      <c r="Z429" s="2054"/>
      <c r="AA429" s="2054"/>
      <c r="AB429" s="2054"/>
      <c r="AC429" s="2054"/>
      <c r="AD429" s="2054"/>
      <c r="AE429" s="2054"/>
      <c r="AF429" s="2054"/>
      <c r="AG429" s="2054"/>
      <c r="AH429" s="2054"/>
      <c r="AI429" s="578"/>
      <c r="AJ429" s="2115" t="s">
        <v>186</v>
      </c>
      <c r="AK429" s="2066"/>
      <c r="AL429" s="2066"/>
      <c r="AM429" s="2066"/>
      <c r="AN429" s="2066"/>
      <c r="AO429" s="2066"/>
      <c r="AP429" s="2067"/>
      <c r="AQ429" s="1417"/>
      <c r="AR429" s="1990" t="s">
        <v>209</v>
      </c>
      <c r="AS429" s="1990"/>
      <c r="AT429" s="1990"/>
      <c r="AU429" s="1990"/>
      <c r="AV429" s="1990"/>
      <c r="AW429" s="1990"/>
      <c r="AX429" s="1990"/>
      <c r="AY429" s="1990"/>
      <c r="AZ429" s="2036"/>
      <c r="BA429" s="2134"/>
      <c r="BB429" s="2213"/>
      <c r="BC429" s="579"/>
      <c r="BD429" s="1867"/>
      <c r="BE429" s="1867"/>
      <c r="BF429" s="1920"/>
      <c r="BG429" s="588"/>
      <c r="BH429" s="1370"/>
    </row>
    <row r="430" spans="3:60" ht="100" customHeight="1" thickBot="1" x14ac:dyDescent="1.05">
      <c r="E430" s="578"/>
      <c r="F430" s="2054"/>
      <c r="G430" s="2054"/>
      <c r="H430" s="2054"/>
      <c r="I430" s="2054"/>
      <c r="J430" s="2054"/>
      <c r="K430" s="2054"/>
      <c r="L430" s="2054"/>
      <c r="M430" s="2054"/>
      <c r="N430" s="2054"/>
      <c r="O430" s="2054"/>
      <c r="P430" s="2054"/>
      <c r="Q430" s="2054"/>
      <c r="R430" s="2054"/>
      <c r="S430" s="2054"/>
      <c r="T430" s="2054"/>
      <c r="U430" s="2054"/>
      <c r="V430" s="2054"/>
      <c r="W430" s="2054"/>
      <c r="X430" s="2054"/>
      <c r="Y430" s="2054"/>
      <c r="Z430" s="2054"/>
      <c r="AA430" s="2054"/>
      <c r="AB430" s="2054"/>
      <c r="AC430" s="2054"/>
      <c r="AD430" s="2054"/>
      <c r="AE430" s="2054"/>
      <c r="AF430" s="2054"/>
      <c r="AG430" s="2054"/>
      <c r="AH430" s="2054"/>
      <c r="AI430" s="1048"/>
      <c r="AJ430" s="2115"/>
      <c r="AK430" s="2066"/>
      <c r="AL430" s="2066"/>
      <c r="AM430" s="2066"/>
      <c r="AN430" s="2066"/>
      <c r="AO430" s="2066"/>
      <c r="AP430" s="2067"/>
      <c r="AQ430" s="1008"/>
      <c r="AR430" s="1990"/>
      <c r="AS430" s="1990"/>
      <c r="AT430" s="1990"/>
      <c r="AU430" s="1990"/>
      <c r="AV430" s="1990"/>
      <c r="AW430" s="1990"/>
      <c r="AX430" s="1990"/>
      <c r="AY430" s="1990"/>
      <c r="AZ430" s="1990"/>
      <c r="BA430" s="2210"/>
      <c r="BB430" s="2213"/>
      <c r="BC430" s="579"/>
      <c r="BD430" s="1867"/>
      <c r="BE430" s="1867"/>
      <c r="BF430" s="1920"/>
      <c r="BG430" s="588"/>
      <c r="BH430" s="573"/>
    </row>
    <row r="431" spans="3:60" ht="10" customHeight="1" thickTop="1" thickBot="1" x14ac:dyDescent="1.05">
      <c r="E431" s="578"/>
      <c r="F431" s="829"/>
      <c r="G431" s="829"/>
      <c r="H431" s="829"/>
      <c r="I431" s="829"/>
      <c r="J431" s="829"/>
      <c r="K431" s="829"/>
      <c r="L431" s="829"/>
      <c r="M431" s="829"/>
      <c r="N431" s="829"/>
      <c r="O431" s="829"/>
      <c r="P431" s="829"/>
      <c r="Q431" s="829"/>
      <c r="R431" s="829"/>
      <c r="S431" s="829"/>
      <c r="T431" s="829"/>
      <c r="U431" s="829"/>
      <c r="V431" s="829"/>
      <c r="W431" s="829"/>
      <c r="X431" s="829"/>
      <c r="Y431" s="829"/>
      <c r="Z431" s="829"/>
      <c r="AA431" s="829"/>
      <c r="AB431" s="829"/>
      <c r="AC431" s="829"/>
      <c r="AD431" s="829"/>
      <c r="AE431" s="829"/>
      <c r="AF431" s="829"/>
      <c r="AG431" s="829"/>
      <c r="AH431" s="829"/>
      <c r="AI431" s="606"/>
      <c r="AJ431" s="1049"/>
      <c r="AK431" s="1049"/>
      <c r="AL431" s="1049"/>
      <c r="AM431" s="1049"/>
      <c r="AN431" s="1049"/>
      <c r="AO431" s="1049"/>
      <c r="AP431" s="1022"/>
      <c r="AQ431" s="574"/>
      <c r="AR431" s="386"/>
      <c r="AS431" s="386"/>
      <c r="AT431" s="386"/>
      <c r="AU431" s="386"/>
      <c r="AV431" s="386"/>
      <c r="AW431" s="386"/>
      <c r="AX431" s="386"/>
      <c r="AY431" s="386"/>
      <c r="AZ431" s="386"/>
      <c r="BA431" s="386"/>
      <c r="BB431" s="2213"/>
      <c r="BC431" s="579"/>
      <c r="BD431" s="579"/>
      <c r="BE431" s="579"/>
      <c r="BF431" s="581"/>
      <c r="BG431" s="565"/>
      <c r="BH431" s="1370"/>
    </row>
    <row r="432" spans="3:60" ht="100" customHeight="1" thickTop="1" thickBot="1" x14ac:dyDescent="1.05">
      <c r="E432" s="578"/>
      <c r="F432" s="386"/>
      <c r="G432" s="386"/>
      <c r="H432" s="386"/>
      <c r="I432" s="386"/>
      <c r="J432" s="386"/>
      <c r="K432" s="386"/>
      <c r="L432" s="386"/>
      <c r="M432" s="386"/>
      <c r="N432" s="386"/>
      <c r="O432" s="386"/>
      <c r="P432" s="386"/>
      <c r="Q432" s="386"/>
      <c r="R432" s="386"/>
      <c r="S432" s="386"/>
      <c r="T432" s="386"/>
      <c r="U432" s="386"/>
      <c r="V432" s="720"/>
      <c r="W432" s="720"/>
      <c r="X432" s="720"/>
      <c r="Y432" s="720"/>
      <c r="Z432" s="720"/>
      <c r="AA432" s="720"/>
      <c r="AB432" s="720"/>
      <c r="AC432" s="720"/>
      <c r="AD432" s="720"/>
      <c r="AE432" s="720"/>
      <c r="AF432" s="720"/>
      <c r="AG432" s="720"/>
      <c r="AH432" s="720"/>
      <c r="AI432" s="574"/>
      <c r="AJ432" s="1015"/>
      <c r="AK432" s="1015"/>
      <c r="AL432" s="1015"/>
      <c r="AM432" s="1015"/>
      <c r="AN432" s="1015"/>
      <c r="AO432" s="1015"/>
      <c r="AP432" s="1016"/>
      <c r="AQ432" s="577"/>
      <c r="AR432" s="386"/>
      <c r="AS432" s="386"/>
      <c r="AT432" s="386"/>
      <c r="AU432" s="386"/>
      <c r="AV432" s="386"/>
      <c r="AW432" s="386"/>
      <c r="AX432" s="386"/>
      <c r="AY432" s="386"/>
      <c r="AZ432" s="386"/>
      <c r="BA432" s="386"/>
      <c r="BB432" s="2213"/>
      <c r="BC432" s="579"/>
      <c r="BD432" s="1867"/>
      <c r="BE432" s="1867"/>
      <c r="BF432" s="1920"/>
      <c r="BG432" s="1418"/>
      <c r="BH432" s="1370"/>
    </row>
    <row r="433" spans="4:60" ht="100" customHeight="1" thickTop="1" x14ac:dyDescent="1">
      <c r="E433" s="578"/>
      <c r="F433" s="568"/>
      <c r="G433" s="386"/>
      <c r="H433" s="1050" t="s">
        <v>27</v>
      </c>
      <c r="I433" s="1050"/>
      <c r="J433" s="386"/>
      <c r="K433" s="386"/>
      <c r="L433" s="386"/>
      <c r="M433" s="386"/>
      <c r="N433" s="598"/>
      <c r="O433" s="598"/>
      <c r="P433" s="598"/>
      <c r="Q433" s="598"/>
      <c r="R433" s="598"/>
      <c r="S433" s="598"/>
      <c r="T433" s="386"/>
      <c r="U433" s="386"/>
      <c r="V433" s="720"/>
      <c r="W433" s="720"/>
      <c r="X433" s="720"/>
      <c r="Y433" s="720"/>
      <c r="Z433" s="720"/>
      <c r="AA433" s="720"/>
      <c r="AB433" s="720"/>
      <c r="AC433" s="720"/>
      <c r="AD433" s="720"/>
      <c r="AE433" s="720"/>
      <c r="AF433" s="1051"/>
      <c r="AG433" s="1051"/>
      <c r="AH433" s="1052"/>
      <c r="AI433" s="1048"/>
      <c r="AJ433" s="1015"/>
      <c r="AK433" s="1015"/>
      <c r="AL433" s="1015"/>
      <c r="AM433" s="1015"/>
      <c r="AN433" s="1015"/>
      <c r="AO433" s="1015"/>
      <c r="AP433" s="1016"/>
      <c r="AQ433" s="578"/>
      <c r="AR433" s="506"/>
      <c r="AS433" s="506"/>
      <c r="AT433" s="506"/>
      <c r="AU433" s="506"/>
      <c r="AV433" s="506"/>
      <c r="AW433" s="506"/>
      <c r="AX433" s="506"/>
      <c r="AY433" s="506"/>
      <c r="AZ433" s="506"/>
      <c r="BA433" s="506"/>
      <c r="BB433" s="2213"/>
      <c r="BC433" s="579"/>
      <c r="BD433" s="1867"/>
      <c r="BE433" s="1867"/>
      <c r="BF433" s="1920"/>
      <c r="BG433" s="588"/>
      <c r="BH433" s="1370"/>
    </row>
    <row r="434" spans="4:60" ht="100" customHeight="1" thickBot="1" x14ac:dyDescent="1.05">
      <c r="E434" s="623"/>
      <c r="F434" s="688"/>
      <c r="G434" s="506"/>
      <c r="H434" s="727" t="s">
        <v>196</v>
      </c>
      <c r="I434" s="727"/>
      <c r="J434" s="386"/>
      <c r="K434" s="386"/>
      <c r="L434" s="386"/>
      <c r="M434" s="386"/>
      <c r="N434" s="598"/>
      <c r="O434" s="598"/>
      <c r="P434" s="598"/>
      <c r="Q434" s="598"/>
      <c r="R434" s="598"/>
      <c r="S434" s="598"/>
      <c r="T434" s="579"/>
      <c r="U434" s="579"/>
      <c r="V434" s="870"/>
      <c r="W434" s="870"/>
      <c r="X434" s="730"/>
      <c r="Y434" s="730"/>
      <c r="Z434" s="730"/>
      <c r="AA434" s="730"/>
      <c r="AB434" s="720"/>
      <c r="AC434" s="720"/>
      <c r="AD434" s="720"/>
      <c r="AE434" s="720"/>
      <c r="AF434" s="1051"/>
      <c r="AG434" s="1051"/>
      <c r="AH434" s="1052"/>
      <c r="AI434" s="1048"/>
      <c r="AJ434" s="1015"/>
      <c r="AK434" s="1015"/>
      <c r="AL434" s="1015"/>
      <c r="AM434" s="1015"/>
      <c r="AN434" s="1015"/>
      <c r="AO434" s="1015"/>
      <c r="AP434" s="1016"/>
      <c r="AQ434" s="578"/>
      <c r="AR434" s="506"/>
      <c r="AS434" s="506"/>
      <c r="AT434" s="506"/>
      <c r="AU434" s="506"/>
      <c r="AV434" s="506"/>
      <c r="AW434" s="506"/>
      <c r="AX434" s="506"/>
      <c r="AY434" s="506"/>
      <c r="AZ434" s="506"/>
      <c r="BA434" s="506"/>
      <c r="BB434" s="2213"/>
      <c r="BC434" s="579"/>
      <c r="BD434" s="1867"/>
      <c r="BE434" s="1867"/>
      <c r="BF434" s="1920"/>
      <c r="BG434" s="588"/>
      <c r="BH434" s="1370"/>
    </row>
    <row r="435" spans="4:60" ht="100" customHeight="1" thickTop="1" x14ac:dyDescent="1">
      <c r="D435" s="794"/>
      <c r="E435" s="547"/>
      <c r="F435" s="688"/>
      <c r="G435" s="506"/>
      <c r="H435" s="727" t="s">
        <v>198</v>
      </c>
      <c r="I435" s="727"/>
      <c r="J435" s="648"/>
      <c r="K435" s="648"/>
      <c r="L435" s="682"/>
      <c r="M435" s="682"/>
      <c r="N435" s="682"/>
      <c r="O435" s="682"/>
      <c r="P435" s="682"/>
      <c r="Q435" s="682"/>
      <c r="R435" s="682"/>
      <c r="S435" s="682"/>
      <c r="T435" s="682"/>
      <c r="U435" s="682"/>
      <c r="V435" s="1053"/>
      <c r="W435" s="1053"/>
      <c r="X435" s="730"/>
      <c r="Y435" s="730"/>
      <c r="Z435" s="730"/>
      <c r="AA435" s="730"/>
      <c r="AB435" s="737"/>
      <c r="AC435" s="737"/>
      <c r="AD435" s="1053"/>
      <c r="AE435" s="1053"/>
      <c r="AF435" s="1053"/>
      <c r="AG435" s="1053"/>
      <c r="AH435" s="1054"/>
      <c r="AI435" s="1008"/>
      <c r="AJ435" s="1021"/>
      <c r="AK435" s="1021"/>
      <c r="AL435" s="2111" t="s">
        <v>149</v>
      </c>
      <c r="AM435" s="2111"/>
      <c r="AN435" s="2111"/>
      <c r="AO435" s="1021"/>
      <c r="AP435" s="1022"/>
      <c r="AQ435" s="577"/>
      <c r="AR435" s="506"/>
      <c r="AS435" s="506"/>
      <c r="AT435" s="727" t="s">
        <v>212</v>
      </c>
      <c r="AU435" s="506"/>
      <c r="AV435" s="506"/>
      <c r="AW435" s="506"/>
      <c r="AX435" s="506"/>
      <c r="AY435" s="506"/>
      <c r="AZ435" s="506"/>
      <c r="BA435" s="506"/>
      <c r="BB435" s="2213"/>
      <c r="BC435" s="579"/>
      <c r="BD435" s="1867"/>
      <c r="BE435" s="1867"/>
      <c r="BF435" s="1920"/>
      <c r="BG435" s="1418"/>
      <c r="BH435" s="573"/>
    </row>
    <row r="436" spans="4:60" ht="100" customHeight="1" x14ac:dyDescent="1">
      <c r="D436" s="794"/>
      <c r="E436" s="547"/>
      <c r="F436" s="568"/>
      <c r="G436" s="386"/>
      <c r="H436" s="1055">
        <f>3500+3500+2100+2100</f>
        <v>11200</v>
      </c>
      <c r="I436" s="1055"/>
      <c r="J436" s="780"/>
      <c r="K436" s="780"/>
      <c r="L436" s="780"/>
      <c r="M436" s="780"/>
      <c r="N436" s="780"/>
      <c r="O436" s="780"/>
      <c r="P436" s="682"/>
      <c r="Q436" s="682"/>
      <c r="R436" s="682"/>
      <c r="S436" s="682"/>
      <c r="T436" s="780"/>
      <c r="U436" s="780"/>
      <c r="V436" s="1056"/>
      <c r="W436" s="1056"/>
      <c r="X436" s="720"/>
      <c r="Y436" s="720"/>
      <c r="Z436" s="720"/>
      <c r="AA436" s="720"/>
      <c r="AB436" s="1056"/>
      <c r="AC436" s="1056"/>
      <c r="AD436" s="1056"/>
      <c r="AE436" s="1056"/>
      <c r="AF436" s="1056"/>
      <c r="AG436" s="1056"/>
      <c r="AH436" s="1054"/>
      <c r="AI436" s="1008"/>
      <c r="AJ436" s="1023"/>
      <c r="AK436" s="1023"/>
      <c r="AL436" s="1023"/>
      <c r="AM436" s="1023"/>
      <c r="AN436" s="1023"/>
      <c r="AO436" s="1023"/>
      <c r="AP436" s="1016"/>
      <c r="AQ436" s="578"/>
      <c r="AR436" s="506"/>
      <c r="AS436" s="506"/>
      <c r="AT436" s="648">
        <v>7000</v>
      </c>
      <c r="AU436" s="506"/>
      <c r="AV436" s="506"/>
      <c r="AW436" s="506"/>
      <c r="AX436" s="506"/>
      <c r="AY436" s="506"/>
      <c r="AZ436" s="506"/>
      <c r="BA436" s="506"/>
      <c r="BB436" s="2213"/>
      <c r="BC436" s="579"/>
      <c r="BD436" s="1867"/>
      <c r="BE436" s="1867"/>
      <c r="BF436" s="1920"/>
      <c r="BG436" s="588"/>
      <c r="BH436" s="1370"/>
    </row>
    <row r="437" spans="4:60" ht="100" customHeight="1" thickBot="1" x14ac:dyDescent="1.05">
      <c r="D437" s="794"/>
      <c r="E437" s="547"/>
      <c r="F437" s="568"/>
      <c r="G437" s="386"/>
      <c r="H437" s="386"/>
      <c r="I437" s="386"/>
      <c r="J437" s="386"/>
      <c r="K437" s="386"/>
      <c r="L437" s="386"/>
      <c r="M437" s="386"/>
      <c r="N437" s="598"/>
      <c r="O437" s="598"/>
      <c r="P437" s="598"/>
      <c r="Q437" s="598"/>
      <c r="R437" s="682"/>
      <c r="S437" s="682"/>
      <c r="T437" s="386"/>
      <c r="U437" s="386"/>
      <c r="V437" s="720"/>
      <c r="W437" s="720"/>
      <c r="X437" s="720"/>
      <c r="Y437" s="720"/>
      <c r="Z437" s="720"/>
      <c r="AA437" s="720"/>
      <c r="AB437" s="720"/>
      <c r="AC437" s="720"/>
      <c r="AD437" s="720"/>
      <c r="AE437" s="720"/>
      <c r="AF437" s="1051"/>
      <c r="AG437" s="1051"/>
      <c r="AH437" s="1052"/>
      <c r="AI437" s="1048"/>
      <c r="AJ437" s="1015"/>
      <c r="AK437" s="1015"/>
      <c r="AL437" s="1015"/>
      <c r="AM437" s="1015"/>
      <c r="AN437" s="1015"/>
      <c r="AO437" s="1015"/>
      <c r="AP437" s="1016"/>
      <c r="AQ437" s="578"/>
      <c r="AR437" s="386"/>
      <c r="AS437" s="386"/>
      <c r="AT437" s="386"/>
      <c r="AU437" s="386"/>
      <c r="AV437" s="386"/>
      <c r="AW437" s="386"/>
      <c r="AX437" s="386"/>
      <c r="AY437" s="386"/>
      <c r="AZ437" s="598"/>
      <c r="BA437" s="598"/>
      <c r="BB437" s="2213"/>
      <c r="BC437" s="386"/>
      <c r="BD437" s="1867"/>
      <c r="BE437" s="1867"/>
      <c r="BF437" s="1920"/>
      <c r="BG437" s="588"/>
      <c r="BH437" s="356"/>
    </row>
    <row r="438" spans="4:60" ht="100" customHeight="1" thickTop="1" thickBot="1" x14ac:dyDescent="1.05">
      <c r="D438" s="794"/>
      <c r="E438" s="547"/>
      <c r="F438" s="569"/>
      <c r="G438" s="570"/>
      <c r="H438" s="570"/>
      <c r="I438" s="570"/>
      <c r="J438" s="570"/>
      <c r="K438" s="570"/>
      <c r="L438" s="570"/>
      <c r="M438" s="570"/>
      <c r="N438" s="570"/>
      <c r="O438" s="570"/>
      <c r="P438" s="570"/>
      <c r="Q438" s="570"/>
      <c r="R438" s="570"/>
      <c r="S438" s="570"/>
      <c r="T438" s="570"/>
      <c r="U438" s="570"/>
      <c r="V438" s="1059"/>
      <c r="W438" s="1059"/>
      <c r="X438" s="1059"/>
      <c r="Y438" s="1059"/>
      <c r="Z438" s="1059"/>
      <c r="AA438" s="1059"/>
      <c r="AB438" s="1059"/>
      <c r="AC438" s="1059"/>
      <c r="AD438" s="1059"/>
      <c r="AE438" s="1059"/>
      <c r="AF438" s="1059"/>
      <c r="AG438" s="1059"/>
      <c r="AH438" s="1060"/>
      <c r="AI438" s="623"/>
      <c r="AJ438" s="1026"/>
      <c r="AK438" s="1026"/>
      <c r="AL438" s="1026"/>
      <c r="AM438" s="1027"/>
      <c r="AN438" s="1028"/>
      <c r="AO438" s="1015"/>
      <c r="AP438" s="1016"/>
      <c r="AQ438" s="574"/>
      <c r="AR438" s="386"/>
      <c r="AS438" s="386"/>
      <c r="AT438" s="386"/>
      <c r="AU438" s="386"/>
      <c r="AV438" s="386"/>
      <c r="AW438" s="386"/>
      <c r="AX438" s="386"/>
      <c r="AY438" s="386"/>
      <c r="AZ438" s="386"/>
      <c r="BA438" s="386"/>
      <c r="BB438" s="2213"/>
      <c r="BC438" s="386"/>
      <c r="BD438" s="1867"/>
      <c r="BE438" s="1867"/>
      <c r="BF438" s="1920"/>
      <c r="BG438" s="560"/>
      <c r="BH438" s="356"/>
    </row>
    <row r="439" spans="4:60" ht="10" customHeight="1" thickTop="1" thickBot="1" x14ac:dyDescent="1.05">
      <c r="D439" s="408"/>
      <c r="E439" s="574"/>
      <c r="F439" s="575"/>
      <c r="G439" s="519"/>
      <c r="H439" s="519"/>
      <c r="I439" s="519"/>
      <c r="J439" s="519"/>
      <c r="K439" s="519"/>
      <c r="L439" s="519"/>
      <c r="M439" s="519"/>
      <c r="N439" s="519"/>
      <c r="O439" s="519"/>
      <c r="P439" s="519"/>
      <c r="Q439" s="519"/>
      <c r="R439" s="519"/>
      <c r="S439" s="519"/>
      <c r="T439" s="519"/>
      <c r="U439" s="519"/>
      <c r="V439" s="519"/>
      <c r="W439" s="519"/>
      <c r="X439" s="519"/>
      <c r="Y439" s="519"/>
      <c r="Z439" s="519"/>
      <c r="AA439" s="519"/>
      <c r="AB439" s="519"/>
      <c r="AC439" s="519"/>
      <c r="AD439" s="519"/>
      <c r="AE439" s="519"/>
      <c r="AF439" s="519"/>
      <c r="AG439" s="519"/>
      <c r="AH439" s="519"/>
      <c r="AI439" s="576"/>
      <c r="AJ439" s="1062"/>
      <c r="AK439" s="1032"/>
      <c r="AL439" s="1063"/>
      <c r="AM439" s="1064"/>
      <c r="AN439" s="1065"/>
      <c r="AO439" s="1066"/>
      <c r="AP439" s="1419"/>
      <c r="AQ439" s="575"/>
      <c r="AR439" s="561"/>
      <c r="AS439" s="561"/>
      <c r="AT439" s="561"/>
      <c r="AU439" s="561"/>
      <c r="AV439" s="561"/>
      <c r="AW439" s="561"/>
      <c r="AX439" s="561"/>
      <c r="AY439" s="561"/>
      <c r="AZ439" s="561"/>
      <c r="BA439" s="561"/>
      <c r="BB439" s="561"/>
      <c r="BC439" s="561"/>
      <c r="BD439" s="561"/>
      <c r="BE439" s="561"/>
      <c r="BF439" s="561"/>
      <c r="BG439" s="576"/>
      <c r="BH439" s="356"/>
    </row>
    <row r="440" spans="4:60" ht="100" customHeight="1" thickTop="1" x14ac:dyDescent="1">
      <c r="BH440" s="358"/>
    </row>
    <row r="443" spans="4:60" ht="100" customHeight="1" x14ac:dyDescent="1">
      <c r="AW443" s="358"/>
      <c r="AX443" s="358"/>
      <c r="AY443" s="358"/>
      <c r="AZ443" s="358"/>
      <c r="BA443" s="358"/>
      <c r="BB443" s="358"/>
      <c r="BC443" s="358"/>
    </row>
    <row r="444" spans="4:60" ht="100" customHeight="1" x14ac:dyDescent="1">
      <c r="AW444" s="358"/>
      <c r="AX444" s="358"/>
      <c r="AY444" s="358"/>
      <c r="AZ444" s="358"/>
      <c r="BA444" s="358"/>
      <c r="BB444" s="358"/>
      <c r="BC444" s="358"/>
    </row>
    <row r="445" spans="4:60" ht="100" customHeight="1" x14ac:dyDescent="1">
      <c r="AW445" s="358"/>
      <c r="AX445" s="358"/>
      <c r="AY445" s="358"/>
      <c r="AZ445" s="358"/>
      <c r="BA445" s="358"/>
      <c r="BB445" s="358"/>
      <c r="BC445" s="358"/>
    </row>
    <row r="446" spans="4:60" ht="100" customHeight="1" x14ac:dyDescent="1">
      <c r="AW446" s="358"/>
      <c r="AX446" s="358"/>
      <c r="AY446" s="358"/>
      <c r="AZ446" s="358"/>
      <c r="BA446" s="358"/>
      <c r="BB446" s="358"/>
      <c r="BC446" s="358"/>
    </row>
    <row r="447" spans="4:60" ht="100" customHeight="1" x14ac:dyDescent="1">
      <c r="AW447" s="358"/>
      <c r="AX447" s="358"/>
      <c r="AY447" s="358"/>
      <c r="AZ447" s="358"/>
      <c r="BA447" s="358"/>
      <c r="BB447" s="358"/>
      <c r="BC447" s="358"/>
    </row>
    <row r="448" spans="4:60" ht="100" customHeight="1" x14ac:dyDescent="1">
      <c r="AW448" s="358"/>
      <c r="AX448" s="358"/>
      <c r="AY448" s="358"/>
      <c r="AZ448" s="572"/>
      <c r="BA448" s="358"/>
      <c r="BB448" s="358"/>
      <c r="BC448" s="358"/>
    </row>
    <row r="449" spans="49:55" ht="100" customHeight="1" x14ac:dyDescent="1">
      <c r="AW449" s="358"/>
      <c r="AX449" s="358"/>
      <c r="AY449" s="358"/>
      <c r="AZ449" s="358"/>
      <c r="BA449" s="358"/>
      <c r="BB449" s="358"/>
      <c r="BC449" s="358"/>
    </row>
    <row r="450" spans="49:55" ht="100" customHeight="1" x14ac:dyDescent="1">
      <c r="AW450" s="358"/>
      <c r="AX450" s="358"/>
      <c r="AY450" s="358"/>
      <c r="AZ450" s="358"/>
      <c r="BA450" s="358"/>
      <c r="BB450" s="358"/>
      <c r="BC450" s="358"/>
    </row>
    <row r="451" spans="49:55" ht="100" customHeight="1" x14ac:dyDescent="1">
      <c r="AW451" s="358"/>
      <c r="AX451" s="358"/>
      <c r="AY451" s="358"/>
      <c r="AZ451" s="358"/>
      <c r="BA451" s="358"/>
      <c r="BB451" s="358"/>
      <c r="BC451" s="358"/>
    </row>
  </sheetData>
  <mergeCells count="277">
    <mergeCell ref="AV25:BF27"/>
    <mergeCell ref="AZ30:BF30"/>
    <mergeCell ref="AJ47:AN47"/>
    <mergeCell ref="F52:T53"/>
    <mergeCell ref="V52:AH53"/>
    <mergeCell ref="AJ52:AP53"/>
    <mergeCell ref="AR52:BF53"/>
    <mergeCell ref="AJ20:AN20"/>
    <mergeCell ref="AR20:AT20"/>
    <mergeCell ref="F25:P26"/>
    <mergeCell ref="R25:AB26"/>
    <mergeCell ref="AD25:AI26"/>
    <mergeCell ref="AJ25:AP26"/>
    <mergeCell ref="AQ25:AT26"/>
    <mergeCell ref="AD20:AH20"/>
    <mergeCell ref="AQ110:AT111"/>
    <mergeCell ref="AV110:BF111"/>
    <mergeCell ref="AJ77:AN77"/>
    <mergeCell ref="F82:X83"/>
    <mergeCell ref="Z82:AH83"/>
    <mergeCell ref="AI82:AP83"/>
    <mergeCell ref="AQ82:BG83"/>
    <mergeCell ref="AJ105:AN105"/>
    <mergeCell ref="AR105:AT105"/>
    <mergeCell ref="F114:H114"/>
    <mergeCell ref="J114:L114"/>
    <mergeCell ref="N114:P114"/>
    <mergeCell ref="AD114:AF114"/>
    <mergeCell ref="AH114:AJ114"/>
    <mergeCell ref="AL114:AN114"/>
    <mergeCell ref="E110:P111"/>
    <mergeCell ref="Q110:AB111"/>
    <mergeCell ref="AC110:AH111"/>
    <mergeCell ref="AI110:AP111"/>
    <mergeCell ref="AD117:AF117"/>
    <mergeCell ref="AH117:AJ117"/>
    <mergeCell ref="AL117:AN117"/>
    <mergeCell ref="AX115:BD115"/>
    <mergeCell ref="F116:H116"/>
    <mergeCell ref="J116:L116"/>
    <mergeCell ref="N116:P116"/>
    <mergeCell ref="AD116:AF116"/>
    <mergeCell ref="AH116:AJ116"/>
    <mergeCell ref="AL116:AN116"/>
    <mergeCell ref="AX116:BD116"/>
    <mergeCell ref="F115:H115"/>
    <mergeCell ref="J115:L115"/>
    <mergeCell ref="N115:P115"/>
    <mergeCell ref="AD115:AF115"/>
    <mergeCell ref="AH115:AJ115"/>
    <mergeCell ref="AL115:AN115"/>
    <mergeCell ref="H129:L129"/>
    <mergeCell ref="R129:T129"/>
    <mergeCell ref="V129:X129"/>
    <mergeCell ref="Z129:AB129"/>
    <mergeCell ref="H130:L130"/>
    <mergeCell ref="R130:T130"/>
    <mergeCell ref="V130:X130"/>
    <mergeCell ref="Z130:AB130"/>
    <mergeCell ref="F117:H117"/>
    <mergeCell ref="J117:L117"/>
    <mergeCell ref="N117:P117"/>
    <mergeCell ref="F135:AB136"/>
    <mergeCell ref="AD135:AI136"/>
    <mergeCell ref="AJ135:AP136"/>
    <mergeCell ref="AQ135:AT136"/>
    <mergeCell ref="AV135:BF136"/>
    <mergeCell ref="AD139:AF139"/>
    <mergeCell ref="AH139:AJ139"/>
    <mergeCell ref="AL139:AN139"/>
    <mergeCell ref="AJ130:AN130"/>
    <mergeCell ref="AR130:AT130"/>
    <mergeCell ref="H131:L131"/>
    <mergeCell ref="R131:T131"/>
    <mergeCell ref="V131:X131"/>
    <mergeCell ref="Z131:AB131"/>
    <mergeCell ref="AR131:AT131"/>
    <mergeCell ref="Z140:AB140"/>
    <mergeCell ref="AD140:AF140"/>
    <mergeCell ref="AH140:AJ140"/>
    <mergeCell ref="AL140:AN140"/>
    <mergeCell ref="R141:T141"/>
    <mergeCell ref="V141:X141"/>
    <mergeCell ref="Z141:AB141"/>
    <mergeCell ref="AD141:AF141"/>
    <mergeCell ref="AH141:AJ141"/>
    <mergeCell ref="AL141:AN141"/>
    <mergeCell ref="AR163:BF164"/>
    <mergeCell ref="AL169:AN169"/>
    <mergeCell ref="X182:AF182"/>
    <mergeCell ref="AJ182:AN182"/>
    <mergeCell ref="X183:AF183"/>
    <mergeCell ref="F187:AH188"/>
    <mergeCell ref="AJ187:AP188"/>
    <mergeCell ref="AQ187:BG188"/>
    <mergeCell ref="AH142:AJ142"/>
    <mergeCell ref="AL142:AN142"/>
    <mergeCell ref="N151:P151"/>
    <mergeCell ref="AJ158:AN158"/>
    <mergeCell ref="E163:T164"/>
    <mergeCell ref="V163:AH164"/>
    <mergeCell ref="AI163:AP164"/>
    <mergeCell ref="J142:L142"/>
    <mergeCell ref="N142:P142"/>
    <mergeCell ref="R142:T142"/>
    <mergeCell ref="V142:X142"/>
    <mergeCell ref="Z142:AB142"/>
    <mergeCell ref="AD142:AF142"/>
    <mergeCell ref="AL193:AN193"/>
    <mergeCell ref="P206:P221"/>
    <mergeCell ref="AV206:AV221"/>
    <mergeCell ref="AX206:AZ206"/>
    <mergeCell ref="F207:H207"/>
    <mergeCell ref="J207:L207"/>
    <mergeCell ref="AX207:AZ207"/>
    <mergeCell ref="F208:H208"/>
    <mergeCell ref="J208:L208"/>
    <mergeCell ref="AX208:AZ208"/>
    <mergeCell ref="AX211:AZ211"/>
    <mergeCell ref="AX212:AZ212"/>
    <mergeCell ref="F213:N214"/>
    <mergeCell ref="AL213:AU214"/>
    <mergeCell ref="AX213:AZ213"/>
    <mergeCell ref="AX214:AZ214"/>
    <mergeCell ref="F209:H209"/>
    <mergeCell ref="J209:L209"/>
    <mergeCell ref="AX209:AZ209"/>
    <mergeCell ref="F210:H210"/>
    <mergeCell ref="J210:L210"/>
    <mergeCell ref="AX210:AZ210"/>
    <mergeCell ref="F218:H218"/>
    <mergeCell ref="J218:L218"/>
    <mergeCell ref="F219:H219"/>
    <mergeCell ref="J219:L219"/>
    <mergeCell ref="AX219:AZ219"/>
    <mergeCell ref="AX220:AZ220"/>
    <mergeCell ref="AX215:AZ215"/>
    <mergeCell ref="F216:H216"/>
    <mergeCell ref="J216:L216"/>
    <mergeCell ref="AX216:AZ216"/>
    <mergeCell ref="F217:H217"/>
    <mergeCell ref="J217:L217"/>
    <mergeCell ref="AX217:AZ217"/>
    <mergeCell ref="AX221:AZ221"/>
    <mergeCell ref="AX232:AZ232"/>
    <mergeCell ref="F233:H233"/>
    <mergeCell ref="J233:L233"/>
    <mergeCell ref="AX233:AZ233"/>
    <mergeCell ref="F234:H234"/>
    <mergeCell ref="J234:L234"/>
    <mergeCell ref="AV234:AV245"/>
    <mergeCell ref="AX234:AZ234"/>
    <mergeCell ref="F235:H235"/>
    <mergeCell ref="J235:L235"/>
    <mergeCell ref="P235:P245"/>
    <mergeCell ref="AX235:AZ235"/>
    <mergeCell ref="F236:H236"/>
    <mergeCell ref="J236:L236"/>
    <mergeCell ref="AX236:AZ236"/>
    <mergeCell ref="AX237:AZ237"/>
    <mergeCell ref="AX238:AZ238"/>
    <mergeCell ref="F239:O240"/>
    <mergeCell ref="AL239:AU240"/>
    <mergeCell ref="F244:H244"/>
    <mergeCell ref="J244:L244"/>
    <mergeCell ref="F245:H245"/>
    <mergeCell ref="J245:L245"/>
    <mergeCell ref="AX245:AZ245"/>
    <mergeCell ref="F246:H246"/>
    <mergeCell ref="J246:L246"/>
    <mergeCell ref="AX246:AZ246"/>
    <mergeCell ref="AX239:AZ239"/>
    <mergeCell ref="AX240:AZ240"/>
    <mergeCell ref="AX241:AZ241"/>
    <mergeCell ref="AX242:AZ242"/>
    <mergeCell ref="F243:H243"/>
    <mergeCell ref="J243:L243"/>
    <mergeCell ref="AX243:AZ243"/>
    <mergeCell ref="H273:R273"/>
    <mergeCell ref="AL273:AN273"/>
    <mergeCell ref="AX273:BD273"/>
    <mergeCell ref="H274:J274"/>
    <mergeCell ref="V274:Z274"/>
    <mergeCell ref="AB274:AF274"/>
    <mergeCell ref="AX247:AZ247"/>
    <mergeCell ref="AH261:AH277"/>
    <mergeCell ref="V263:X263"/>
    <mergeCell ref="V264:X264"/>
    <mergeCell ref="Z264:AF264"/>
    <mergeCell ref="AJ264:AN264"/>
    <mergeCell ref="V265:X265"/>
    <mergeCell ref="V269:AG270"/>
    <mergeCell ref="AJ269:AP269"/>
    <mergeCell ref="V275:Z275"/>
    <mergeCell ref="F304:H304"/>
    <mergeCell ref="J304:L304"/>
    <mergeCell ref="N304:P304"/>
    <mergeCell ref="AJ304:AL304"/>
    <mergeCell ref="AN304:AP304"/>
    <mergeCell ref="AR304:AT304"/>
    <mergeCell ref="AB275:AF275"/>
    <mergeCell ref="AJ295:AN295"/>
    <mergeCell ref="AR295:AT295"/>
    <mergeCell ref="AR296:AT296"/>
    <mergeCell ref="F300:P301"/>
    <mergeCell ref="R300:AB301"/>
    <mergeCell ref="AC300:AI301"/>
    <mergeCell ref="AJ300:AP301"/>
    <mergeCell ref="AR300:BF301"/>
    <mergeCell ref="F306:H306"/>
    <mergeCell ref="J306:L306"/>
    <mergeCell ref="N306:P306"/>
    <mergeCell ref="AJ306:AL306"/>
    <mergeCell ref="AN306:AP306"/>
    <mergeCell ref="AR306:AT306"/>
    <mergeCell ref="F305:H305"/>
    <mergeCell ref="J305:L305"/>
    <mergeCell ref="N305:P305"/>
    <mergeCell ref="AJ305:AL305"/>
    <mergeCell ref="AN305:AP305"/>
    <mergeCell ref="AR305:AT305"/>
    <mergeCell ref="AJ374:AN374"/>
    <mergeCell ref="AX307:BD307"/>
    <mergeCell ref="C314:Q314"/>
    <mergeCell ref="X314:AL314"/>
    <mergeCell ref="AQ314:BH314"/>
    <mergeCell ref="AD350:AH350"/>
    <mergeCell ref="AJ350:AN350"/>
    <mergeCell ref="AR350:AT350"/>
    <mergeCell ref="F307:H307"/>
    <mergeCell ref="J307:L307"/>
    <mergeCell ref="N307:P307"/>
    <mergeCell ref="AJ307:AL307"/>
    <mergeCell ref="AN307:AP307"/>
    <mergeCell ref="AR307:AT307"/>
    <mergeCell ref="E355:P356"/>
    <mergeCell ref="Q355:AB356"/>
    <mergeCell ref="AC355:AI356"/>
    <mergeCell ref="AJ355:AP356"/>
    <mergeCell ref="AQ355:AT356"/>
    <mergeCell ref="AV355:BF357"/>
    <mergeCell ref="AD361:AH361"/>
    <mergeCell ref="AJ361:AN361"/>
    <mergeCell ref="AR361:AT361"/>
    <mergeCell ref="F380:T381"/>
    <mergeCell ref="V380:AH381"/>
    <mergeCell ref="AJ380:AP381"/>
    <mergeCell ref="AR380:BF381"/>
    <mergeCell ref="AJ429:AP430"/>
    <mergeCell ref="AR429:BA430"/>
    <mergeCell ref="BD429:BF429"/>
    <mergeCell ref="BD430:BF430"/>
    <mergeCell ref="BD432:BF432"/>
    <mergeCell ref="BD427:BF427"/>
    <mergeCell ref="AJ398:AN398"/>
    <mergeCell ref="F403:X404"/>
    <mergeCell ref="Z403:AH404"/>
    <mergeCell ref="AI403:AP404"/>
    <mergeCell ref="AQ403:BG404"/>
    <mergeCell ref="BB421:BB438"/>
    <mergeCell ref="BD421:BF421"/>
    <mergeCell ref="BD422:BF422"/>
    <mergeCell ref="BD423:BF423"/>
    <mergeCell ref="X424:AF424"/>
    <mergeCell ref="AJ424:AN424"/>
    <mergeCell ref="BD424:BF424"/>
    <mergeCell ref="X425:AF425"/>
    <mergeCell ref="BD425:BF425"/>
    <mergeCell ref="BD426:BF426"/>
    <mergeCell ref="BD438:BF438"/>
    <mergeCell ref="BD433:BF433"/>
    <mergeCell ref="BD434:BF434"/>
    <mergeCell ref="AL435:AN435"/>
    <mergeCell ref="BD435:BF435"/>
    <mergeCell ref="BD436:BF436"/>
    <mergeCell ref="BD437:BF437"/>
    <mergeCell ref="F429:AH430"/>
  </mergeCells>
  <printOptions horizontalCentered="1"/>
  <pageMargins left="0.25" right="0.25" top="0.75" bottom="0.75" header="0.3" footer="0.3"/>
  <pageSetup scale="10" fitToHeight="5" orientation="landscape" horizontalDpi="1200" verticalDpi="1200" r:id="rId1"/>
  <rowBreaks count="6" manualBreakCount="6">
    <brk id="121" min="2" max="62" man="1"/>
    <brk id="174" min="2" max="62" man="1"/>
    <brk id="223" min="2" max="62" man="1"/>
    <brk id="280" min="2" max="62" man="1"/>
    <brk id="342" min="2" max="60" man="1"/>
    <brk id="391" min="2" max="6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7A007-F5EC-E74E-B29D-B1687ABFB185}">
  <sheetPr>
    <pageSetUpPr fitToPage="1"/>
  </sheetPr>
  <dimension ref="B2:T35"/>
  <sheetViews>
    <sheetView zoomScaleNormal="100" workbookViewId="0">
      <selection activeCell="B5" sqref="B5"/>
    </sheetView>
  </sheetViews>
  <sheetFormatPr baseColWidth="10" defaultColWidth="10.6640625" defaultRowHeight="16" x14ac:dyDescent="0.2"/>
  <cols>
    <col min="1" max="1" width="5.1640625" customWidth="1"/>
    <col min="4" max="4" width="9.1640625" customWidth="1"/>
    <col min="5" max="5" width="9.33203125" customWidth="1"/>
    <col min="6" max="6" width="9.1640625" customWidth="1"/>
    <col min="7" max="8" width="11.6640625" customWidth="1"/>
    <col min="9" max="9" width="12" customWidth="1"/>
    <col min="10" max="10" width="12.5" customWidth="1"/>
    <col min="15" max="15" width="7.33203125" customWidth="1"/>
    <col min="17" max="17" width="18" customWidth="1"/>
    <col min="20" max="20" width="3" customWidth="1"/>
  </cols>
  <sheetData>
    <row r="2" spans="2:20" x14ac:dyDescent="0.2">
      <c r="B2" s="1476" t="s">
        <v>256</v>
      </c>
    </row>
    <row r="3" spans="2:20" x14ac:dyDescent="0.2">
      <c r="B3" t="s">
        <v>23</v>
      </c>
    </row>
    <row r="4" spans="2:20" x14ac:dyDescent="0.2">
      <c r="B4" t="s">
        <v>24</v>
      </c>
    </row>
    <row r="5" spans="2:20" x14ac:dyDescent="0.2">
      <c r="B5" s="274" t="s">
        <v>367</v>
      </c>
    </row>
    <row r="6" spans="2:20" x14ac:dyDescent="0.2">
      <c r="B6" s="275" t="s">
        <v>366</v>
      </c>
    </row>
    <row r="7" spans="2:20" x14ac:dyDescent="0.2">
      <c r="B7" s="275"/>
    </row>
    <row r="8" spans="2:20" x14ac:dyDescent="0.2">
      <c r="B8" s="275" t="s">
        <v>254</v>
      </c>
    </row>
    <row r="10" spans="2:20" x14ac:dyDescent="0.2">
      <c r="B10" s="6" t="s">
        <v>136</v>
      </c>
      <c r="C10" s="4"/>
      <c r="D10" s="4"/>
      <c r="E10" s="4"/>
      <c r="F10" s="4"/>
      <c r="G10" s="4"/>
      <c r="H10" s="4"/>
      <c r="I10" s="4"/>
      <c r="J10" s="4"/>
      <c r="K10" s="4"/>
      <c r="L10" s="4"/>
      <c r="M10" s="4"/>
      <c r="N10" s="4"/>
      <c r="O10" s="4"/>
      <c r="P10" s="4"/>
      <c r="Q10" s="4"/>
      <c r="R10" s="4"/>
      <c r="S10" s="4"/>
      <c r="T10" s="4"/>
    </row>
    <row r="11" spans="2:20" x14ac:dyDescent="0.2">
      <c r="B11" s="67" t="s">
        <v>137</v>
      </c>
      <c r="C11" s="19"/>
      <c r="D11" s="19"/>
      <c r="E11" s="19"/>
      <c r="F11" s="19"/>
      <c r="G11" s="19"/>
      <c r="H11" s="19"/>
      <c r="I11" s="19"/>
      <c r="J11" s="19"/>
      <c r="K11" s="19"/>
      <c r="L11" s="19"/>
      <c r="M11" s="19"/>
      <c r="N11" s="19"/>
      <c r="O11" s="19"/>
      <c r="P11" s="19"/>
      <c r="Q11" s="19"/>
      <c r="R11" s="19"/>
      <c r="S11" s="19"/>
      <c r="T11" s="19"/>
    </row>
    <row r="13" spans="2:20" x14ac:dyDescent="0.2">
      <c r="B13" s="1488"/>
      <c r="C13" t="s">
        <v>288</v>
      </c>
    </row>
    <row r="15" spans="2:20" x14ac:dyDescent="0.2">
      <c r="B15" s="1490"/>
      <c r="C15" s="1491"/>
      <c r="D15" s="1492"/>
      <c r="E15" s="1493"/>
      <c r="F15" s="1494"/>
      <c r="G15" s="1495"/>
      <c r="K15" s="1478"/>
      <c r="L15" s="1478"/>
      <c r="M15" s="1479"/>
      <c r="N15" s="1478"/>
      <c r="O15" s="1478"/>
      <c r="P15" s="1478"/>
      <c r="Q15" s="1478"/>
      <c r="R15" s="1478"/>
      <c r="S15" s="1478"/>
      <c r="T15" s="1478"/>
    </row>
    <row r="16" spans="2:20" x14ac:dyDescent="0.2">
      <c r="B16" s="1496"/>
      <c r="C16" s="1482"/>
      <c r="D16" s="1483"/>
      <c r="E16" s="1484"/>
      <c r="F16" s="1485"/>
      <c r="G16" s="1497"/>
      <c r="K16" s="1478"/>
      <c r="L16" s="1478"/>
      <c r="M16" s="1479"/>
      <c r="N16" s="1478"/>
      <c r="O16" s="1478"/>
      <c r="P16" s="1478"/>
      <c r="Q16" s="1478"/>
      <c r="R16" s="209"/>
      <c r="S16" s="1478"/>
      <c r="T16" s="1478"/>
    </row>
    <row r="17" spans="2:20" x14ac:dyDescent="0.2">
      <c r="B17" s="2230"/>
      <c r="C17" s="2231"/>
      <c r="D17" s="1486"/>
      <c r="E17" s="2229"/>
      <c r="F17" s="2229"/>
      <c r="G17" s="1498"/>
      <c r="K17" s="1478"/>
      <c r="L17" s="1478"/>
      <c r="M17" s="1479"/>
      <c r="N17" s="1478"/>
      <c r="O17" s="1478"/>
      <c r="P17" s="1478"/>
      <c r="Q17" s="1478"/>
      <c r="R17" s="1479"/>
      <c r="S17" s="1478"/>
      <c r="T17" s="1478"/>
    </row>
    <row r="18" spans="2:20" x14ac:dyDescent="0.2">
      <c r="B18" s="2227"/>
      <c r="C18" s="2228"/>
      <c r="D18" s="1487"/>
      <c r="E18" s="2229"/>
      <c r="F18" s="2229"/>
      <c r="G18" s="1499"/>
      <c r="K18" s="1478"/>
      <c r="L18" s="1478"/>
      <c r="M18" s="1479"/>
      <c r="N18" s="1478"/>
      <c r="O18" s="1478"/>
      <c r="P18" s="1478"/>
      <c r="Q18" s="1478"/>
      <c r="R18" s="1479"/>
      <c r="S18" s="1478"/>
      <c r="T18" s="1478"/>
    </row>
    <row r="19" spans="2:20" x14ac:dyDescent="0.2">
      <c r="B19" s="2230"/>
      <c r="C19" s="2231"/>
      <c r="D19" s="1483"/>
      <c r="E19" s="1485"/>
      <c r="F19" s="1485"/>
      <c r="G19" s="1498"/>
      <c r="K19" s="1478"/>
      <c r="L19" s="1478"/>
      <c r="M19" s="1479"/>
      <c r="N19" s="1478"/>
      <c r="O19" s="1478"/>
      <c r="P19" s="1478"/>
      <c r="Q19" s="1478"/>
      <c r="R19" s="1479"/>
      <c r="S19" s="1478"/>
      <c r="T19" s="1478"/>
    </row>
    <row r="20" spans="2:20" x14ac:dyDescent="0.2">
      <c r="B20" s="1496"/>
      <c r="C20" s="1482"/>
      <c r="D20" s="1483"/>
      <c r="E20" s="1484"/>
      <c r="F20" s="1485"/>
      <c r="G20" s="1497"/>
      <c r="K20" s="1478"/>
      <c r="L20" s="1480"/>
      <c r="M20" s="1481"/>
      <c r="N20" s="1478"/>
      <c r="O20" s="1478"/>
      <c r="P20" s="1478"/>
      <c r="Q20" s="1478"/>
      <c r="R20" s="1479"/>
      <c r="S20" s="1478"/>
      <c r="T20" s="1478"/>
    </row>
    <row r="21" spans="2:20" x14ac:dyDescent="0.2">
      <c r="B21" s="1500"/>
      <c r="C21" s="1501"/>
      <c r="D21" s="1502"/>
      <c r="E21" s="1503"/>
      <c r="F21" s="1503"/>
      <c r="G21" s="1504"/>
      <c r="K21" s="1478"/>
      <c r="L21" s="1478"/>
      <c r="M21" s="1478"/>
      <c r="N21" s="1478"/>
      <c r="O21" s="1478"/>
      <c r="P21" s="1478"/>
      <c r="Q21" s="1478"/>
      <c r="R21" s="1478"/>
      <c r="S21" s="1478"/>
      <c r="T21" s="1478"/>
    </row>
    <row r="22" spans="2:20" s="303" customFormat="1" x14ac:dyDescent="0.2">
      <c r="B22" s="1477"/>
    </row>
    <row r="23" spans="2:20" x14ac:dyDescent="0.2">
      <c r="B23" s="67" t="s">
        <v>261</v>
      </c>
      <c r="C23" s="19"/>
      <c r="D23" s="19"/>
      <c r="E23" s="19"/>
      <c r="F23" s="19"/>
      <c r="G23" s="19"/>
      <c r="H23" s="19"/>
      <c r="I23" s="19"/>
      <c r="J23" s="19"/>
      <c r="K23" s="19"/>
      <c r="L23" s="19"/>
      <c r="M23" s="19"/>
      <c r="N23" s="19"/>
      <c r="O23" s="19"/>
      <c r="P23" s="19"/>
      <c r="Q23" s="19"/>
      <c r="R23" s="19"/>
      <c r="S23" s="19"/>
      <c r="T23" s="19"/>
    </row>
    <row r="26" spans="2:20" x14ac:dyDescent="0.2">
      <c r="B26" s="1490"/>
      <c r="C26" s="1491"/>
      <c r="D26" s="1492"/>
      <c r="E26" s="1493"/>
      <c r="F26" s="1494"/>
      <c r="G26" s="1495"/>
      <c r="K26" s="1478"/>
      <c r="L26" s="1478"/>
      <c r="M26" s="1479"/>
      <c r="N26" s="1478"/>
      <c r="O26" s="1478"/>
      <c r="P26" s="1478"/>
      <c r="Q26" s="1478"/>
      <c r="R26" s="1478"/>
      <c r="S26" s="1478"/>
      <c r="T26" s="1478"/>
    </row>
    <row r="27" spans="2:20" x14ac:dyDescent="0.2">
      <c r="B27" s="1496"/>
      <c r="C27" s="1482"/>
      <c r="D27" s="1483"/>
      <c r="E27" s="1484"/>
      <c r="F27" s="1485"/>
      <c r="G27" s="1497"/>
      <c r="K27" s="1478"/>
      <c r="L27" s="1478"/>
      <c r="M27" s="1479"/>
      <c r="N27" s="1478"/>
      <c r="O27" s="1478"/>
      <c r="P27" s="1478"/>
      <c r="Q27" s="1478"/>
      <c r="R27" s="209"/>
      <c r="S27" s="1478"/>
      <c r="T27" s="1478"/>
    </row>
    <row r="28" spans="2:20" x14ac:dyDescent="0.2">
      <c r="B28" s="2230"/>
      <c r="C28" s="2231"/>
      <c r="D28" s="1486"/>
      <c r="E28" s="2229"/>
      <c r="F28" s="2229"/>
      <c r="G28" s="1498"/>
      <c r="K28" s="1478"/>
      <c r="L28" s="1478"/>
      <c r="M28" s="1479"/>
      <c r="N28" s="1478"/>
      <c r="O28" s="1478"/>
      <c r="P28" s="1478"/>
      <c r="Q28" s="1478"/>
      <c r="R28" s="1479"/>
      <c r="S28" s="1478"/>
      <c r="T28" s="1478"/>
    </row>
    <row r="29" spans="2:20" x14ac:dyDescent="0.2">
      <c r="B29" s="2227"/>
      <c r="C29" s="2228"/>
      <c r="D29" s="1487"/>
      <c r="E29" s="2229"/>
      <c r="F29" s="2229"/>
      <c r="G29" s="1499"/>
      <c r="K29" s="1478"/>
      <c r="L29" s="1478"/>
      <c r="M29" s="1479"/>
      <c r="N29" s="1478"/>
      <c r="O29" s="1478"/>
      <c r="P29" s="1478"/>
      <c r="Q29" s="1478"/>
      <c r="R29" s="1479"/>
      <c r="S29" s="1478"/>
      <c r="T29" s="1478"/>
    </row>
    <row r="30" spans="2:20" x14ac:dyDescent="0.2">
      <c r="B30" s="2230"/>
      <c r="C30" s="2231"/>
      <c r="D30" s="1489"/>
      <c r="E30" s="1506"/>
      <c r="F30" s="1485"/>
      <c r="G30" s="1498"/>
      <c r="K30" s="1478"/>
      <c r="L30" s="1478"/>
      <c r="M30" s="1479"/>
      <c r="N30" s="1478"/>
      <c r="O30" s="1478"/>
      <c r="P30" s="1478"/>
      <c r="Q30" s="1478"/>
      <c r="R30" s="1479"/>
      <c r="S30" s="1478"/>
      <c r="T30" s="1478"/>
    </row>
    <row r="31" spans="2:20" x14ac:dyDescent="0.2">
      <c r="B31" s="1496"/>
      <c r="C31" s="1482"/>
      <c r="D31" s="1489"/>
      <c r="E31" s="1508" t="s">
        <v>8</v>
      </c>
      <c r="F31" s="1485"/>
      <c r="G31" s="1497"/>
      <c r="K31" s="1478"/>
      <c r="L31" s="1480"/>
      <c r="M31" s="1481"/>
      <c r="N31" s="1478"/>
      <c r="O31" s="1478"/>
      <c r="P31" s="1478"/>
      <c r="Q31" s="1478"/>
      <c r="R31" s="1479"/>
      <c r="S31" s="1478"/>
      <c r="T31" s="1478"/>
    </row>
    <row r="32" spans="2:20" x14ac:dyDescent="0.2">
      <c r="B32" s="1500"/>
      <c r="C32" s="1501"/>
      <c r="D32" s="1505"/>
      <c r="E32" s="1507"/>
      <c r="F32" s="1503"/>
      <c r="G32" s="1504"/>
      <c r="K32" s="1478"/>
      <c r="L32" s="1478"/>
      <c r="M32" s="1478"/>
      <c r="N32" s="1478"/>
      <c r="O32" s="1478"/>
      <c r="P32" s="1478"/>
      <c r="Q32" s="1478"/>
      <c r="R32" s="1478"/>
      <c r="S32" s="1478"/>
      <c r="T32" s="1478"/>
    </row>
    <row r="33" spans="2:3" s="303" customFormat="1" x14ac:dyDescent="0.2">
      <c r="B33" s="1477"/>
    </row>
    <row r="35" spans="2:3" x14ac:dyDescent="0.2">
      <c r="B35" s="3" t="s">
        <v>123</v>
      </c>
      <c r="C35" t="s">
        <v>287</v>
      </c>
    </row>
  </sheetData>
  <mergeCells count="10">
    <mergeCell ref="B17:C17"/>
    <mergeCell ref="E17:F17"/>
    <mergeCell ref="B18:C18"/>
    <mergeCell ref="E18:F18"/>
    <mergeCell ref="B19:C19"/>
    <mergeCell ref="B29:C29"/>
    <mergeCell ref="E29:F29"/>
    <mergeCell ref="B30:C30"/>
    <mergeCell ref="B28:C28"/>
    <mergeCell ref="E28:F28"/>
  </mergeCells>
  <pageMargins left="0.25" right="0.25" top="0.75" bottom="0.75" header="0.3" footer="0.3"/>
  <pageSetup scale="63"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15312-523C-D24B-ACD3-B93CD3BBB561}">
  <sheetPr>
    <pageSetUpPr fitToPage="1"/>
  </sheetPr>
  <dimension ref="B2:W45"/>
  <sheetViews>
    <sheetView zoomScaleNormal="100" zoomScaleSheetLayoutView="80" workbookViewId="0">
      <selection activeCell="B5" sqref="B5"/>
    </sheetView>
  </sheetViews>
  <sheetFormatPr baseColWidth="10" defaultColWidth="10.6640625" defaultRowHeight="16" x14ac:dyDescent="0.2"/>
  <cols>
    <col min="1" max="1" width="4.83203125" customWidth="1"/>
    <col min="5" max="5" width="9.5" customWidth="1"/>
    <col min="11" max="11" width="10" customWidth="1"/>
    <col min="12" max="12" width="6.6640625" customWidth="1"/>
    <col min="13" max="14" width="10.33203125" customWidth="1"/>
  </cols>
  <sheetData>
    <row r="2" spans="2:23" x14ac:dyDescent="0.2">
      <c r="B2" s="1476" t="s">
        <v>257</v>
      </c>
    </row>
    <row r="3" spans="2:23" x14ac:dyDescent="0.2">
      <c r="B3" t="s">
        <v>23</v>
      </c>
    </row>
    <row r="4" spans="2:23" x14ac:dyDescent="0.2">
      <c r="B4" t="s">
        <v>24</v>
      </c>
    </row>
    <row r="5" spans="2:23" x14ac:dyDescent="0.2">
      <c r="B5" s="274" t="s">
        <v>367</v>
      </c>
    </row>
    <row r="6" spans="2:23" x14ac:dyDescent="0.2">
      <c r="B6" s="275" t="s">
        <v>366</v>
      </c>
    </row>
    <row r="7" spans="2:23" x14ac:dyDescent="0.2">
      <c r="B7" s="275"/>
    </row>
    <row r="8" spans="2:23" x14ac:dyDescent="0.2">
      <c r="B8" s="275" t="s">
        <v>254</v>
      </c>
    </row>
    <row r="10" spans="2:23" x14ac:dyDescent="0.2">
      <c r="B10" s="6" t="s">
        <v>136</v>
      </c>
      <c r="C10" s="4"/>
      <c r="D10" s="4"/>
      <c r="E10" s="4"/>
      <c r="F10" s="4"/>
      <c r="G10" s="4"/>
      <c r="H10" s="4"/>
      <c r="I10" s="4"/>
      <c r="J10" s="4"/>
      <c r="K10" s="4"/>
      <c r="L10" s="4"/>
      <c r="M10" s="4"/>
      <c r="N10" s="4"/>
      <c r="O10" s="4"/>
      <c r="P10" s="4"/>
      <c r="Q10" s="4"/>
      <c r="R10" s="4"/>
      <c r="S10" s="4"/>
      <c r="T10" s="4"/>
      <c r="U10" s="4"/>
      <c r="V10" s="4"/>
      <c r="W10" s="4"/>
    </row>
    <row r="11" spans="2:23" x14ac:dyDescent="0.2">
      <c r="B11" s="67" t="s">
        <v>137</v>
      </c>
      <c r="C11" s="19"/>
      <c r="D11" s="19"/>
      <c r="E11" s="19"/>
      <c r="F11" s="19"/>
      <c r="G11" s="19"/>
      <c r="H11" s="19"/>
      <c r="I11" s="19"/>
      <c r="J11" s="19"/>
      <c r="K11" s="19"/>
      <c r="L11" s="19"/>
      <c r="M11" s="19"/>
      <c r="N11" s="19"/>
      <c r="O11" s="19"/>
      <c r="P11" s="19"/>
      <c r="Q11" s="19"/>
      <c r="R11" s="19"/>
      <c r="S11" s="19"/>
      <c r="T11" s="19"/>
      <c r="U11" s="19"/>
      <c r="V11" s="19"/>
      <c r="W11" s="19"/>
    </row>
    <row r="13" spans="2:23" x14ac:dyDescent="0.2">
      <c r="B13" s="1488"/>
      <c r="C13" t="s">
        <v>289</v>
      </c>
    </row>
    <row r="15" spans="2:23" x14ac:dyDescent="0.2">
      <c r="B15" s="1490"/>
      <c r="C15" s="1491"/>
      <c r="D15" s="1491"/>
      <c r="E15" s="1491"/>
      <c r="F15" s="1491"/>
      <c r="G15" s="1491"/>
      <c r="H15" s="1491"/>
      <c r="I15" s="1491"/>
      <c r="J15" s="1491"/>
      <c r="K15" s="1491"/>
      <c r="L15" s="1495"/>
      <c r="M15" s="1479"/>
      <c r="N15" s="1478"/>
      <c r="O15" s="1478"/>
      <c r="P15" s="1478"/>
      <c r="Q15" s="1478"/>
      <c r="R15" s="1478"/>
      <c r="S15" s="1478"/>
      <c r="T15" s="1478"/>
    </row>
    <row r="16" spans="2:23" x14ac:dyDescent="0.2">
      <c r="B16" s="1496"/>
      <c r="C16" s="1482"/>
      <c r="D16" s="1482"/>
      <c r="E16" s="1482"/>
      <c r="F16" s="1482"/>
      <c r="G16" s="1482"/>
      <c r="H16" s="1482"/>
      <c r="I16" s="1482"/>
      <c r="J16" s="1482"/>
      <c r="K16" s="1482"/>
      <c r="L16" s="1497"/>
      <c r="M16" s="1479"/>
      <c r="N16" s="1478"/>
      <c r="O16" s="1478"/>
      <c r="P16" s="1478"/>
      <c r="Q16" s="1478"/>
      <c r="R16" s="209"/>
      <c r="S16" s="1478"/>
      <c r="T16" s="1478"/>
    </row>
    <row r="17" spans="2:23" x14ac:dyDescent="0.2">
      <c r="B17" s="2230"/>
      <c r="C17" s="2231"/>
      <c r="D17" s="2231"/>
      <c r="E17" s="2231"/>
      <c r="F17" s="2231"/>
      <c r="G17" s="2231"/>
      <c r="H17" s="2231"/>
      <c r="I17" s="2231"/>
      <c r="J17" s="2231"/>
      <c r="K17" s="2231"/>
      <c r="L17" s="2232"/>
      <c r="M17" s="1479"/>
      <c r="N17" s="1478"/>
      <c r="O17" s="1478"/>
      <c r="P17" s="1478"/>
      <c r="Q17" s="1478"/>
      <c r="R17" s="1479"/>
      <c r="S17" s="1478"/>
      <c r="T17" s="1478"/>
    </row>
    <row r="18" spans="2:23" x14ac:dyDescent="0.2">
      <c r="B18" s="2233"/>
      <c r="C18" s="2234"/>
      <c r="D18" s="2234"/>
      <c r="E18" s="2234"/>
      <c r="F18" s="2234"/>
      <c r="G18" s="2234"/>
      <c r="H18" s="2234"/>
      <c r="I18" s="2234"/>
      <c r="J18" s="2234"/>
      <c r="K18" s="2234"/>
      <c r="L18" s="2235"/>
      <c r="M18" s="1479"/>
      <c r="N18" s="1478"/>
      <c r="O18" s="1478"/>
      <c r="P18" s="1478"/>
      <c r="Q18" s="1478"/>
      <c r="R18" s="1479"/>
      <c r="S18" s="1478"/>
      <c r="T18" s="1478"/>
    </row>
    <row r="19" spans="2:23" x14ac:dyDescent="0.2">
      <c r="B19" s="1496"/>
      <c r="C19" s="1482"/>
      <c r="D19" s="1482"/>
      <c r="E19" s="1482"/>
      <c r="F19" s="1513"/>
      <c r="G19" s="1482"/>
      <c r="H19" s="2231"/>
      <c r="I19" s="2231"/>
      <c r="J19" s="2231"/>
      <c r="K19" s="2231"/>
      <c r="L19" s="2232"/>
      <c r="M19" s="1479"/>
      <c r="N19" s="1478"/>
      <c r="O19" s="1478"/>
      <c r="P19" s="1478"/>
      <c r="Q19" s="1478"/>
      <c r="R19" s="1479"/>
      <c r="S19" s="1478"/>
      <c r="T19" s="1478"/>
    </row>
    <row r="20" spans="2:23" x14ac:dyDescent="0.2">
      <c r="B20" s="1496"/>
      <c r="C20" s="1482"/>
      <c r="D20" s="1482"/>
      <c r="E20" s="1482"/>
      <c r="F20" s="1482"/>
      <c r="G20" s="1482"/>
      <c r="H20" s="1482"/>
      <c r="I20" s="1482"/>
      <c r="J20" s="1482"/>
      <c r="K20" s="1482"/>
      <c r="L20" s="1497"/>
      <c r="M20" s="1481"/>
      <c r="N20" s="1478"/>
      <c r="O20" s="1478"/>
      <c r="P20" s="1478"/>
      <c r="Q20" s="1478"/>
      <c r="R20" s="1479"/>
      <c r="S20" s="1478"/>
      <c r="T20" s="1478"/>
    </row>
    <row r="21" spans="2:23" x14ac:dyDescent="0.2">
      <c r="B21" s="1500"/>
      <c r="C21" s="1501"/>
      <c r="D21" s="1501"/>
      <c r="E21" s="1501"/>
      <c r="F21" s="1501"/>
      <c r="G21" s="1501"/>
      <c r="H21" s="1501"/>
      <c r="I21" s="1501"/>
      <c r="J21" s="1501"/>
      <c r="K21" s="1501"/>
      <c r="L21" s="1504"/>
      <c r="M21" s="1478"/>
      <c r="N21" s="1478"/>
      <c r="O21" s="1478"/>
      <c r="P21" s="1478"/>
      <c r="Q21" s="1478"/>
      <c r="R21" s="1478"/>
      <c r="S21" s="1478"/>
      <c r="T21" s="1478"/>
    </row>
    <row r="22" spans="2:23" s="303" customFormat="1" x14ac:dyDescent="0.2">
      <c r="B22" s="1477"/>
    </row>
    <row r="23" spans="2:23" x14ac:dyDescent="0.2">
      <c r="B23" s="67" t="s">
        <v>261</v>
      </c>
      <c r="C23" s="19"/>
      <c r="D23" s="19"/>
      <c r="E23" s="19"/>
      <c r="F23" s="19"/>
      <c r="G23" s="19"/>
      <c r="H23" s="19"/>
      <c r="I23" s="19"/>
      <c r="J23" s="19"/>
      <c r="K23" s="19"/>
      <c r="L23" s="19"/>
      <c r="M23" s="19"/>
      <c r="N23" s="19"/>
      <c r="O23" s="19"/>
      <c r="P23" s="19"/>
      <c r="Q23" s="19"/>
      <c r="R23" s="19"/>
      <c r="S23" s="19"/>
      <c r="T23" s="19"/>
      <c r="U23" s="19"/>
      <c r="V23" s="19"/>
      <c r="W23" s="19"/>
    </row>
    <row r="26" spans="2:23" x14ac:dyDescent="0.2">
      <c r="B26" s="1490"/>
      <c r="C26" s="1491"/>
      <c r="D26" s="1491"/>
      <c r="E26" s="1491"/>
      <c r="F26" s="1491"/>
      <c r="G26" s="1491"/>
      <c r="H26" s="1491"/>
      <c r="I26" s="1491"/>
      <c r="J26" s="1491"/>
      <c r="K26" s="1491"/>
      <c r="L26" s="1495"/>
      <c r="M26" s="1479"/>
      <c r="N26" s="1478"/>
      <c r="O26" s="1478"/>
      <c r="P26" s="1478"/>
      <c r="Q26" s="1478"/>
      <c r="R26" s="1478"/>
      <c r="S26" s="1478"/>
      <c r="T26" s="1478"/>
    </row>
    <row r="27" spans="2:23" x14ac:dyDescent="0.2">
      <c r="B27" s="1496"/>
      <c r="C27" s="1482"/>
      <c r="D27" s="1482"/>
      <c r="E27" s="1482"/>
      <c r="F27" s="1482"/>
      <c r="G27" s="1482"/>
      <c r="H27" s="1482"/>
      <c r="I27" s="1482"/>
      <c r="J27" s="1482"/>
      <c r="K27" s="1482"/>
      <c r="L27" s="1497"/>
      <c r="M27" s="1479"/>
      <c r="N27" s="1478"/>
      <c r="O27" s="1478"/>
      <c r="P27" s="1478"/>
      <c r="Q27" s="1478"/>
      <c r="R27" s="209"/>
      <c r="S27" s="1478"/>
      <c r="T27" s="1478"/>
    </row>
    <row r="28" spans="2:23" x14ac:dyDescent="0.2">
      <c r="B28" s="2230"/>
      <c r="C28" s="2231"/>
      <c r="D28" s="2231"/>
      <c r="E28" s="2231"/>
      <c r="F28" s="2231"/>
      <c r="G28" s="2231"/>
      <c r="H28" s="2231"/>
      <c r="I28" s="2231"/>
      <c r="J28" s="2231"/>
      <c r="K28" s="2231"/>
      <c r="L28" s="2232"/>
      <c r="M28" s="1479"/>
      <c r="N28" s="1478"/>
      <c r="O28" s="1478"/>
      <c r="P28" s="1478"/>
      <c r="Q28" s="1478"/>
      <c r="R28" s="1479"/>
      <c r="S28" s="1478"/>
      <c r="T28" s="1478"/>
    </row>
    <row r="29" spans="2:23" x14ac:dyDescent="0.2">
      <c r="B29" s="2233"/>
      <c r="C29" s="2234"/>
      <c r="D29" s="2234"/>
      <c r="E29" s="2234"/>
      <c r="F29" s="2234"/>
      <c r="G29" s="2234"/>
      <c r="H29" s="2234"/>
      <c r="I29" s="2234"/>
      <c r="J29" s="2234"/>
      <c r="K29" s="2234"/>
      <c r="L29" s="2235"/>
      <c r="M29" s="1479"/>
      <c r="N29" s="1478"/>
      <c r="O29" s="1478"/>
      <c r="P29" s="1478"/>
      <c r="Q29" s="1478"/>
      <c r="R29" s="1479"/>
      <c r="S29" s="1478"/>
      <c r="T29" s="1478"/>
    </row>
    <row r="30" spans="2:23" x14ac:dyDescent="0.2">
      <c r="B30" s="1496"/>
      <c r="C30" s="1482"/>
      <c r="D30" s="1482"/>
      <c r="E30" s="1514"/>
      <c r="F30" s="1513"/>
      <c r="G30" s="1482"/>
      <c r="H30" s="2231"/>
      <c r="I30" s="2231"/>
      <c r="J30" s="2231"/>
      <c r="K30" s="2231"/>
      <c r="L30" s="2232"/>
      <c r="M30" s="1479"/>
      <c r="N30" s="1478"/>
      <c r="O30" s="1478"/>
      <c r="P30" s="1478"/>
      <c r="Q30" s="1478"/>
      <c r="R30" s="1479"/>
      <c r="S30" s="1478"/>
      <c r="T30" s="1478"/>
    </row>
    <row r="31" spans="2:23" x14ac:dyDescent="0.2">
      <c r="B31" s="1496"/>
      <c r="C31" s="1482"/>
      <c r="D31" s="1482"/>
      <c r="E31" s="1516" t="s">
        <v>8</v>
      </c>
      <c r="F31" s="1482"/>
      <c r="G31" s="1482"/>
      <c r="H31" s="1482"/>
      <c r="I31" s="1482"/>
      <c r="J31" s="1482"/>
      <c r="K31" s="1482"/>
      <c r="L31" s="1497"/>
      <c r="M31" s="1481"/>
      <c r="N31" s="1478"/>
      <c r="O31" s="1478"/>
      <c r="P31" s="1478"/>
      <c r="Q31" s="1478"/>
      <c r="R31" s="1479"/>
      <c r="S31" s="1478"/>
      <c r="T31" s="1478"/>
    </row>
    <row r="32" spans="2:23" x14ac:dyDescent="0.2">
      <c r="B32" s="1500"/>
      <c r="C32" s="1501"/>
      <c r="D32" s="1501"/>
      <c r="E32" s="1515"/>
      <c r="F32" s="1501"/>
      <c r="G32" s="1501"/>
      <c r="H32" s="1501"/>
      <c r="I32" s="1501"/>
      <c r="J32" s="1501"/>
      <c r="K32" s="1501"/>
      <c r="L32" s="1504"/>
      <c r="M32" s="1478"/>
      <c r="N32" s="1478"/>
      <c r="O32" s="1478"/>
      <c r="P32" s="1478"/>
      <c r="Q32" s="1478"/>
      <c r="R32" s="1478"/>
      <c r="S32" s="1478"/>
      <c r="T32" s="1478"/>
    </row>
    <row r="33" spans="2:3" s="303" customFormat="1" x14ac:dyDescent="0.2">
      <c r="B33" s="1477"/>
    </row>
    <row r="36" spans="2:3" x14ac:dyDescent="0.2">
      <c r="B36" s="3" t="s">
        <v>123</v>
      </c>
      <c r="C36" t="s">
        <v>287</v>
      </c>
    </row>
    <row r="41" spans="2:3" x14ac:dyDescent="0.2">
      <c r="C41" s="1"/>
    </row>
    <row r="42" spans="2:3" x14ac:dyDescent="0.2">
      <c r="C42" s="1"/>
    </row>
    <row r="43" spans="2:3" x14ac:dyDescent="0.2">
      <c r="C43" s="1"/>
    </row>
    <row r="44" spans="2:3" x14ac:dyDescent="0.2">
      <c r="C44" s="1"/>
    </row>
    <row r="45" spans="2:3" x14ac:dyDescent="0.2">
      <c r="C45" s="2"/>
    </row>
  </sheetData>
  <mergeCells count="20">
    <mergeCell ref="B29:D29"/>
    <mergeCell ref="E29:G29"/>
    <mergeCell ref="H29:I29"/>
    <mergeCell ref="J29:L29"/>
    <mergeCell ref="H30:I30"/>
    <mergeCell ref="J30:L30"/>
    <mergeCell ref="H19:I19"/>
    <mergeCell ref="J19:L19"/>
    <mergeCell ref="B28:D28"/>
    <mergeCell ref="E28:G28"/>
    <mergeCell ref="H28:I28"/>
    <mergeCell ref="J28:L28"/>
    <mergeCell ref="B17:D17"/>
    <mergeCell ref="E17:G17"/>
    <mergeCell ref="H17:I17"/>
    <mergeCell ref="J17:L17"/>
    <mergeCell ref="B18:D18"/>
    <mergeCell ref="E18:G18"/>
    <mergeCell ref="H18:I18"/>
    <mergeCell ref="J18:L18"/>
  </mergeCells>
  <pageMargins left="0.25" right="0.25" top="0.75" bottom="0.75" header="0.3" footer="0.3"/>
  <pageSetup scale="59"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F854-F04D-A541-B1CB-457D45BDD65B}">
  <dimension ref="B2:Z195"/>
  <sheetViews>
    <sheetView showWhiteSpace="0" view="pageBreakPreview" topLeftCell="A184" zoomScale="130" zoomScaleNormal="191" zoomScaleSheetLayoutView="130" workbookViewId="0">
      <selection activeCell="B5" sqref="B5"/>
    </sheetView>
  </sheetViews>
  <sheetFormatPr baseColWidth="10" defaultColWidth="10.6640625" defaultRowHeight="16" x14ac:dyDescent="0.2"/>
  <cols>
    <col min="1" max="1" width="3.6640625" customWidth="1"/>
    <col min="2" max="2" width="12.83203125" customWidth="1"/>
    <col min="10" max="10" width="9.5" customWidth="1"/>
    <col min="11" max="11" width="22.6640625" customWidth="1"/>
    <col min="12" max="12" width="16.6640625" customWidth="1"/>
    <col min="13" max="13" width="8.1640625" customWidth="1"/>
    <col min="17" max="17" width="4.5" customWidth="1"/>
  </cols>
  <sheetData>
    <row r="2" spans="2:17" x14ac:dyDescent="0.2">
      <c r="B2" s="1476" t="s">
        <v>290</v>
      </c>
    </row>
    <row r="3" spans="2:17" x14ac:dyDescent="0.2">
      <c r="B3" t="s">
        <v>23</v>
      </c>
    </row>
    <row r="4" spans="2:17" x14ac:dyDescent="0.2">
      <c r="B4" t="s">
        <v>24</v>
      </c>
    </row>
    <row r="5" spans="2:17" x14ac:dyDescent="0.2">
      <c r="B5" s="274" t="s">
        <v>367</v>
      </c>
    </row>
    <row r="6" spans="2:17" x14ac:dyDescent="0.2">
      <c r="B6" s="275" t="s">
        <v>366</v>
      </c>
    </row>
    <row r="8" spans="2:17" x14ac:dyDescent="0.2">
      <c r="B8" s="2240" t="s">
        <v>105</v>
      </c>
      <c r="C8" s="2240"/>
      <c r="D8" s="2240"/>
      <c r="E8" s="2240"/>
      <c r="F8" s="2240"/>
      <c r="G8" s="2240"/>
      <c r="H8" s="2240"/>
      <c r="I8" s="2240"/>
      <c r="J8" s="2240"/>
      <c r="K8" s="2240"/>
      <c r="L8" s="2240"/>
      <c r="M8" s="2240"/>
      <c r="N8" s="2240"/>
      <c r="O8" s="2240"/>
      <c r="P8" s="2240"/>
    </row>
    <row r="9" spans="2:17" x14ac:dyDescent="0.2">
      <c r="B9" s="330"/>
      <c r="C9" s="330"/>
      <c r="D9" s="330"/>
      <c r="E9" s="330"/>
      <c r="F9" s="330"/>
      <c r="G9" s="330"/>
      <c r="H9" s="330"/>
      <c r="I9" s="330"/>
      <c r="J9" s="330"/>
      <c r="K9" s="330"/>
      <c r="L9" s="330"/>
      <c r="M9" s="330"/>
      <c r="N9" s="330"/>
      <c r="O9" s="330"/>
      <c r="P9" s="330"/>
    </row>
    <row r="10" spans="2:17" x14ac:dyDescent="0.2">
      <c r="B10" s="275" t="s">
        <v>254</v>
      </c>
      <c r="C10" s="330"/>
      <c r="D10" s="330"/>
      <c r="E10" s="330"/>
      <c r="F10" s="330"/>
      <c r="G10" s="330"/>
      <c r="H10" s="330"/>
      <c r="I10" s="330"/>
      <c r="J10" s="330"/>
      <c r="K10" s="330"/>
      <c r="L10" s="330"/>
      <c r="M10" s="330"/>
      <c r="N10" s="330"/>
      <c r="O10" s="330"/>
      <c r="P10" s="330"/>
    </row>
    <row r="12" spans="2:17" x14ac:dyDescent="0.2">
      <c r="B12" s="6" t="s">
        <v>36</v>
      </c>
      <c r="C12" s="5"/>
      <c r="D12" s="5"/>
      <c r="E12" s="5"/>
      <c r="F12" s="5"/>
      <c r="G12" s="5"/>
      <c r="H12" s="5"/>
      <c r="I12" s="5"/>
      <c r="J12" s="5"/>
      <c r="K12" s="5"/>
      <c r="L12" s="5"/>
      <c r="M12" s="5"/>
      <c r="N12" s="5"/>
      <c r="O12" s="5"/>
      <c r="P12" s="5"/>
      <c r="Q12" s="5"/>
    </row>
    <row r="13" spans="2:17" x14ac:dyDescent="0.2">
      <c r="B13" t="s">
        <v>22</v>
      </c>
      <c r="F13" s="32">
        <v>20000</v>
      </c>
      <c r="G13" t="s">
        <v>33</v>
      </c>
    </row>
    <row r="15" spans="2:17" x14ac:dyDescent="0.2">
      <c r="B15" s="67" t="s">
        <v>61</v>
      </c>
      <c r="C15" s="19"/>
      <c r="D15" s="19"/>
      <c r="E15" s="19"/>
      <c r="F15" s="19"/>
      <c r="G15" s="19"/>
      <c r="H15" s="19"/>
      <c r="I15" s="19"/>
      <c r="J15" s="19"/>
      <c r="K15" s="19"/>
      <c r="L15" s="19"/>
      <c r="M15" s="19"/>
      <c r="N15" s="19"/>
      <c r="O15" s="19"/>
      <c r="P15" s="19"/>
    </row>
    <row r="16" spans="2:17" x14ac:dyDescent="0.2">
      <c r="B16" t="s">
        <v>108</v>
      </c>
      <c r="C16" s="32">
        <v>2500</v>
      </c>
      <c r="D16" t="s">
        <v>33</v>
      </c>
    </row>
    <row r="17" spans="2:26" ht="17" thickBot="1" x14ac:dyDescent="0.25"/>
    <row r="18" spans="2:26" x14ac:dyDescent="0.2">
      <c r="B18" s="7"/>
      <c r="C18" s="47"/>
      <c r="D18" s="78"/>
      <c r="E18" s="47"/>
      <c r="F18" s="62"/>
      <c r="G18" s="55"/>
      <c r="I18" s="11" t="str">
        <f>B20</f>
        <v>PO-1</v>
      </c>
      <c r="J18" s="141">
        <v>300</v>
      </c>
      <c r="L18" s="3" t="s">
        <v>25</v>
      </c>
      <c r="N18" s="68" t="s">
        <v>21</v>
      </c>
      <c r="O18" s="68" t="s">
        <v>20</v>
      </c>
      <c r="P18" s="68" t="s">
        <v>19</v>
      </c>
    </row>
    <row r="19" spans="2:26" x14ac:dyDescent="0.2">
      <c r="B19" s="10"/>
      <c r="C19" s="48"/>
      <c r="D19" s="34"/>
      <c r="E19" s="48"/>
      <c r="F19" s="63"/>
      <c r="G19" s="56"/>
      <c r="I19" s="11" t="str">
        <f>C20</f>
        <v>PO-1</v>
      </c>
      <c r="J19" s="141">
        <v>300</v>
      </c>
      <c r="L19" t="s">
        <v>99</v>
      </c>
      <c r="N19" s="33">
        <v>1</v>
      </c>
      <c r="O19" s="33">
        <v>2</v>
      </c>
      <c r="P19" s="33">
        <v>3</v>
      </c>
    </row>
    <row r="20" spans="2:26" x14ac:dyDescent="0.2">
      <c r="B20" s="28" t="s">
        <v>74</v>
      </c>
      <c r="C20" s="49" t="s">
        <v>74</v>
      </c>
      <c r="D20" s="77" t="s">
        <v>75</v>
      </c>
      <c r="E20" s="49" t="s">
        <v>74</v>
      </c>
      <c r="F20" s="64" t="s">
        <v>76</v>
      </c>
      <c r="G20" s="57" t="s">
        <v>74</v>
      </c>
      <c r="I20" s="34" t="str">
        <f>D20</f>
        <v>PO-2</v>
      </c>
      <c r="J20" s="143">
        <v>450</v>
      </c>
      <c r="L20" t="s">
        <v>40</v>
      </c>
      <c r="N20" s="33">
        <v>1</v>
      </c>
      <c r="O20" s="33">
        <v>1</v>
      </c>
      <c r="P20" s="33">
        <v>1</v>
      </c>
    </row>
    <row r="21" spans="2:26" x14ac:dyDescent="0.2">
      <c r="B21" s="28">
        <v>300</v>
      </c>
      <c r="C21" s="49">
        <v>300</v>
      </c>
      <c r="D21" s="77">
        <v>450</v>
      </c>
      <c r="E21" s="49">
        <v>300</v>
      </c>
      <c r="F21" s="64">
        <v>500</v>
      </c>
      <c r="G21" s="57">
        <v>300</v>
      </c>
      <c r="H21" s="33"/>
      <c r="I21" s="11" t="str">
        <f>E20</f>
        <v>PO-1</v>
      </c>
      <c r="J21" s="141">
        <v>300</v>
      </c>
      <c r="L21" t="s">
        <v>41</v>
      </c>
      <c r="N21" s="33">
        <v>1</v>
      </c>
      <c r="O21" s="33">
        <v>1</v>
      </c>
      <c r="P21" s="33">
        <v>2</v>
      </c>
    </row>
    <row r="22" spans="2:26" x14ac:dyDescent="0.2">
      <c r="B22" s="10"/>
      <c r="C22" s="48"/>
      <c r="D22" s="34"/>
      <c r="E22" s="48"/>
      <c r="F22" s="63"/>
      <c r="G22" s="56"/>
      <c r="H22" s="33"/>
      <c r="I22" s="20" t="str">
        <f>F20</f>
        <v>PO-3</v>
      </c>
      <c r="J22" s="142">
        <v>500</v>
      </c>
      <c r="L22" t="s">
        <v>98</v>
      </c>
      <c r="N22" s="33">
        <v>1</v>
      </c>
      <c r="O22" s="33">
        <v>1</v>
      </c>
      <c r="P22" s="33">
        <v>2</v>
      </c>
    </row>
    <row r="23" spans="2:26" x14ac:dyDescent="0.2">
      <c r="B23" s="10"/>
      <c r="C23" s="48"/>
      <c r="D23" s="34"/>
      <c r="E23" s="48"/>
      <c r="F23" s="63"/>
      <c r="G23" s="56"/>
      <c r="I23" s="66" t="str">
        <f>G20</f>
        <v>PO-1</v>
      </c>
      <c r="J23" s="165">
        <v>300</v>
      </c>
      <c r="L23" t="s">
        <v>91</v>
      </c>
      <c r="N23" s="33">
        <v>1</v>
      </c>
      <c r="O23" s="33">
        <v>1</v>
      </c>
      <c r="P23" s="33">
        <v>2</v>
      </c>
    </row>
    <row r="24" spans="2:26" ht="17" thickBot="1" x14ac:dyDescent="0.25">
      <c r="B24" s="13"/>
      <c r="C24" s="50"/>
      <c r="D24" s="79"/>
      <c r="E24" s="50"/>
      <c r="F24" s="65"/>
      <c r="G24" s="58"/>
      <c r="I24" s="60" t="s">
        <v>6</v>
      </c>
      <c r="J24" s="189">
        <f>SUM(B21:G21)</f>
        <v>2150</v>
      </c>
      <c r="K24" t="s">
        <v>33</v>
      </c>
    </row>
    <row r="25" spans="2:26" x14ac:dyDescent="0.2">
      <c r="J25" s="32"/>
      <c r="L25" t="s">
        <v>14</v>
      </c>
      <c r="N25" s="46">
        <v>0.8</v>
      </c>
      <c r="O25" s="46">
        <v>0.1</v>
      </c>
      <c r="P25" s="46">
        <v>0.1</v>
      </c>
    </row>
    <row r="26" spans="2:26" ht="11" customHeight="1" x14ac:dyDescent="0.2">
      <c r="P26" s="33"/>
    </row>
    <row r="27" spans="2:26" x14ac:dyDescent="0.2">
      <c r="B27" s="67" t="s">
        <v>94</v>
      </c>
      <c r="C27" s="19"/>
      <c r="D27" s="19"/>
      <c r="E27" s="19"/>
      <c r="F27" s="19"/>
      <c r="G27" s="19"/>
      <c r="H27" s="19"/>
      <c r="I27" s="19"/>
      <c r="J27" s="19"/>
      <c r="K27" s="19"/>
      <c r="L27" s="19"/>
      <c r="M27" s="19"/>
      <c r="N27" s="19"/>
      <c r="O27" s="19"/>
      <c r="P27" s="19"/>
    </row>
    <row r="28" spans="2:26" x14ac:dyDescent="0.2">
      <c r="B28" t="s">
        <v>106</v>
      </c>
      <c r="C28" s="32">
        <v>5000</v>
      </c>
      <c r="D28" t="s">
        <v>33</v>
      </c>
      <c r="P28" s="33"/>
    </row>
    <row r="29" spans="2:26" x14ac:dyDescent="0.2">
      <c r="P29" s="33"/>
    </row>
    <row r="30" spans="2:26" ht="17" thickBot="1" x14ac:dyDescent="0.25">
      <c r="B30" s="3" t="s">
        <v>18</v>
      </c>
      <c r="L30" s="3" t="s">
        <v>18</v>
      </c>
      <c r="N30" s="68" t="s">
        <v>21</v>
      </c>
      <c r="O30" s="68" t="s">
        <v>20</v>
      </c>
      <c r="P30" s="68" t="s">
        <v>19</v>
      </c>
      <c r="T30" s="3"/>
      <c r="X30" s="68"/>
      <c r="Y30" s="68"/>
      <c r="Z30" s="68"/>
    </row>
    <row r="31" spans="2:26" x14ac:dyDescent="0.2">
      <c r="B31" s="69"/>
      <c r="C31" s="70"/>
      <c r="D31" s="51"/>
      <c r="E31" s="102"/>
      <c r="F31" s="103"/>
      <c r="L31" t="s">
        <v>17</v>
      </c>
      <c r="N31" s="33">
        <v>1</v>
      </c>
      <c r="O31" s="33">
        <v>1</v>
      </c>
      <c r="P31" s="33">
        <v>1</v>
      </c>
      <c r="T31" s="3"/>
    </row>
    <row r="32" spans="2:26" x14ac:dyDescent="0.2">
      <c r="B32" s="71"/>
      <c r="C32" s="72"/>
      <c r="D32" s="52"/>
      <c r="E32" s="104"/>
      <c r="F32" s="105"/>
      <c r="I32" s="27" t="str">
        <f>B33</f>
        <v>M-1</v>
      </c>
      <c r="J32" s="131">
        <v>1100</v>
      </c>
      <c r="L32" t="s">
        <v>37</v>
      </c>
      <c r="N32" s="33">
        <v>2</v>
      </c>
      <c r="O32" s="33">
        <v>4</v>
      </c>
      <c r="P32" s="33">
        <v>6</v>
      </c>
      <c r="X32" s="33"/>
      <c r="Y32" s="33"/>
      <c r="Z32" s="33"/>
    </row>
    <row r="33" spans="2:26" x14ac:dyDescent="0.2">
      <c r="B33" s="73" t="s">
        <v>71</v>
      </c>
      <c r="C33" s="74" t="s">
        <v>71</v>
      </c>
      <c r="D33" s="53" t="s">
        <v>72</v>
      </c>
      <c r="E33" s="106" t="s">
        <v>73</v>
      </c>
      <c r="F33" s="107" t="s">
        <v>73</v>
      </c>
      <c r="I33" s="27" t="str">
        <f>C33</f>
        <v>M-1</v>
      </c>
      <c r="J33" s="131">
        <v>1100</v>
      </c>
      <c r="L33" t="s">
        <v>38</v>
      </c>
      <c r="N33" s="33">
        <v>1</v>
      </c>
      <c r="O33" s="33">
        <v>1</v>
      </c>
      <c r="P33" s="33">
        <v>2</v>
      </c>
      <c r="X33" s="33"/>
      <c r="Y33" s="33"/>
      <c r="Z33" s="33"/>
    </row>
    <row r="34" spans="2:26" x14ac:dyDescent="0.2">
      <c r="B34" s="126">
        <v>1100</v>
      </c>
      <c r="C34" s="127">
        <v>1100</v>
      </c>
      <c r="D34" s="128">
        <v>1400</v>
      </c>
      <c r="E34" s="129">
        <v>800</v>
      </c>
      <c r="F34" s="130">
        <v>800</v>
      </c>
      <c r="G34" s="33"/>
      <c r="H34" s="33"/>
      <c r="I34" s="21" t="str">
        <f>D33</f>
        <v>M-2</v>
      </c>
      <c r="J34" s="132">
        <v>1400</v>
      </c>
      <c r="L34" t="s">
        <v>15</v>
      </c>
      <c r="N34" s="33">
        <v>1</v>
      </c>
      <c r="O34" s="33">
        <v>1</v>
      </c>
      <c r="P34" s="33">
        <v>1</v>
      </c>
      <c r="X34" s="33"/>
      <c r="Y34" s="33"/>
      <c r="Z34" s="33"/>
    </row>
    <row r="35" spans="2:26" x14ac:dyDescent="0.2">
      <c r="B35" s="71"/>
      <c r="C35" s="72"/>
      <c r="D35" s="52"/>
      <c r="E35" s="104"/>
      <c r="F35" s="105"/>
      <c r="G35" s="33"/>
      <c r="H35" s="33"/>
      <c r="I35" s="110" t="str">
        <f>E33</f>
        <v>M-3</v>
      </c>
      <c r="J35" s="133">
        <v>800</v>
      </c>
      <c r="N35" s="33"/>
      <c r="O35" s="33"/>
      <c r="P35" s="33"/>
      <c r="T35" s="3"/>
      <c r="X35" s="33"/>
      <c r="Y35" s="33"/>
      <c r="Z35" s="33"/>
    </row>
    <row r="36" spans="2:26" x14ac:dyDescent="0.2">
      <c r="B36" s="71"/>
      <c r="C36" s="72"/>
      <c r="D36" s="52"/>
      <c r="E36" s="104"/>
      <c r="F36" s="105"/>
      <c r="I36" s="111" t="str">
        <f>F33</f>
        <v>M-3</v>
      </c>
      <c r="J36" s="134">
        <v>800</v>
      </c>
      <c r="L36" t="s">
        <v>14</v>
      </c>
      <c r="N36" s="46">
        <v>0.4</v>
      </c>
      <c r="O36" s="46">
        <v>0.3</v>
      </c>
      <c r="P36" s="46">
        <v>0.2</v>
      </c>
      <c r="X36" s="33"/>
      <c r="Y36" s="33"/>
      <c r="Z36" s="33"/>
    </row>
    <row r="37" spans="2:26" ht="17" thickBot="1" x14ac:dyDescent="0.25">
      <c r="B37" s="75"/>
      <c r="C37" s="76"/>
      <c r="D37" s="54"/>
      <c r="E37" s="108"/>
      <c r="F37" s="109"/>
      <c r="I37" s="60" t="s">
        <v>6</v>
      </c>
      <c r="J37" s="189">
        <f>SUM(J32:J36)</f>
        <v>5200</v>
      </c>
      <c r="K37" t="s">
        <v>33</v>
      </c>
      <c r="X37" s="33"/>
      <c r="Y37" s="33"/>
      <c r="Z37" s="33"/>
    </row>
    <row r="38" spans="2:26" x14ac:dyDescent="0.2">
      <c r="J38" s="32"/>
      <c r="N38" s="46"/>
      <c r="O38" s="46"/>
      <c r="P38" s="46"/>
      <c r="X38" s="33"/>
      <c r="Y38" s="33"/>
      <c r="Z38" s="33"/>
    </row>
    <row r="39" spans="2:26" ht="17" thickBot="1" x14ac:dyDescent="0.25">
      <c r="B39" s="3" t="s">
        <v>95</v>
      </c>
      <c r="J39" s="32"/>
      <c r="L39" s="3" t="s">
        <v>95</v>
      </c>
      <c r="N39" s="68" t="s">
        <v>21</v>
      </c>
      <c r="O39" s="68" t="s">
        <v>20</v>
      </c>
      <c r="P39" s="68" t="s">
        <v>19</v>
      </c>
      <c r="X39" s="33"/>
      <c r="Y39" s="33"/>
      <c r="Z39" s="33"/>
    </row>
    <row r="40" spans="2:26" x14ac:dyDescent="0.2">
      <c r="B40" s="224"/>
      <c r="C40" s="229"/>
      <c r="D40" s="47"/>
      <c r="E40" s="51"/>
      <c r="F40" s="16"/>
      <c r="J40" s="32"/>
      <c r="L40" t="s">
        <v>17</v>
      </c>
      <c r="N40" s="33">
        <v>1</v>
      </c>
      <c r="O40" s="33">
        <v>1</v>
      </c>
      <c r="P40" s="33">
        <v>1</v>
      </c>
      <c r="X40" s="33"/>
      <c r="Y40" s="33"/>
      <c r="Z40" s="33"/>
    </row>
    <row r="41" spans="2:26" x14ac:dyDescent="0.2">
      <c r="B41" s="225"/>
      <c r="C41" s="230"/>
      <c r="D41" s="48"/>
      <c r="E41" s="52"/>
      <c r="F41" s="17"/>
      <c r="I41" s="20" t="str">
        <f>B42</f>
        <v>B-1</v>
      </c>
      <c r="J41" s="142">
        <v>1100</v>
      </c>
      <c r="L41" t="s">
        <v>31</v>
      </c>
      <c r="N41" s="33">
        <v>1</v>
      </c>
      <c r="O41" s="33">
        <v>2</v>
      </c>
      <c r="P41" s="33">
        <v>2</v>
      </c>
      <c r="T41" s="3"/>
      <c r="X41" s="33"/>
      <c r="Y41" s="33"/>
      <c r="Z41" s="33"/>
    </row>
    <row r="42" spans="2:26" x14ac:dyDescent="0.2">
      <c r="B42" s="226" t="s">
        <v>109</v>
      </c>
      <c r="C42" s="231" t="s">
        <v>109</v>
      </c>
      <c r="D42" s="49" t="s">
        <v>110</v>
      </c>
      <c r="E42" s="53" t="s">
        <v>111</v>
      </c>
      <c r="F42" s="235" t="s">
        <v>111</v>
      </c>
      <c r="I42" s="20" t="str">
        <f>C42</f>
        <v>B-1</v>
      </c>
      <c r="J42" s="142">
        <v>1100</v>
      </c>
      <c r="L42" t="s">
        <v>16</v>
      </c>
      <c r="N42" s="33">
        <v>2</v>
      </c>
      <c r="O42" s="33">
        <v>2</v>
      </c>
      <c r="P42" s="33">
        <v>4</v>
      </c>
      <c r="X42" s="33"/>
      <c r="Y42" s="33"/>
      <c r="Z42" s="33"/>
    </row>
    <row r="43" spans="2:26" x14ac:dyDescent="0.2">
      <c r="B43" s="227">
        <v>1100</v>
      </c>
      <c r="C43" s="232">
        <v>1100</v>
      </c>
      <c r="D43" s="234">
        <v>1400</v>
      </c>
      <c r="E43" s="128">
        <v>800</v>
      </c>
      <c r="F43" s="147">
        <v>800</v>
      </c>
      <c r="I43" s="11" t="str">
        <f>D42</f>
        <v>B-2</v>
      </c>
      <c r="J43" s="141">
        <v>1400</v>
      </c>
      <c r="L43" t="s">
        <v>15</v>
      </c>
      <c r="N43" s="33">
        <v>1</v>
      </c>
      <c r="O43" s="33">
        <v>1</v>
      </c>
      <c r="P43" s="33">
        <v>1</v>
      </c>
      <c r="X43" s="33"/>
      <c r="Y43" s="33"/>
      <c r="Z43" s="33"/>
    </row>
    <row r="44" spans="2:26" x14ac:dyDescent="0.2">
      <c r="B44" s="225"/>
      <c r="C44" s="230"/>
      <c r="D44" s="48"/>
      <c r="E44" s="52"/>
      <c r="F44" s="17"/>
      <c r="I44" s="21" t="str">
        <f>E42</f>
        <v>B-3</v>
      </c>
      <c r="J44" s="132">
        <v>800</v>
      </c>
      <c r="N44" s="33"/>
      <c r="O44" s="33"/>
      <c r="P44" s="33"/>
      <c r="X44" s="33"/>
      <c r="Y44" s="33"/>
      <c r="Z44" s="33"/>
    </row>
    <row r="45" spans="2:26" x14ac:dyDescent="0.2">
      <c r="B45" s="225"/>
      <c r="C45" s="230"/>
      <c r="D45" s="48"/>
      <c r="E45" s="52"/>
      <c r="F45" s="17"/>
      <c r="I45" s="61" t="str">
        <f>F42</f>
        <v>B-3</v>
      </c>
      <c r="J45" s="150">
        <v>800</v>
      </c>
      <c r="L45" t="s">
        <v>14</v>
      </c>
      <c r="N45" s="46">
        <v>0.4</v>
      </c>
      <c r="O45" s="46">
        <v>0.3</v>
      </c>
      <c r="P45" s="46">
        <v>0.2</v>
      </c>
      <c r="X45" s="33"/>
      <c r="Y45" s="33"/>
      <c r="Z45" s="33"/>
    </row>
    <row r="46" spans="2:26" ht="17" thickBot="1" x14ac:dyDescent="0.25">
      <c r="B46" s="228"/>
      <c r="C46" s="233"/>
      <c r="D46" s="50"/>
      <c r="E46" s="54"/>
      <c r="F46" s="18"/>
      <c r="I46" s="60" t="s">
        <v>6</v>
      </c>
      <c r="J46" s="189">
        <f>SUM(J41:J45)</f>
        <v>5200</v>
      </c>
      <c r="K46" t="s">
        <v>33</v>
      </c>
      <c r="T46" s="3"/>
      <c r="X46" s="33"/>
      <c r="Y46" s="33"/>
      <c r="Z46" s="33"/>
    </row>
    <row r="47" spans="2:26" x14ac:dyDescent="0.2">
      <c r="I47" s="60"/>
      <c r="J47" s="189"/>
      <c r="X47" s="33"/>
      <c r="Y47" s="33"/>
      <c r="Z47" s="33"/>
    </row>
    <row r="48" spans="2:26" ht="17" thickBot="1" x14ac:dyDescent="0.25">
      <c r="B48" s="3" t="s">
        <v>96</v>
      </c>
      <c r="J48" s="32"/>
      <c r="L48" s="3" t="s">
        <v>96</v>
      </c>
      <c r="N48" s="68" t="s">
        <v>21</v>
      </c>
      <c r="O48" s="68" t="s">
        <v>20</v>
      </c>
      <c r="P48" s="68" t="s">
        <v>19</v>
      </c>
      <c r="X48" s="33"/>
      <c r="Y48" s="33"/>
      <c r="Z48" s="33"/>
    </row>
    <row r="49" spans="2:26" x14ac:dyDescent="0.2">
      <c r="B49" s="247"/>
      <c r="C49" s="102"/>
      <c r="D49" s="229"/>
      <c r="E49" s="252"/>
      <c r="F49" s="242"/>
      <c r="J49" s="32"/>
      <c r="L49" t="s">
        <v>31</v>
      </c>
      <c r="N49" s="33">
        <v>0</v>
      </c>
      <c r="O49" s="33">
        <v>1</v>
      </c>
      <c r="P49" s="33">
        <v>2</v>
      </c>
      <c r="X49" s="33"/>
      <c r="Y49" s="33"/>
      <c r="Z49" s="33"/>
    </row>
    <row r="50" spans="2:26" x14ac:dyDescent="0.2">
      <c r="B50" s="248"/>
      <c r="C50" s="104"/>
      <c r="D50" s="230"/>
      <c r="E50" s="253"/>
      <c r="F50" s="243"/>
      <c r="I50" s="110" t="s">
        <v>62</v>
      </c>
      <c r="J50" s="133">
        <f>B52</f>
        <v>1100</v>
      </c>
      <c r="L50" t="s">
        <v>67</v>
      </c>
      <c r="N50" s="33">
        <v>3</v>
      </c>
      <c r="O50" s="33">
        <v>5</v>
      </c>
      <c r="P50" s="33">
        <v>7</v>
      </c>
      <c r="X50" s="33"/>
      <c r="Y50" s="33"/>
      <c r="Z50" s="33"/>
    </row>
    <row r="51" spans="2:26" x14ac:dyDescent="0.2">
      <c r="B51" s="250" t="s">
        <v>62</v>
      </c>
      <c r="C51" s="106" t="s">
        <v>62</v>
      </c>
      <c r="D51" s="231" t="s">
        <v>63</v>
      </c>
      <c r="E51" s="254" t="s">
        <v>64</v>
      </c>
      <c r="F51" s="257" t="s">
        <v>64</v>
      </c>
      <c r="I51" s="110" t="s">
        <v>62</v>
      </c>
      <c r="J51" s="133">
        <f>C52</f>
        <v>1100</v>
      </c>
      <c r="L51" t="s">
        <v>65</v>
      </c>
      <c r="N51" s="33">
        <v>1</v>
      </c>
      <c r="O51" s="33">
        <v>1</v>
      </c>
      <c r="P51" s="33">
        <v>1</v>
      </c>
      <c r="X51" s="33"/>
      <c r="Y51" s="33"/>
      <c r="Z51" s="33"/>
    </row>
    <row r="52" spans="2:26" x14ac:dyDescent="0.2">
      <c r="B52" s="251">
        <v>1100</v>
      </c>
      <c r="C52" s="129">
        <v>1100</v>
      </c>
      <c r="D52" s="232">
        <v>1400</v>
      </c>
      <c r="E52" s="255">
        <v>800</v>
      </c>
      <c r="F52" s="244">
        <v>800</v>
      </c>
      <c r="I52" s="20" t="s">
        <v>63</v>
      </c>
      <c r="J52" s="142">
        <f>D52</f>
        <v>1400</v>
      </c>
      <c r="L52" t="s">
        <v>66</v>
      </c>
      <c r="N52" s="33">
        <v>0</v>
      </c>
      <c r="O52" s="33">
        <v>1</v>
      </c>
      <c r="P52" s="33">
        <v>1</v>
      </c>
      <c r="X52" s="33"/>
      <c r="Y52" s="33"/>
      <c r="Z52" s="33"/>
    </row>
    <row r="53" spans="2:26" x14ac:dyDescent="0.2">
      <c r="B53" s="248"/>
      <c r="C53" s="104"/>
      <c r="D53" s="230"/>
      <c r="E53" s="253"/>
      <c r="F53" s="243"/>
      <c r="I53" s="27" t="s">
        <v>64</v>
      </c>
      <c r="J53" s="131">
        <f>E52</f>
        <v>800</v>
      </c>
      <c r="N53" s="33"/>
      <c r="O53" s="33"/>
      <c r="P53" s="33"/>
      <c r="T53" s="3"/>
      <c r="X53" s="33"/>
      <c r="Y53" s="33"/>
      <c r="Z53" s="33"/>
    </row>
    <row r="54" spans="2:26" x14ac:dyDescent="0.2">
      <c r="B54" s="248"/>
      <c r="C54" s="104"/>
      <c r="D54" s="230"/>
      <c r="E54" s="253"/>
      <c r="F54" s="243"/>
      <c r="I54" s="171" t="s">
        <v>64</v>
      </c>
      <c r="J54" s="246">
        <f>F52</f>
        <v>800</v>
      </c>
      <c r="L54" t="s">
        <v>14</v>
      </c>
      <c r="N54" s="46">
        <v>0.4</v>
      </c>
      <c r="O54" s="46">
        <v>0.3</v>
      </c>
      <c r="P54" s="46">
        <v>0.2</v>
      </c>
      <c r="X54" s="33"/>
      <c r="Y54" s="33"/>
      <c r="Z54" s="33"/>
    </row>
    <row r="55" spans="2:26" ht="17" thickBot="1" x14ac:dyDescent="0.25">
      <c r="B55" s="249"/>
      <c r="C55" s="108"/>
      <c r="D55" s="233"/>
      <c r="E55" s="256"/>
      <c r="F55" s="245"/>
      <c r="I55" s="60" t="s">
        <v>6</v>
      </c>
      <c r="J55" s="189">
        <f>SUM(J50:J54)</f>
        <v>5200</v>
      </c>
      <c r="K55" t="s">
        <v>33</v>
      </c>
      <c r="X55" s="33"/>
      <c r="Y55" s="33"/>
      <c r="Z55" s="33"/>
    </row>
    <row r="56" spans="2:26" x14ac:dyDescent="0.2">
      <c r="I56" s="60"/>
      <c r="J56" s="189"/>
      <c r="X56" s="33"/>
      <c r="Y56" s="33"/>
      <c r="Z56" s="33"/>
    </row>
    <row r="57" spans="2:26" ht="17" thickBot="1" x14ac:dyDescent="0.25">
      <c r="B57" s="3" t="s">
        <v>97</v>
      </c>
      <c r="J57" s="32"/>
      <c r="L57" s="3" t="s">
        <v>97</v>
      </c>
      <c r="N57" s="68" t="s">
        <v>21</v>
      </c>
      <c r="O57" s="68" t="s">
        <v>20</v>
      </c>
      <c r="P57" s="68" t="s">
        <v>19</v>
      </c>
      <c r="X57" s="33"/>
      <c r="Y57" s="33"/>
      <c r="Z57" s="33"/>
    </row>
    <row r="58" spans="2:26" x14ac:dyDescent="0.2">
      <c r="B58" s="224"/>
      <c r="C58" s="62"/>
      <c r="D58" s="175"/>
      <c r="E58" s="51"/>
      <c r="F58" s="16"/>
      <c r="J58" s="32"/>
      <c r="L58" t="s">
        <v>70</v>
      </c>
      <c r="N58" s="33">
        <v>1</v>
      </c>
      <c r="O58" s="33">
        <v>1</v>
      </c>
      <c r="P58" s="33">
        <v>1</v>
      </c>
      <c r="X58" s="33"/>
      <c r="Y58" s="33"/>
      <c r="Z58" s="33"/>
    </row>
    <row r="59" spans="2:26" x14ac:dyDescent="0.2">
      <c r="B59" s="225"/>
      <c r="C59" s="63"/>
      <c r="D59" s="196"/>
      <c r="E59" s="52"/>
      <c r="F59" s="17"/>
      <c r="I59" s="20" t="str">
        <f>B60</f>
        <v>A-1</v>
      </c>
      <c r="J59" s="142">
        <f>B61</f>
        <v>1100</v>
      </c>
      <c r="L59" t="s">
        <v>68</v>
      </c>
      <c r="N59" s="33">
        <v>6</v>
      </c>
      <c r="O59" s="33">
        <v>10</v>
      </c>
      <c r="P59" s="33">
        <v>0</v>
      </c>
      <c r="T59" s="3"/>
      <c r="X59" s="33"/>
      <c r="Y59" s="33"/>
      <c r="Z59" s="33"/>
    </row>
    <row r="60" spans="2:26" x14ac:dyDescent="0.2">
      <c r="B60" s="226" t="s">
        <v>112</v>
      </c>
      <c r="C60" s="64" t="s">
        <v>112</v>
      </c>
      <c r="D60" s="259" t="s">
        <v>113</v>
      </c>
      <c r="E60" s="53" t="s">
        <v>114</v>
      </c>
      <c r="F60" s="44" t="s">
        <v>114</v>
      </c>
      <c r="I60" s="20" t="str">
        <f>C60</f>
        <v>A-1</v>
      </c>
      <c r="J60" s="142">
        <f>C61</f>
        <v>1100</v>
      </c>
      <c r="L60" t="s">
        <v>69</v>
      </c>
      <c r="N60" s="33">
        <v>0</v>
      </c>
      <c r="O60" s="33">
        <v>0</v>
      </c>
      <c r="P60" s="33">
        <v>1</v>
      </c>
      <c r="X60" s="33"/>
      <c r="Y60" s="33"/>
      <c r="Z60" s="33"/>
    </row>
    <row r="61" spans="2:26" x14ac:dyDescent="0.2">
      <c r="B61" s="227">
        <v>1100</v>
      </c>
      <c r="C61" s="260">
        <v>1100</v>
      </c>
      <c r="D61" s="258">
        <v>1400</v>
      </c>
      <c r="E61" s="128">
        <v>800</v>
      </c>
      <c r="F61" s="147">
        <v>800</v>
      </c>
      <c r="I61" s="19" t="str">
        <f>D60</f>
        <v>A-2</v>
      </c>
      <c r="J61" s="262">
        <f>D61</f>
        <v>1400</v>
      </c>
      <c r="L61" t="s">
        <v>65</v>
      </c>
      <c r="N61" s="33">
        <v>1</v>
      </c>
      <c r="O61" s="33">
        <v>1</v>
      </c>
      <c r="P61" s="33">
        <v>1</v>
      </c>
      <c r="X61" s="33"/>
      <c r="Y61" s="33"/>
      <c r="Z61" s="33"/>
    </row>
    <row r="62" spans="2:26" x14ac:dyDescent="0.2">
      <c r="B62" s="225"/>
      <c r="C62" s="63"/>
      <c r="D62" s="196"/>
      <c r="E62" s="52"/>
      <c r="F62" s="17"/>
      <c r="I62" s="21" t="str">
        <f>E60</f>
        <v>A-3</v>
      </c>
      <c r="J62" s="132">
        <f>E61</f>
        <v>800</v>
      </c>
      <c r="N62" s="33"/>
      <c r="O62" s="33"/>
      <c r="P62" s="33"/>
      <c r="X62" s="33"/>
      <c r="Y62" s="33"/>
      <c r="Z62" s="33"/>
    </row>
    <row r="63" spans="2:26" x14ac:dyDescent="0.2">
      <c r="B63" s="225"/>
      <c r="C63" s="63"/>
      <c r="D63" s="196"/>
      <c r="E63" s="52"/>
      <c r="F63" s="17"/>
      <c r="I63" s="61" t="str">
        <f>F60</f>
        <v>A-3</v>
      </c>
      <c r="J63" s="150">
        <f>F61</f>
        <v>800</v>
      </c>
      <c r="L63" t="s">
        <v>14</v>
      </c>
      <c r="N63" s="46">
        <v>0.4</v>
      </c>
      <c r="O63" s="46">
        <v>0.3</v>
      </c>
      <c r="P63" s="46">
        <v>0.2</v>
      </c>
      <c r="X63" s="46"/>
      <c r="Y63" s="46"/>
      <c r="Z63" s="46"/>
    </row>
    <row r="64" spans="2:26" ht="17" thickBot="1" x14ac:dyDescent="0.25">
      <c r="B64" s="228"/>
      <c r="C64" s="65"/>
      <c r="D64" s="261"/>
      <c r="E64" s="54"/>
      <c r="F64" s="18"/>
      <c r="I64" s="60" t="s">
        <v>6</v>
      </c>
      <c r="J64" s="189">
        <f>SUM(J59:J63)</f>
        <v>5200</v>
      </c>
      <c r="K64" t="s">
        <v>33</v>
      </c>
    </row>
    <row r="65" spans="2:26" x14ac:dyDescent="0.2">
      <c r="B65" s="1478"/>
      <c r="C65" s="1478"/>
      <c r="D65" s="1478"/>
      <c r="E65" s="1478"/>
      <c r="F65" s="1478"/>
      <c r="I65" s="1817"/>
      <c r="J65" s="189"/>
    </row>
    <row r="66" spans="2:26" ht="17" thickBot="1" x14ac:dyDescent="0.25">
      <c r="B66" s="3" t="s">
        <v>359</v>
      </c>
      <c r="J66" s="32"/>
      <c r="L66" s="3" t="s">
        <v>359</v>
      </c>
      <c r="N66" s="68" t="s">
        <v>21</v>
      </c>
      <c r="O66" s="68" t="s">
        <v>20</v>
      </c>
      <c r="P66" s="68" t="s">
        <v>19</v>
      </c>
      <c r="X66" s="33"/>
      <c r="Y66" s="33"/>
      <c r="Z66" s="33"/>
    </row>
    <row r="67" spans="2:26" x14ac:dyDescent="0.2">
      <c r="B67" s="1818"/>
      <c r="C67" s="51"/>
      <c r="D67" s="1822"/>
      <c r="E67" s="1825"/>
      <c r="F67" s="1826"/>
      <c r="J67" s="32"/>
      <c r="L67" t="s">
        <v>364</v>
      </c>
      <c r="N67" s="33">
        <v>0</v>
      </c>
      <c r="O67" s="33">
        <v>0</v>
      </c>
      <c r="P67" s="33">
        <v>1</v>
      </c>
      <c r="X67" s="33"/>
      <c r="Y67" s="33"/>
      <c r="Z67" s="33"/>
    </row>
    <row r="68" spans="2:26" x14ac:dyDescent="0.2">
      <c r="B68" s="1819"/>
      <c r="C68" s="52"/>
      <c r="D68" s="216"/>
      <c r="E68" s="1827"/>
      <c r="F68" s="1828"/>
      <c r="I68" s="21" t="str">
        <f>B69</f>
        <v>C-1</v>
      </c>
      <c r="J68" s="132">
        <f>B70</f>
        <v>1100</v>
      </c>
      <c r="L68" t="s">
        <v>365</v>
      </c>
      <c r="N68" s="33">
        <v>0</v>
      </c>
      <c r="O68" s="33">
        <v>0</v>
      </c>
      <c r="P68" s="33">
        <v>1</v>
      </c>
      <c r="T68" s="3"/>
      <c r="X68" s="33"/>
      <c r="Y68" s="33"/>
      <c r="Z68" s="33"/>
    </row>
    <row r="69" spans="2:26" x14ac:dyDescent="0.2">
      <c r="B69" s="1816" t="s">
        <v>360</v>
      </c>
      <c r="C69" s="1835" t="s">
        <v>360</v>
      </c>
      <c r="D69" s="1823" t="s">
        <v>361</v>
      </c>
      <c r="E69" s="1829" t="s">
        <v>362</v>
      </c>
      <c r="F69" s="1830" t="s">
        <v>362</v>
      </c>
      <c r="I69" s="21" t="str">
        <f>C69</f>
        <v>C-1</v>
      </c>
      <c r="J69" s="132">
        <f>C70</f>
        <v>1100</v>
      </c>
      <c r="L69" t="s">
        <v>363</v>
      </c>
      <c r="N69" s="33">
        <v>0</v>
      </c>
      <c r="O69" s="33">
        <v>0</v>
      </c>
      <c r="P69" s="33">
        <v>28</v>
      </c>
      <c r="X69" s="33"/>
      <c r="Y69" s="33"/>
      <c r="Z69" s="33"/>
    </row>
    <row r="70" spans="2:26" x14ac:dyDescent="0.2">
      <c r="B70" s="1820">
        <v>1100</v>
      </c>
      <c r="C70" s="128">
        <v>1100</v>
      </c>
      <c r="D70" s="1824">
        <v>1400</v>
      </c>
      <c r="E70" s="1831">
        <v>800</v>
      </c>
      <c r="F70" s="1832">
        <v>800</v>
      </c>
      <c r="I70" s="1836" t="str">
        <f>D69</f>
        <v>C-2</v>
      </c>
      <c r="J70" s="1837">
        <f>D70</f>
        <v>1400</v>
      </c>
      <c r="L70" t="s">
        <v>65</v>
      </c>
      <c r="N70" s="33">
        <v>1</v>
      </c>
      <c r="O70" s="33">
        <v>1</v>
      </c>
      <c r="P70" s="33">
        <v>1</v>
      </c>
      <c r="X70" s="33"/>
      <c r="Y70" s="33"/>
      <c r="Z70" s="33"/>
    </row>
    <row r="71" spans="2:26" x14ac:dyDescent="0.2">
      <c r="B71" s="1819"/>
      <c r="C71" s="52"/>
      <c r="D71" s="216"/>
      <c r="E71" s="1827"/>
      <c r="F71" s="1828"/>
      <c r="I71" s="34" t="str">
        <f>E69</f>
        <v>C-3</v>
      </c>
      <c r="J71" s="143">
        <f>E70</f>
        <v>800</v>
      </c>
      <c r="N71" s="33"/>
      <c r="O71" s="33"/>
      <c r="P71" s="33"/>
      <c r="X71" s="33"/>
      <c r="Y71" s="33"/>
      <c r="Z71" s="33"/>
    </row>
    <row r="72" spans="2:26" x14ac:dyDescent="0.2">
      <c r="B72" s="1819"/>
      <c r="C72" s="52"/>
      <c r="D72" s="216"/>
      <c r="E72" s="1827"/>
      <c r="F72" s="1828"/>
      <c r="I72" s="1838" t="str">
        <f>F69</f>
        <v>C-3</v>
      </c>
      <c r="J72" s="1839">
        <f>F70</f>
        <v>800</v>
      </c>
      <c r="L72" t="s">
        <v>14</v>
      </c>
      <c r="N72" s="46">
        <v>0.4</v>
      </c>
      <c r="O72" s="46">
        <v>0.3</v>
      </c>
      <c r="P72" s="46">
        <v>0.2</v>
      </c>
      <c r="X72" s="46"/>
      <c r="Y72" s="46"/>
      <c r="Z72" s="46"/>
    </row>
    <row r="73" spans="2:26" ht="17" thickBot="1" x14ac:dyDescent="0.25">
      <c r="B73" s="1821"/>
      <c r="C73" s="54"/>
      <c r="D73" s="218"/>
      <c r="E73" s="1833"/>
      <c r="F73" s="1834"/>
      <c r="I73" s="1817" t="s">
        <v>6</v>
      </c>
      <c r="J73" s="189">
        <f>SUM(J68:J72)</f>
        <v>5200</v>
      </c>
      <c r="K73" t="s">
        <v>33</v>
      </c>
    </row>
    <row r="74" spans="2:26" x14ac:dyDescent="0.2">
      <c r="I74" s="60"/>
      <c r="J74" s="189"/>
    </row>
    <row r="75" spans="2:26" x14ac:dyDescent="0.2">
      <c r="B75" s="67" t="s">
        <v>104</v>
      </c>
      <c r="C75" s="19"/>
      <c r="D75" s="19"/>
      <c r="E75" s="19"/>
      <c r="F75" s="19"/>
      <c r="G75" s="19"/>
      <c r="H75" s="19"/>
      <c r="I75" s="19"/>
      <c r="J75" s="19"/>
      <c r="K75" s="19"/>
      <c r="L75" s="19"/>
      <c r="M75" s="19"/>
      <c r="N75" s="19"/>
      <c r="O75" s="19"/>
      <c r="P75" s="19"/>
    </row>
    <row r="76" spans="2:26" x14ac:dyDescent="0.2">
      <c r="B76" s="3"/>
    </row>
    <row r="77" spans="2:26" x14ac:dyDescent="0.2">
      <c r="B77" t="s">
        <v>13</v>
      </c>
      <c r="C77" s="32">
        <v>2500</v>
      </c>
      <c r="D77" t="s">
        <v>33</v>
      </c>
    </row>
    <row r="78" spans="2:26" ht="17" thickBot="1" x14ac:dyDescent="0.25">
      <c r="C78" s="32"/>
      <c r="D78" s="1"/>
    </row>
    <row r="79" spans="2:26" x14ac:dyDescent="0.2">
      <c r="B79" s="174"/>
      <c r="C79" s="175"/>
      <c r="D79" s="118"/>
      <c r="E79" s="193"/>
      <c r="F79" s="118"/>
      <c r="G79" s="193"/>
      <c r="H79" s="121"/>
      <c r="I79" s="186"/>
      <c r="K79" t="s">
        <v>13</v>
      </c>
      <c r="L79" s="19" t="s">
        <v>0</v>
      </c>
      <c r="M79" s="135">
        <f>F13/8</f>
        <v>2500</v>
      </c>
    </row>
    <row r="80" spans="2:26" x14ac:dyDescent="0.2">
      <c r="B80" s="2241" t="s">
        <v>0</v>
      </c>
      <c r="C80" s="2242"/>
      <c r="D80" s="2243" t="s">
        <v>31</v>
      </c>
      <c r="E80" s="2244"/>
      <c r="F80" s="2243" t="s">
        <v>31</v>
      </c>
      <c r="G80" s="2244"/>
      <c r="H80" s="2248" t="s">
        <v>31</v>
      </c>
      <c r="I80" s="2253"/>
      <c r="L80" t="s">
        <v>26</v>
      </c>
      <c r="M80" s="205">
        <v>2500</v>
      </c>
    </row>
    <row r="81" spans="2:14" x14ac:dyDescent="0.2">
      <c r="B81" s="2273">
        <v>2500</v>
      </c>
      <c r="C81" s="2274"/>
      <c r="D81" s="2245">
        <v>2500</v>
      </c>
      <c r="E81" s="2246"/>
      <c r="F81" s="2245">
        <v>2500</v>
      </c>
      <c r="G81" s="2246"/>
      <c r="H81" s="2250">
        <v>2500</v>
      </c>
      <c r="I81" s="2254"/>
      <c r="L81" t="s">
        <v>26</v>
      </c>
      <c r="M81" s="205">
        <v>2500</v>
      </c>
    </row>
    <row r="82" spans="2:14" x14ac:dyDescent="0.2">
      <c r="B82" s="195"/>
      <c r="C82" s="196"/>
      <c r="D82" s="197"/>
      <c r="E82" s="198"/>
      <c r="F82" s="119"/>
      <c r="G82" s="120"/>
      <c r="H82" s="122"/>
      <c r="I82" s="190"/>
      <c r="L82" t="s">
        <v>26</v>
      </c>
      <c r="M82" s="205">
        <v>2500</v>
      </c>
    </row>
    <row r="83" spans="2:14" x14ac:dyDescent="0.2">
      <c r="B83" s="112"/>
      <c r="C83" s="123"/>
      <c r="D83" s="123"/>
      <c r="E83" s="113"/>
      <c r="F83" s="123"/>
      <c r="G83" s="123"/>
      <c r="H83" s="123"/>
      <c r="I83" s="191"/>
      <c r="L83" t="s">
        <v>35</v>
      </c>
      <c r="M83" s="205">
        <v>5000</v>
      </c>
    </row>
    <row r="84" spans="2:14" x14ac:dyDescent="0.2">
      <c r="B84" s="2247" t="s">
        <v>32</v>
      </c>
      <c r="C84" s="2248"/>
      <c r="D84" s="2248"/>
      <c r="E84" s="2244"/>
      <c r="F84" s="2248" t="s">
        <v>32</v>
      </c>
      <c r="G84" s="2248"/>
      <c r="H84" s="2248"/>
      <c r="I84" s="2253"/>
      <c r="L84" s="206" t="s">
        <v>32</v>
      </c>
      <c r="M84" s="207">
        <v>5000</v>
      </c>
    </row>
    <row r="85" spans="2:14" x14ac:dyDescent="0.2">
      <c r="B85" s="2249">
        <v>5000</v>
      </c>
      <c r="C85" s="2250"/>
      <c r="D85" s="2250"/>
      <c r="E85" s="2246"/>
      <c r="F85" s="2250">
        <v>5000</v>
      </c>
      <c r="G85" s="2250"/>
      <c r="H85" s="2250"/>
      <c r="I85" s="2254"/>
      <c r="L85" t="s">
        <v>6</v>
      </c>
      <c r="M85" s="32">
        <f>SUM(M79:M84)</f>
        <v>20000</v>
      </c>
      <c r="N85" t="s">
        <v>33</v>
      </c>
    </row>
    <row r="86" spans="2:14" ht="17" thickBot="1" x14ac:dyDescent="0.25">
      <c r="B86" s="114"/>
      <c r="C86" s="124"/>
      <c r="D86" s="124"/>
      <c r="E86" s="115"/>
      <c r="F86" s="124"/>
      <c r="G86" s="124"/>
      <c r="H86" s="124"/>
      <c r="I86" s="188"/>
    </row>
    <row r="88" spans="2:14" x14ac:dyDescent="0.2">
      <c r="B88" t="s">
        <v>12</v>
      </c>
      <c r="C88" s="32">
        <v>5000</v>
      </c>
      <c r="D88" t="s">
        <v>33</v>
      </c>
    </row>
    <row r="89" spans="2:14" ht="17" thickBot="1" x14ac:dyDescent="0.25">
      <c r="C89" s="32"/>
      <c r="D89" s="1"/>
    </row>
    <row r="90" spans="2:14" x14ac:dyDescent="0.2">
      <c r="B90" s="177"/>
      <c r="C90" s="178"/>
      <c r="D90" s="178"/>
      <c r="E90" s="179"/>
      <c r="F90" s="118"/>
      <c r="G90" s="193"/>
      <c r="H90" s="121"/>
      <c r="I90" s="186"/>
      <c r="K90" t="s">
        <v>12</v>
      </c>
      <c r="L90" s="183" t="s">
        <v>1</v>
      </c>
      <c r="M90" s="184">
        <f>F13/4</f>
        <v>5000</v>
      </c>
    </row>
    <row r="91" spans="2:14" x14ac:dyDescent="0.2">
      <c r="B91" s="2281" t="s">
        <v>1</v>
      </c>
      <c r="C91" s="2282"/>
      <c r="D91" s="2282"/>
      <c r="E91" s="2283"/>
      <c r="F91" s="2243" t="s">
        <v>31</v>
      </c>
      <c r="G91" s="2244"/>
      <c r="H91" s="2248" t="s">
        <v>31</v>
      </c>
      <c r="I91" s="2253"/>
      <c r="L91" t="s">
        <v>32</v>
      </c>
      <c r="M91" s="205">
        <v>5000</v>
      </c>
    </row>
    <row r="92" spans="2:14" x14ac:dyDescent="0.2">
      <c r="B92" s="2284">
        <v>5000</v>
      </c>
      <c r="C92" s="2285"/>
      <c r="D92" s="2285"/>
      <c r="E92" s="2286"/>
      <c r="F92" s="2245">
        <v>2500</v>
      </c>
      <c r="G92" s="2246"/>
      <c r="H92" s="2250">
        <v>2500</v>
      </c>
      <c r="I92" s="2254"/>
      <c r="L92" t="s">
        <v>26</v>
      </c>
      <c r="M92" s="205">
        <v>2500</v>
      </c>
    </row>
    <row r="93" spans="2:14" x14ac:dyDescent="0.2">
      <c r="B93" s="180"/>
      <c r="C93" s="181"/>
      <c r="D93" s="181"/>
      <c r="E93" s="182"/>
      <c r="F93" s="119"/>
      <c r="G93" s="120"/>
      <c r="H93" s="122"/>
      <c r="I93" s="190"/>
      <c r="L93" t="s">
        <v>26</v>
      </c>
      <c r="M93" s="205">
        <v>2500</v>
      </c>
    </row>
    <row r="94" spans="2:14" x14ac:dyDescent="0.2">
      <c r="B94" s="199"/>
      <c r="C94" s="176"/>
      <c r="D94" s="176"/>
      <c r="E94" s="198"/>
      <c r="F94" s="197"/>
      <c r="G94" s="198"/>
      <c r="H94" s="176"/>
      <c r="I94" s="187"/>
      <c r="L94" t="s">
        <v>26</v>
      </c>
      <c r="M94" s="205">
        <v>2500</v>
      </c>
    </row>
    <row r="95" spans="2:14" x14ac:dyDescent="0.2">
      <c r="B95" s="2247" t="s">
        <v>32</v>
      </c>
      <c r="C95" s="2248"/>
      <c r="D95" s="2248"/>
      <c r="E95" s="2244"/>
      <c r="F95" s="2243" t="s">
        <v>31</v>
      </c>
      <c r="G95" s="2244"/>
      <c r="H95" s="2248" t="s">
        <v>31</v>
      </c>
      <c r="I95" s="2253"/>
      <c r="L95" s="206" t="s">
        <v>26</v>
      </c>
      <c r="M95" s="207">
        <v>2500</v>
      </c>
    </row>
    <row r="96" spans="2:14" x14ac:dyDescent="0.2">
      <c r="B96" s="2249">
        <v>5000</v>
      </c>
      <c r="C96" s="2250"/>
      <c r="D96" s="2250"/>
      <c r="E96" s="2246"/>
      <c r="F96" s="2245">
        <v>2500</v>
      </c>
      <c r="G96" s="2246"/>
      <c r="H96" s="2250">
        <v>2500</v>
      </c>
      <c r="I96" s="2254"/>
      <c r="L96" t="s">
        <v>6</v>
      </c>
      <c r="M96" s="32">
        <f>SUM(M90:M95)</f>
        <v>20000</v>
      </c>
      <c r="N96" t="s">
        <v>33</v>
      </c>
    </row>
    <row r="97" spans="2:14" ht="17" thickBot="1" x14ac:dyDescent="0.25">
      <c r="B97" s="114"/>
      <c r="C97" s="124"/>
      <c r="D97" s="124"/>
      <c r="E97" s="115"/>
      <c r="F97" s="117"/>
      <c r="G97" s="115"/>
      <c r="H97" s="124"/>
      <c r="I97" s="188"/>
      <c r="M97" s="32"/>
    </row>
    <row r="98" spans="2:14" x14ac:dyDescent="0.2">
      <c r="M98" s="32"/>
    </row>
    <row r="99" spans="2:14" x14ac:dyDescent="0.2">
      <c r="B99" t="s">
        <v>28</v>
      </c>
      <c r="C99" s="32">
        <v>10000</v>
      </c>
      <c r="D99" t="s">
        <v>33</v>
      </c>
      <c r="M99" s="32"/>
    </row>
    <row r="100" spans="2:14" ht="17" thickBot="1" x14ac:dyDescent="0.25">
      <c r="C100" s="32"/>
      <c r="D100" s="1"/>
      <c r="M100" s="32"/>
    </row>
    <row r="101" spans="2:14" x14ac:dyDescent="0.2">
      <c r="B101" s="83"/>
      <c r="C101" s="84"/>
      <c r="D101" s="84"/>
      <c r="E101" s="85"/>
      <c r="F101" s="118"/>
      <c r="G101" s="121"/>
      <c r="H101" s="121"/>
      <c r="I101" s="186"/>
      <c r="K101" t="s">
        <v>11</v>
      </c>
      <c r="L101" s="87" t="s">
        <v>4</v>
      </c>
      <c r="M101" s="136">
        <f>F13/2</f>
        <v>10000</v>
      </c>
    </row>
    <row r="102" spans="2:14" x14ac:dyDescent="0.2">
      <c r="B102" s="86"/>
      <c r="C102" s="87"/>
      <c r="D102" s="87"/>
      <c r="E102" s="173"/>
      <c r="F102" s="2243" t="s">
        <v>32</v>
      </c>
      <c r="G102" s="2248"/>
      <c r="H102" s="2248"/>
      <c r="I102" s="2253"/>
      <c r="L102" t="s">
        <v>32</v>
      </c>
      <c r="M102" s="209">
        <v>5000</v>
      </c>
    </row>
    <row r="103" spans="2:14" x14ac:dyDescent="0.2">
      <c r="B103" s="2278" t="s">
        <v>4</v>
      </c>
      <c r="C103" s="2279"/>
      <c r="D103" s="2279"/>
      <c r="E103" s="2280"/>
      <c r="F103" s="2245">
        <v>5000</v>
      </c>
      <c r="G103" s="2250"/>
      <c r="H103" s="2250"/>
      <c r="I103" s="2254"/>
      <c r="L103" s="206" t="s">
        <v>35</v>
      </c>
      <c r="M103" s="207">
        <v>5000</v>
      </c>
    </row>
    <row r="104" spans="2:14" x14ac:dyDescent="0.2">
      <c r="B104" s="2275">
        <v>10000</v>
      </c>
      <c r="C104" s="2276"/>
      <c r="D104" s="2276"/>
      <c r="E104" s="2277"/>
      <c r="F104" s="119"/>
      <c r="G104" s="122"/>
      <c r="H104" s="122"/>
      <c r="I104" s="190"/>
      <c r="L104" t="s">
        <v>6</v>
      </c>
      <c r="M104" s="32">
        <f>SUM(M101:M103)</f>
        <v>20000</v>
      </c>
      <c r="N104" t="s">
        <v>33</v>
      </c>
    </row>
    <row r="105" spans="2:14" x14ac:dyDescent="0.2">
      <c r="B105" s="2278"/>
      <c r="C105" s="2279"/>
      <c r="D105" s="2279"/>
      <c r="E105" s="2280"/>
      <c r="F105" s="116"/>
      <c r="G105" s="123"/>
      <c r="H105" s="123"/>
      <c r="I105" s="191"/>
      <c r="M105" s="32"/>
    </row>
    <row r="106" spans="2:14" x14ac:dyDescent="0.2">
      <c r="B106" s="86"/>
      <c r="C106" s="87"/>
      <c r="D106" s="87"/>
      <c r="E106" s="88"/>
      <c r="F106" s="2243" t="s">
        <v>32</v>
      </c>
      <c r="G106" s="2248"/>
      <c r="H106" s="2248"/>
      <c r="I106" s="2253"/>
      <c r="M106" s="32"/>
    </row>
    <row r="107" spans="2:14" x14ac:dyDescent="0.2">
      <c r="B107" s="86"/>
      <c r="C107" s="87"/>
      <c r="D107" s="87"/>
      <c r="E107" s="88"/>
      <c r="F107" s="2245">
        <v>5000</v>
      </c>
      <c r="G107" s="2250"/>
      <c r="H107" s="2250"/>
      <c r="I107" s="2254"/>
      <c r="M107" s="32"/>
    </row>
    <row r="108" spans="2:14" ht="17" thickBot="1" x14ac:dyDescent="0.25">
      <c r="B108" s="89"/>
      <c r="C108" s="90"/>
      <c r="D108" s="90"/>
      <c r="E108" s="91"/>
      <c r="F108" s="117"/>
      <c r="G108" s="124"/>
      <c r="H108" s="124"/>
      <c r="I108" s="188"/>
      <c r="M108" s="32"/>
    </row>
    <row r="109" spans="2:14" x14ac:dyDescent="0.2">
      <c r="M109" s="32"/>
    </row>
    <row r="110" spans="2:14" x14ac:dyDescent="0.2">
      <c r="B110" t="s">
        <v>29</v>
      </c>
      <c r="C110" s="32">
        <v>20000</v>
      </c>
      <c r="D110" t="s">
        <v>33</v>
      </c>
      <c r="M110" s="32"/>
    </row>
    <row r="111" spans="2:14" ht="17" thickBot="1" x14ac:dyDescent="0.25">
      <c r="C111" s="32"/>
      <c r="D111" s="1"/>
      <c r="M111" s="32"/>
    </row>
    <row r="112" spans="2:14" x14ac:dyDescent="0.2">
      <c r="B112" s="92"/>
      <c r="C112" s="93"/>
      <c r="D112" s="93"/>
      <c r="E112" s="94"/>
      <c r="F112" s="94"/>
      <c r="G112" s="94"/>
      <c r="H112" s="93"/>
      <c r="I112" s="95"/>
      <c r="K112" t="s">
        <v>10</v>
      </c>
      <c r="L112" s="125" t="s">
        <v>5</v>
      </c>
      <c r="M112" s="137">
        <f>F13</f>
        <v>20000</v>
      </c>
    </row>
    <row r="113" spans="2:16" x14ac:dyDescent="0.2">
      <c r="B113" s="96"/>
      <c r="C113" s="97"/>
      <c r="D113" s="97"/>
      <c r="E113" s="164"/>
      <c r="F113" s="164"/>
      <c r="G113" s="164"/>
      <c r="H113" s="97"/>
      <c r="I113" s="98"/>
      <c r="L113" t="s">
        <v>6</v>
      </c>
      <c r="M113" s="32">
        <f>SUM(M105:M112)</f>
        <v>20000</v>
      </c>
      <c r="N113" t="s">
        <v>33</v>
      </c>
    </row>
    <row r="114" spans="2:16" x14ac:dyDescent="0.2">
      <c r="B114" s="96"/>
      <c r="C114" s="97"/>
      <c r="D114" s="97"/>
      <c r="E114" s="2251" t="s">
        <v>5</v>
      </c>
      <c r="F114" s="2251"/>
      <c r="G114" s="97"/>
      <c r="H114" s="97"/>
      <c r="I114" s="98"/>
    </row>
    <row r="115" spans="2:16" x14ac:dyDescent="0.2">
      <c r="B115" s="138"/>
      <c r="C115" s="139"/>
      <c r="D115" s="139"/>
      <c r="E115" s="2252">
        <v>20000</v>
      </c>
      <c r="F115" s="2252"/>
      <c r="G115" s="139"/>
      <c r="H115" s="139"/>
      <c r="I115" s="140"/>
    </row>
    <row r="116" spans="2:16" x14ac:dyDescent="0.2">
      <c r="B116" s="96"/>
      <c r="C116" s="97"/>
      <c r="D116" s="97"/>
      <c r="E116" s="97"/>
      <c r="F116" s="97"/>
      <c r="G116" s="97"/>
      <c r="H116" s="97"/>
      <c r="I116" s="98"/>
    </row>
    <row r="117" spans="2:16" x14ac:dyDescent="0.2">
      <c r="B117" s="96"/>
      <c r="C117" s="97"/>
      <c r="D117" s="97"/>
      <c r="E117" s="97"/>
      <c r="F117" s="97"/>
      <c r="G117" s="97"/>
      <c r="H117" s="97"/>
      <c r="I117" s="98"/>
    </row>
    <row r="118" spans="2:16" x14ac:dyDescent="0.2">
      <c r="B118" s="96"/>
      <c r="C118" s="97"/>
      <c r="D118" s="97"/>
      <c r="E118" s="97"/>
      <c r="F118" s="97"/>
      <c r="G118" s="97"/>
      <c r="H118" s="97"/>
      <c r="I118" s="98"/>
      <c r="K118" s="2258" t="s">
        <v>103</v>
      </c>
      <c r="L118" s="2258"/>
      <c r="M118" s="2258"/>
      <c r="N118" s="2258"/>
      <c r="O118" s="2258"/>
      <c r="P118" s="2258"/>
    </row>
    <row r="119" spans="2:16" ht="17" thickBot="1" x14ac:dyDescent="0.25">
      <c r="B119" s="99"/>
      <c r="C119" s="100"/>
      <c r="D119" s="100"/>
      <c r="E119" s="100"/>
      <c r="F119" s="100"/>
      <c r="G119" s="100"/>
      <c r="H119" s="100"/>
      <c r="I119" s="101"/>
      <c r="K119" s="2258"/>
      <c r="L119" s="2258"/>
      <c r="M119" s="2258"/>
      <c r="N119" s="2258"/>
      <c r="O119" s="2258"/>
      <c r="P119" s="2258"/>
    </row>
    <row r="122" spans="2:16" x14ac:dyDescent="0.2">
      <c r="B122" s="67" t="s">
        <v>56</v>
      </c>
      <c r="C122" s="67"/>
      <c r="D122" s="67"/>
      <c r="E122" s="67"/>
      <c r="F122" s="67"/>
      <c r="G122" s="67"/>
      <c r="H122" s="67"/>
      <c r="I122" s="67"/>
      <c r="J122" s="67"/>
      <c r="K122" s="67"/>
      <c r="L122" s="67"/>
      <c r="M122" s="67"/>
      <c r="N122" s="67"/>
      <c r="O122" s="67"/>
      <c r="P122" s="67"/>
    </row>
    <row r="123" spans="2:16" x14ac:dyDescent="0.2">
      <c r="B123" s="32"/>
    </row>
    <row r="124" spans="2:16" x14ac:dyDescent="0.2">
      <c r="B124" t="s">
        <v>107</v>
      </c>
      <c r="C124" s="32">
        <v>10000</v>
      </c>
      <c r="D124" t="s">
        <v>33</v>
      </c>
    </row>
    <row r="125" spans="2:16" ht="17" thickBot="1" x14ac:dyDescent="0.25">
      <c r="D125" s="1"/>
    </row>
    <row r="126" spans="2:16" x14ac:dyDescent="0.2">
      <c r="B126" s="192"/>
      <c r="C126" s="193"/>
      <c r="D126" s="121"/>
      <c r="E126" s="193"/>
      <c r="F126" s="7"/>
      <c r="G126" s="8"/>
      <c r="H126" s="8"/>
      <c r="I126" s="166"/>
      <c r="K126" t="s">
        <v>27</v>
      </c>
      <c r="L126" s="66" t="s">
        <v>42</v>
      </c>
      <c r="M126" s="167">
        <v>10000</v>
      </c>
    </row>
    <row r="127" spans="2:16" x14ac:dyDescent="0.2">
      <c r="B127" s="2247" t="s">
        <v>31</v>
      </c>
      <c r="C127" s="2244"/>
      <c r="D127" s="2248" t="s">
        <v>31</v>
      </c>
      <c r="E127" s="2244"/>
      <c r="F127" s="10"/>
      <c r="G127" s="11"/>
      <c r="H127" s="11"/>
      <c r="I127" s="57"/>
      <c r="L127" t="s">
        <v>6</v>
      </c>
      <c r="M127" s="32">
        <v>10000</v>
      </c>
      <c r="N127" t="s">
        <v>33</v>
      </c>
    </row>
    <row r="128" spans="2:16" x14ac:dyDescent="0.2">
      <c r="B128" s="2249">
        <v>2500</v>
      </c>
      <c r="C128" s="2246"/>
      <c r="D128" s="2250">
        <v>2500</v>
      </c>
      <c r="E128" s="2246"/>
      <c r="F128" s="2267" t="s">
        <v>42</v>
      </c>
      <c r="G128" s="2268"/>
      <c r="H128" s="2268"/>
      <c r="I128" s="2269"/>
    </row>
    <row r="129" spans="2:16" x14ac:dyDescent="0.2">
      <c r="B129" s="194"/>
      <c r="C129" s="120"/>
      <c r="D129" s="122"/>
      <c r="E129" s="120"/>
      <c r="F129" s="2270">
        <v>10000</v>
      </c>
      <c r="G129" s="2271"/>
      <c r="H129" s="2271"/>
      <c r="I129" s="2272"/>
    </row>
    <row r="130" spans="2:16" x14ac:dyDescent="0.2">
      <c r="B130" s="112"/>
      <c r="C130" s="123"/>
      <c r="D130" s="116"/>
      <c r="E130" s="123"/>
      <c r="F130" s="2267"/>
      <c r="G130" s="2268"/>
      <c r="H130" s="2268"/>
      <c r="I130" s="2269"/>
    </row>
    <row r="131" spans="2:16" x14ac:dyDescent="0.2">
      <c r="B131" s="2247" t="s">
        <v>31</v>
      </c>
      <c r="C131" s="2248"/>
      <c r="D131" s="2243" t="s">
        <v>31</v>
      </c>
      <c r="E131" s="2248"/>
      <c r="F131" s="10"/>
      <c r="G131" s="11"/>
      <c r="H131" s="11"/>
      <c r="I131" s="56"/>
    </row>
    <row r="132" spans="2:16" x14ac:dyDescent="0.2">
      <c r="B132" s="2249">
        <v>2500</v>
      </c>
      <c r="C132" s="2250"/>
      <c r="D132" s="2245">
        <v>2500</v>
      </c>
      <c r="E132" s="2250"/>
      <c r="F132" s="10"/>
      <c r="G132" s="11"/>
      <c r="H132" s="11"/>
      <c r="I132" s="56"/>
      <c r="K132" t="s">
        <v>34</v>
      </c>
    </row>
    <row r="133" spans="2:16" ht="17" thickBot="1" x14ac:dyDescent="0.25">
      <c r="B133" s="114"/>
      <c r="C133" s="124"/>
      <c r="D133" s="117"/>
      <c r="E133" s="124"/>
      <c r="F133" s="13"/>
      <c r="G133" s="14"/>
      <c r="H133" s="14"/>
      <c r="I133" s="58"/>
    </row>
    <row r="135" spans="2:16" x14ac:dyDescent="0.2">
      <c r="B135" s="67" t="s">
        <v>262</v>
      </c>
      <c r="C135" s="67"/>
      <c r="D135" s="67"/>
      <c r="E135" s="67"/>
      <c r="F135" s="67"/>
      <c r="G135" s="67"/>
      <c r="H135" s="67"/>
      <c r="I135" s="67"/>
      <c r="J135" s="67"/>
      <c r="K135" s="67"/>
      <c r="L135" s="67"/>
      <c r="M135" s="67"/>
      <c r="N135" s="67"/>
      <c r="O135" s="67"/>
      <c r="P135" s="67"/>
    </row>
    <row r="136" spans="2:16" ht="17" thickBot="1" x14ac:dyDescent="0.25"/>
    <row r="137" spans="2:16" x14ac:dyDescent="0.2">
      <c r="B137" s="169"/>
      <c r="C137" s="200"/>
      <c r="D137" s="121"/>
      <c r="E137" s="121"/>
      <c r="F137" s="186"/>
      <c r="K137" s="303" t="s">
        <v>188</v>
      </c>
      <c r="L137" s="21" t="s">
        <v>43</v>
      </c>
      <c r="M137" s="185">
        <v>450</v>
      </c>
    </row>
    <row r="138" spans="2:16" x14ac:dyDescent="0.2">
      <c r="B138" s="2289"/>
      <c r="C138" s="2290"/>
      <c r="D138" s="176"/>
      <c r="E138" s="176"/>
      <c r="F138" s="187"/>
      <c r="K138" t="s">
        <v>39</v>
      </c>
      <c r="L138" s="171" t="s">
        <v>44</v>
      </c>
      <c r="M138" s="172">
        <v>450</v>
      </c>
    </row>
    <row r="139" spans="2:16" x14ac:dyDescent="0.2">
      <c r="B139" s="2289" t="s">
        <v>43</v>
      </c>
      <c r="C139" s="2290"/>
      <c r="D139" s="176"/>
      <c r="E139" s="176"/>
      <c r="F139" s="187"/>
      <c r="L139" t="s">
        <v>6</v>
      </c>
      <c r="M139" s="32">
        <f>SUM(M137:M138)</f>
        <v>900</v>
      </c>
      <c r="N139" t="s">
        <v>33</v>
      </c>
    </row>
    <row r="140" spans="2:16" x14ac:dyDescent="0.2">
      <c r="B140" s="2289">
        <v>450</v>
      </c>
      <c r="C140" s="2290"/>
      <c r="D140" s="176"/>
      <c r="E140" s="176"/>
      <c r="F140" s="187"/>
    </row>
    <row r="141" spans="2:16" x14ac:dyDescent="0.2">
      <c r="B141" s="170"/>
      <c r="C141" s="201"/>
      <c r="D141" s="176"/>
      <c r="E141" s="176"/>
      <c r="F141" s="187"/>
    </row>
    <row r="142" spans="2:16" x14ac:dyDescent="0.2">
      <c r="B142" s="202"/>
      <c r="C142" s="203"/>
      <c r="D142" s="2248" t="s">
        <v>149</v>
      </c>
      <c r="E142" s="2248"/>
      <c r="F142" s="2253"/>
    </row>
    <row r="143" spans="2:16" x14ac:dyDescent="0.2">
      <c r="B143" s="2260"/>
      <c r="C143" s="2237"/>
      <c r="D143" s="176"/>
      <c r="E143" s="176"/>
      <c r="F143" s="187"/>
    </row>
    <row r="144" spans="2:16" x14ac:dyDescent="0.2">
      <c r="B144" s="2287" t="s">
        <v>44</v>
      </c>
      <c r="C144" s="2288"/>
      <c r="D144" s="176"/>
      <c r="E144" s="176"/>
      <c r="F144" s="187"/>
    </row>
    <row r="145" spans="2:16" x14ac:dyDescent="0.2">
      <c r="B145" s="2260">
        <v>450</v>
      </c>
      <c r="C145" s="2237"/>
      <c r="D145" s="176"/>
      <c r="E145" s="176"/>
      <c r="F145" s="187"/>
    </row>
    <row r="146" spans="2:16" x14ac:dyDescent="0.2">
      <c r="B146" s="2260"/>
      <c r="C146" s="2237"/>
      <c r="D146" s="176"/>
      <c r="E146" s="176"/>
      <c r="F146" s="187"/>
    </row>
    <row r="147" spans="2:16" x14ac:dyDescent="0.2">
      <c r="B147" s="204"/>
      <c r="C147" s="72"/>
      <c r="D147" s="176"/>
      <c r="E147" s="176"/>
      <c r="F147" s="187"/>
    </row>
    <row r="148" spans="2:16" ht="17" thickBot="1" x14ac:dyDescent="0.25">
      <c r="B148" s="168"/>
      <c r="C148" s="76"/>
      <c r="D148" s="124"/>
      <c r="E148" s="124"/>
      <c r="F148" s="188"/>
    </row>
    <row r="150" spans="2:16" x14ac:dyDescent="0.2">
      <c r="B150" s="67" t="s">
        <v>59</v>
      </c>
      <c r="C150" s="67"/>
      <c r="D150" s="67"/>
      <c r="E150" s="67"/>
      <c r="F150" s="67"/>
      <c r="G150" s="67"/>
      <c r="H150" s="67"/>
      <c r="I150" s="67"/>
      <c r="J150" s="67"/>
      <c r="K150" s="67"/>
      <c r="L150" s="67"/>
      <c r="M150" s="67"/>
      <c r="N150" s="67"/>
      <c r="O150" s="67"/>
      <c r="P150" s="67"/>
    </row>
    <row r="151" spans="2:16" ht="17" thickBot="1" x14ac:dyDescent="0.25"/>
    <row r="152" spans="2:16" x14ac:dyDescent="0.2">
      <c r="B152" s="224"/>
      <c r="C152" s="239"/>
      <c r="D152" s="240"/>
      <c r="E152" s="43"/>
      <c r="F152" s="16"/>
      <c r="K152" t="s">
        <v>52</v>
      </c>
      <c r="L152" s="20" t="s">
        <v>45</v>
      </c>
      <c r="M152" s="20">
        <v>50</v>
      </c>
    </row>
    <row r="153" spans="2:16" x14ac:dyDescent="0.2">
      <c r="B153" s="237" t="s">
        <v>45</v>
      </c>
      <c r="C153" s="2236" t="s">
        <v>46</v>
      </c>
      <c r="D153" s="2237"/>
      <c r="E153" s="2238" t="s">
        <v>60</v>
      </c>
      <c r="F153" s="2239"/>
      <c r="K153" s="303" t="s">
        <v>186</v>
      </c>
      <c r="L153" s="27" t="s">
        <v>46</v>
      </c>
      <c r="M153" s="27">
        <v>300</v>
      </c>
    </row>
    <row r="154" spans="2:16" x14ac:dyDescent="0.2">
      <c r="B154" s="237">
        <v>50</v>
      </c>
      <c r="C154" s="2236">
        <v>300</v>
      </c>
      <c r="D154" s="2237"/>
      <c r="E154" s="2238">
        <v>300</v>
      </c>
      <c r="F154" s="2239"/>
      <c r="K154" t="s">
        <v>52</v>
      </c>
      <c r="L154" s="61" t="s">
        <v>47</v>
      </c>
      <c r="M154" s="61">
        <v>100</v>
      </c>
    </row>
    <row r="155" spans="2:16" ht="17" thickBot="1" x14ac:dyDescent="0.25">
      <c r="B155" s="238"/>
      <c r="C155" s="241"/>
      <c r="D155" s="76"/>
      <c r="E155" s="45"/>
      <c r="F155" s="18"/>
      <c r="L155" t="s">
        <v>6</v>
      </c>
      <c r="M155" s="32">
        <f>SUM(M152:M154)</f>
        <v>450</v>
      </c>
      <c r="N155" t="s">
        <v>33</v>
      </c>
    </row>
    <row r="157" spans="2:16" x14ac:dyDescent="0.2">
      <c r="D157" s="303"/>
      <c r="E157" s="303"/>
      <c r="F157" s="303"/>
    </row>
    <row r="159" spans="2:16" x14ac:dyDescent="0.2">
      <c r="B159" s="67" t="s">
        <v>301</v>
      </c>
      <c r="C159" s="67"/>
      <c r="D159" s="67"/>
      <c r="E159" s="67"/>
      <c r="F159" s="67"/>
      <c r="G159" s="67"/>
      <c r="H159" s="67"/>
      <c r="I159" s="67"/>
      <c r="J159" s="67"/>
      <c r="K159" s="67"/>
      <c r="L159" s="67"/>
      <c r="M159" s="67"/>
      <c r="N159" s="67"/>
      <c r="O159" s="67"/>
      <c r="P159" s="67"/>
    </row>
    <row r="160" spans="2:16" ht="17" thickBot="1" x14ac:dyDescent="0.25"/>
    <row r="161" spans="2:16" x14ac:dyDescent="0.2">
      <c r="B161" s="174"/>
      <c r="C161" s="219"/>
      <c r="D161" s="219"/>
      <c r="E161" s="220"/>
      <c r="K161" t="s">
        <v>298</v>
      </c>
      <c r="L161" s="19" t="s">
        <v>48</v>
      </c>
      <c r="M161" s="19">
        <v>400</v>
      </c>
    </row>
    <row r="162" spans="2:16" x14ac:dyDescent="0.2">
      <c r="B162" s="2241" t="s">
        <v>48</v>
      </c>
      <c r="C162" s="2265"/>
      <c r="D162" s="2265"/>
      <c r="E162" s="2266"/>
      <c r="K162" t="s">
        <v>187</v>
      </c>
      <c r="L162" s="217" t="s">
        <v>57</v>
      </c>
      <c r="M162" s="217">
        <v>150</v>
      </c>
    </row>
    <row r="163" spans="2:16" x14ac:dyDescent="0.2">
      <c r="B163" s="2241">
        <v>400</v>
      </c>
      <c r="C163" s="2265"/>
      <c r="D163" s="2265"/>
      <c r="E163" s="2266"/>
      <c r="K163" t="s">
        <v>240</v>
      </c>
      <c r="L163" s="210" t="s">
        <v>58</v>
      </c>
      <c r="M163" s="210">
        <v>150</v>
      </c>
    </row>
    <row r="164" spans="2:16" x14ac:dyDescent="0.2">
      <c r="B164" s="221"/>
      <c r="C164" s="222"/>
      <c r="D164" s="222"/>
      <c r="E164" s="223"/>
      <c r="L164" t="s">
        <v>6</v>
      </c>
      <c r="M164" s="32">
        <f>SUM(M161:M163)</f>
        <v>700</v>
      </c>
      <c r="N164" t="s">
        <v>33</v>
      </c>
    </row>
    <row r="165" spans="2:16" x14ac:dyDescent="0.2">
      <c r="B165" s="215"/>
      <c r="C165" s="216"/>
      <c r="D165" s="20"/>
      <c r="E165" s="211"/>
    </row>
    <row r="166" spans="2:16" x14ac:dyDescent="0.2">
      <c r="B166" s="2261" t="s">
        <v>57</v>
      </c>
      <c r="C166" s="2262"/>
      <c r="D166" s="2263" t="s">
        <v>58</v>
      </c>
      <c r="E166" s="2264"/>
    </row>
    <row r="167" spans="2:16" x14ac:dyDescent="0.2">
      <c r="B167" s="2261">
        <v>150</v>
      </c>
      <c r="C167" s="2262"/>
      <c r="D167" s="2263">
        <v>150</v>
      </c>
      <c r="E167" s="2264"/>
    </row>
    <row r="168" spans="2:16" ht="17" thickBot="1" x14ac:dyDescent="0.25">
      <c r="B168" s="213"/>
      <c r="C168" s="218"/>
      <c r="D168" s="214"/>
      <c r="E168" s="212"/>
    </row>
    <row r="171" spans="2:16" x14ac:dyDescent="0.2">
      <c r="B171" s="67" t="s">
        <v>291</v>
      </c>
      <c r="C171" s="67"/>
      <c r="D171" s="67"/>
      <c r="E171" s="67"/>
      <c r="F171" s="67"/>
      <c r="G171" s="67"/>
      <c r="H171" s="67"/>
      <c r="I171" s="67"/>
      <c r="J171" s="67"/>
      <c r="K171" s="67"/>
      <c r="L171" s="67"/>
      <c r="M171" s="67"/>
      <c r="N171" s="67"/>
      <c r="O171" s="67"/>
      <c r="P171" s="67"/>
    </row>
    <row r="172" spans="2:16" ht="17" thickBot="1" x14ac:dyDescent="0.25"/>
    <row r="173" spans="2:16" x14ac:dyDescent="0.2">
      <c r="B173" s="306"/>
      <c r="C173" s="307"/>
      <c r="D173" s="324"/>
      <c r="E173" s="318"/>
      <c r="F173" s="314"/>
      <c r="G173" s="308"/>
      <c r="K173" t="s">
        <v>51</v>
      </c>
      <c r="L173" s="21" t="s">
        <v>49</v>
      </c>
      <c r="M173" s="132">
        <v>750</v>
      </c>
    </row>
    <row r="174" spans="2:16" x14ac:dyDescent="0.2">
      <c r="B174" s="309"/>
      <c r="C174" s="304"/>
      <c r="D174" s="322"/>
      <c r="E174" s="319"/>
      <c r="F174" s="315"/>
      <c r="G174" s="325" t="s">
        <v>54</v>
      </c>
      <c r="K174" t="s">
        <v>92</v>
      </c>
      <c r="L174" s="20" t="s">
        <v>50</v>
      </c>
      <c r="M174" s="20">
        <v>400</v>
      </c>
    </row>
    <row r="175" spans="2:16" x14ac:dyDescent="0.2">
      <c r="B175" s="309"/>
      <c r="C175" s="304"/>
      <c r="D175" s="322"/>
      <c r="E175" s="319"/>
      <c r="F175" s="315"/>
      <c r="G175" s="329">
        <v>150</v>
      </c>
      <c r="K175" t="s">
        <v>93</v>
      </c>
      <c r="L175" s="305" t="s">
        <v>53</v>
      </c>
      <c r="M175" s="305">
        <v>300</v>
      </c>
    </row>
    <row r="176" spans="2:16" x14ac:dyDescent="0.2">
      <c r="B176" s="2255" t="s">
        <v>49</v>
      </c>
      <c r="C176" s="2256"/>
      <c r="D176" s="2257"/>
      <c r="E176" s="320" t="s">
        <v>50</v>
      </c>
      <c r="F176" s="316" t="s">
        <v>53</v>
      </c>
      <c r="G176" s="310"/>
      <c r="K176" s="303" t="s">
        <v>241</v>
      </c>
      <c r="L176" s="327" t="s">
        <v>54</v>
      </c>
      <c r="M176" s="327">
        <v>150</v>
      </c>
    </row>
    <row r="177" spans="2:16" x14ac:dyDescent="0.2">
      <c r="B177" s="2255">
        <v>750</v>
      </c>
      <c r="C177" s="2256"/>
      <c r="D177" s="2257"/>
      <c r="E177" s="320">
        <v>400</v>
      </c>
      <c r="F177" s="316">
        <v>300</v>
      </c>
      <c r="G177" s="326" t="s">
        <v>192</v>
      </c>
      <c r="K177" s="303" t="s">
        <v>239</v>
      </c>
      <c r="L177" s="328" t="s">
        <v>192</v>
      </c>
      <c r="M177" s="328">
        <v>200</v>
      </c>
    </row>
    <row r="178" spans="2:16" x14ac:dyDescent="0.2">
      <c r="B178" s="309"/>
      <c r="C178" s="304"/>
      <c r="D178" s="322"/>
      <c r="E178" s="319"/>
      <c r="F178" s="315"/>
      <c r="G178" s="326">
        <v>200</v>
      </c>
      <c r="L178" t="s">
        <v>6</v>
      </c>
      <c r="M178" s="32">
        <f>SUM(M173:M177)</f>
        <v>1800</v>
      </c>
      <c r="N178" t="s">
        <v>33</v>
      </c>
    </row>
    <row r="179" spans="2:16" ht="17" thickBot="1" x14ac:dyDescent="0.25">
      <c r="B179" s="311"/>
      <c r="C179" s="312"/>
      <c r="D179" s="323"/>
      <c r="E179" s="321"/>
      <c r="F179" s="317"/>
      <c r="G179" s="313"/>
    </row>
    <row r="182" spans="2:16" x14ac:dyDescent="0.2">
      <c r="B182" s="67" t="s">
        <v>299</v>
      </c>
      <c r="C182" s="67"/>
      <c r="D182" s="67"/>
      <c r="E182" s="67"/>
      <c r="F182" s="67"/>
      <c r="G182" s="67"/>
      <c r="H182" s="67"/>
      <c r="I182" s="67"/>
      <c r="J182" s="67"/>
      <c r="K182" s="67"/>
      <c r="L182" s="67"/>
      <c r="M182" s="67"/>
      <c r="N182" s="67"/>
      <c r="O182" s="67"/>
      <c r="P182" s="67"/>
    </row>
    <row r="183" spans="2:16" ht="17" thickBot="1" x14ac:dyDescent="0.25"/>
    <row r="184" spans="2:16" x14ac:dyDescent="0.2">
      <c r="B184" s="169"/>
      <c r="C184" s="200"/>
      <c r="D184" s="121"/>
      <c r="E184" s="121"/>
      <c r="F184" s="186"/>
    </row>
    <row r="185" spans="2:16" x14ac:dyDescent="0.2">
      <c r="B185" s="2289"/>
      <c r="C185" s="2290"/>
      <c r="D185" s="176"/>
      <c r="E185" s="176"/>
      <c r="F185" s="187"/>
      <c r="K185" t="s">
        <v>55</v>
      </c>
      <c r="L185" s="21" t="s">
        <v>193</v>
      </c>
      <c r="M185" s="132">
        <v>1200</v>
      </c>
    </row>
    <row r="186" spans="2:16" x14ac:dyDescent="0.2">
      <c r="B186" s="2289" t="s">
        <v>193</v>
      </c>
      <c r="C186" s="2290"/>
      <c r="D186" s="176"/>
      <c r="E186" s="176"/>
      <c r="F186" s="187"/>
      <c r="K186" t="s">
        <v>297</v>
      </c>
      <c r="L186" s="171" t="s">
        <v>194</v>
      </c>
      <c r="M186" s="171">
        <v>450</v>
      </c>
    </row>
    <row r="187" spans="2:16" x14ac:dyDescent="0.2">
      <c r="B187" s="2291">
        <v>1200</v>
      </c>
      <c r="C187" s="2290"/>
      <c r="D187" s="176"/>
      <c r="E187" s="176"/>
      <c r="F187" s="187"/>
      <c r="L187" t="s">
        <v>6</v>
      </c>
      <c r="M187" s="32">
        <f>SUM(M185:M186)</f>
        <v>1650</v>
      </c>
      <c r="N187" t="s">
        <v>33</v>
      </c>
    </row>
    <row r="188" spans="2:16" x14ac:dyDescent="0.2">
      <c r="B188" s="170"/>
      <c r="C188" s="201"/>
      <c r="D188" s="176"/>
      <c r="E188" s="176"/>
      <c r="F188" s="187"/>
    </row>
    <row r="189" spans="2:16" x14ac:dyDescent="0.2">
      <c r="B189" s="170"/>
      <c r="C189" s="201"/>
      <c r="D189" s="2248" t="s">
        <v>149</v>
      </c>
      <c r="E189" s="2248"/>
      <c r="F189" s="2253"/>
    </row>
    <row r="190" spans="2:16" x14ac:dyDescent="0.2">
      <c r="B190" s="170"/>
      <c r="C190" s="201"/>
      <c r="D190" s="176"/>
      <c r="E190" s="176"/>
      <c r="F190" s="187"/>
      <c r="K190" s="2259" t="s">
        <v>300</v>
      </c>
      <c r="L190" s="2259"/>
      <c r="M190" s="2259"/>
      <c r="N190" s="2259"/>
      <c r="O190" s="2259"/>
      <c r="P190" s="2259"/>
    </row>
    <row r="191" spans="2:16" x14ac:dyDescent="0.2">
      <c r="B191" s="202"/>
      <c r="C191" s="203"/>
      <c r="D191" s="176"/>
      <c r="E191" s="176"/>
      <c r="F191" s="187"/>
      <c r="K191" s="2259"/>
      <c r="L191" s="2259"/>
      <c r="M191" s="2259"/>
      <c r="N191" s="2259"/>
      <c r="O191" s="2259"/>
      <c r="P191" s="2259"/>
    </row>
    <row r="192" spans="2:16" ht="16" customHeight="1" x14ac:dyDescent="0.2">
      <c r="B192" s="204"/>
      <c r="C192" s="72"/>
      <c r="D192" s="176"/>
      <c r="E192" s="176"/>
      <c r="F192" s="187"/>
      <c r="K192" s="2259"/>
      <c r="L192" s="2259"/>
      <c r="M192" s="2259"/>
      <c r="N192" s="2259"/>
      <c r="O192" s="2259"/>
      <c r="P192" s="2259"/>
    </row>
    <row r="193" spans="2:16" x14ac:dyDescent="0.2">
      <c r="B193" s="2260" t="s">
        <v>194</v>
      </c>
      <c r="C193" s="2237"/>
      <c r="D193" s="176"/>
      <c r="E193" s="176"/>
      <c r="F193" s="187"/>
      <c r="K193" s="2259"/>
      <c r="L193" s="2259"/>
      <c r="M193" s="2259"/>
      <c r="N193" s="2259"/>
      <c r="O193" s="2259"/>
      <c r="P193" s="2259"/>
    </row>
    <row r="194" spans="2:16" x14ac:dyDescent="0.2">
      <c r="B194" s="2260">
        <v>450</v>
      </c>
      <c r="C194" s="2237"/>
      <c r="D194" s="176"/>
      <c r="E194" s="176"/>
      <c r="F194" s="187"/>
      <c r="K194" s="236"/>
      <c r="L194" s="236"/>
      <c r="M194" s="236"/>
      <c r="N194" s="236"/>
      <c r="O194" s="236"/>
      <c r="P194" s="236"/>
    </row>
    <row r="195" spans="2:16" ht="17" thickBot="1" x14ac:dyDescent="0.25">
      <c r="B195" s="168"/>
      <c r="C195" s="76"/>
      <c r="D195" s="124"/>
      <c r="E195" s="124"/>
      <c r="F195" s="188"/>
      <c r="K195" s="236"/>
      <c r="L195" s="236"/>
      <c r="M195" s="236"/>
      <c r="N195" s="236"/>
      <c r="O195" s="236"/>
      <c r="P195" s="236"/>
    </row>
  </sheetData>
  <mergeCells count="73">
    <mergeCell ref="B193:C193"/>
    <mergeCell ref="B194:C194"/>
    <mergeCell ref="B185:C185"/>
    <mergeCell ref="B186:C186"/>
    <mergeCell ref="B187:C187"/>
    <mergeCell ref="B143:C143"/>
    <mergeCell ref="B144:C144"/>
    <mergeCell ref="B140:C140"/>
    <mergeCell ref="B139:C139"/>
    <mergeCell ref="F103:I103"/>
    <mergeCell ref="B138:C138"/>
    <mergeCell ref="B131:C131"/>
    <mergeCell ref="B132:C132"/>
    <mergeCell ref="B128:C128"/>
    <mergeCell ref="F102:I102"/>
    <mergeCell ref="D142:F142"/>
    <mergeCell ref="F130:I130"/>
    <mergeCell ref="F95:G95"/>
    <mergeCell ref="H95:I95"/>
    <mergeCell ref="F96:G96"/>
    <mergeCell ref="H96:I96"/>
    <mergeCell ref="D132:E132"/>
    <mergeCell ref="D131:E131"/>
    <mergeCell ref="D128:E128"/>
    <mergeCell ref="B81:C81"/>
    <mergeCell ref="B104:E104"/>
    <mergeCell ref="B105:E105"/>
    <mergeCell ref="B103:E103"/>
    <mergeCell ref="B91:E91"/>
    <mergeCell ref="B92:E92"/>
    <mergeCell ref="B84:E84"/>
    <mergeCell ref="B85:E85"/>
    <mergeCell ref="F81:G81"/>
    <mergeCell ref="H80:I80"/>
    <mergeCell ref="F92:G92"/>
    <mergeCell ref="H92:I92"/>
    <mergeCell ref="H81:I81"/>
    <mergeCell ref="F84:I84"/>
    <mergeCell ref="F85:I85"/>
    <mergeCell ref="F91:G91"/>
    <mergeCell ref="H91:I91"/>
    <mergeCell ref="B176:D176"/>
    <mergeCell ref="B177:D177"/>
    <mergeCell ref="K118:P119"/>
    <mergeCell ref="K190:P193"/>
    <mergeCell ref="B145:C145"/>
    <mergeCell ref="B146:C146"/>
    <mergeCell ref="B166:C166"/>
    <mergeCell ref="D166:E166"/>
    <mergeCell ref="B162:E162"/>
    <mergeCell ref="B163:E163"/>
    <mergeCell ref="B167:C167"/>
    <mergeCell ref="D167:E167"/>
    <mergeCell ref="D189:F189"/>
    <mergeCell ref="F128:I128"/>
    <mergeCell ref="F129:I129"/>
    <mergeCell ref="B127:C127"/>
    <mergeCell ref="C153:D153"/>
    <mergeCell ref="C154:D154"/>
    <mergeCell ref="E153:F153"/>
    <mergeCell ref="E154:F154"/>
    <mergeCell ref="B8:P8"/>
    <mergeCell ref="B80:C80"/>
    <mergeCell ref="D80:E80"/>
    <mergeCell ref="D81:E81"/>
    <mergeCell ref="B95:E95"/>
    <mergeCell ref="B96:E96"/>
    <mergeCell ref="E114:F114"/>
    <mergeCell ref="E115:F115"/>
    <mergeCell ref="F106:I106"/>
    <mergeCell ref="F107:I107"/>
    <mergeCell ref="D127:E127"/>
    <mergeCell ref="F80:G80"/>
  </mergeCells>
  <pageMargins left="0.25" right="0.25" top="0.75" bottom="0.75" header="0.3" footer="0.3"/>
  <pageSetup scale="64" fitToHeight="6" orientation="landscape" horizontalDpi="1200" verticalDpi="1200" r:id="rId1"/>
  <rowBreaks count="3" manualBreakCount="3">
    <brk id="47" min="1" max="15" man="1"/>
    <brk id="98" min="1" max="15" man="1"/>
    <brk id="148" min="1" max="1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6939-9E96-F747-AD6D-4D99E99E6D3E}">
  <sheetPr>
    <pageSetUpPr fitToPage="1"/>
  </sheetPr>
  <dimension ref="B2:T41"/>
  <sheetViews>
    <sheetView zoomScaleNormal="100" workbookViewId="0">
      <selection activeCell="Y45" sqref="Y45"/>
    </sheetView>
  </sheetViews>
  <sheetFormatPr baseColWidth="10" defaultColWidth="10.6640625" defaultRowHeight="16" x14ac:dyDescent="0.2"/>
  <cols>
    <col min="1" max="1" width="5.1640625" customWidth="1"/>
    <col min="4" max="4" width="9.1640625" customWidth="1"/>
    <col min="5" max="5" width="9.33203125" customWidth="1"/>
    <col min="6" max="6" width="9.1640625" customWidth="1"/>
    <col min="7" max="8" width="11.6640625" customWidth="1"/>
    <col min="9" max="9" width="12" customWidth="1"/>
    <col min="10" max="10" width="12.5" customWidth="1"/>
    <col min="15" max="15" width="7.33203125" customWidth="1"/>
    <col min="17" max="17" width="18" customWidth="1"/>
    <col min="20" max="20" width="3" customWidth="1"/>
  </cols>
  <sheetData>
    <row r="2" spans="2:20" x14ac:dyDescent="0.2">
      <c r="B2" s="1476" t="s">
        <v>259</v>
      </c>
    </row>
    <row r="3" spans="2:20" x14ac:dyDescent="0.2">
      <c r="B3" t="s">
        <v>23</v>
      </c>
    </row>
    <row r="4" spans="2:20" x14ac:dyDescent="0.2">
      <c r="B4" t="s">
        <v>24</v>
      </c>
    </row>
    <row r="5" spans="2:20" x14ac:dyDescent="0.2">
      <c r="B5" s="274" t="s">
        <v>367</v>
      </c>
    </row>
    <row r="6" spans="2:20" x14ac:dyDescent="0.2">
      <c r="B6" s="275" t="s">
        <v>366</v>
      </c>
    </row>
    <row r="7" spans="2:20" x14ac:dyDescent="0.2">
      <c r="B7" s="275"/>
    </row>
    <row r="8" spans="2:20" x14ac:dyDescent="0.2">
      <c r="B8" s="2240" t="s">
        <v>105</v>
      </c>
      <c r="C8" s="2240"/>
      <c r="D8" s="2240"/>
      <c r="E8" s="2240"/>
      <c r="F8" s="2240"/>
      <c r="G8" s="2240"/>
      <c r="H8" s="2240"/>
      <c r="I8" s="2240"/>
      <c r="J8" s="2240"/>
      <c r="K8" s="2240"/>
      <c r="L8" s="2240"/>
      <c r="M8" s="2240"/>
      <c r="N8" s="2240"/>
      <c r="O8" s="2240"/>
      <c r="P8" s="2240"/>
      <c r="Q8" s="2240"/>
      <c r="R8" s="2240"/>
      <c r="S8" s="2240"/>
      <c r="T8" s="2240"/>
    </row>
    <row r="10" spans="2:20" s="303" customFormat="1" x14ac:dyDescent="0.2">
      <c r="B10" s="275" t="s">
        <v>254</v>
      </c>
      <c r="C10"/>
      <c r="D10"/>
      <c r="E10"/>
      <c r="F10"/>
    </row>
    <row r="11" spans="2:20" s="303" customFormat="1" x14ac:dyDescent="0.2">
      <c r="C11" s="1475"/>
      <c r="D11" s="1475"/>
      <c r="E11" s="1475"/>
      <c r="F11" s="1475"/>
      <c r="G11" s="1475"/>
      <c r="H11" s="1475"/>
      <c r="I11" s="1475"/>
      <c r="J11" s="1475"/>
      <c r="K11" s="1475"/>
      <c r="L11" s="1475"/>
      <c r="M11" s="1475"/>
      <c r="N11" s="1475"/>
      <c r="O11" s="1475"/>
      <c r="P11" s="1475"/>
      <c r="Q11" s="1475"/>
      <c r="R11" s="1475"/>
      <c r="S11" s="1475"/>
      <c r="T11" s="1475"/>
    </row>
    <row r="12" spans="2:20" s="303" customFormat="1" x14ac:dyDescent="0.2">
      <c r="B12" s="6" t="s">
        <v>263</v>
      </c>
      <c r="C12" s="5"/>
      <c r="D12" s="5"/>
      <c r="E12" s="5"/>
      <c r="F12" s="5"/>
      <c r="G12" s="5"/>
      <c r="H12" s="5"/>
      <c r="I12" s="5"/>
      <c r="J12" s="5"/>
      <c r="K12" s="5"/>
      <c r="L12" s="5"/>
      <c r="M12" s="5"/>
      <c r="N12" s="5"/>
      <c r="O12" s="5"/>
      <c r="P12" s="5"/>
      <c r="Q12" s="5"/>
      <c r="R12" s="5"/>
      <c r="S12" s="5"/>
      <c r="T12" s="5"/>
    </row>
    <row r="13" spans="2:20" s="303" customFormat="1" x14ac:dyDescent="0.2">
      <c r="B13" t="s">
        <v>22</v>
      </c>
      <c r="F13" s="303" t="s">
        <v>292</v>
      </c>
    </row>
    <row r="14" spans="2:20" s="303" customFormat="1" x14ac:dyDescent="0.2">
      <c r="B14" s="1475"/>
      <c r="C14" s="1475"/>
      <c r="D14" s="1475"/>
      <c r="E14" s="1475"/>
      <c r="F14" s="1475"/>
      <c r="G14" s="1475"/>
      <c r="H14" s="1475"/>
      <c r="I14" s="1475"/>
      <c r="J14" s="1475"/>
      <c r="K14" s="1475"/>
      <c r="L14" s="1475"/>
      <c r="M14" s="1475"/>
      <c r="N14" s="1475"/>
      <c r="O14" s="1475"/>
      <c r="P14" s="1475"/>
      <c r="Q14" s="1475"/>
      <c r="R14" s="1475"/>
      <c r="S14" s="1475"/>
      <c r="T14" s="1475"/>
    </row>
    <row r="15" spans="2:20" ht="17" thickBot="1" x14ac:dyDescent="0.25"/>
    <row r="16" spans="2:20" x14ac:dyDescent="0.2">
      <c r="B16" s="7"/>
      <c r="C16" s="9"/>
      <c r="D16" s="158"/>
      <c r="E16" s="29"/>
      <c r="F16" s="30"/>
      <c r="G16" s="16"/>
      <c r="L16" s="11" t="s">
        <v>0</v>
      </c>
      <c r="M16" s="141">
        <v>1400</v>
      </c>
      <c r="P16" t="s">
        <v>7</v>
      </c>
    </row>
    <row r="17" spans="2:19" x14ac:dyDescent="0.2">
      <c r="B17" s="10"/>
      <c r="C17" s="12"/>
      <c r="D17" s="159"/>
      <c r="E17" s="22"/>
      <c r="F17" s="23"/>
      <c r="G17" s="17"/>
      <c r="L17" s="34" t="s">
        <v>1</v>
      </c>
      <c r="M17" s="143">
        <v>1000</v>
      </c>
      <c r="P17" t="s">
        <v>296</v>
      </c>
      <c r="R17" s="145">
        <f>M21</f>
        <v>4500</v>
      </c>
      <c r="S17" t="s">
        <v>33</v>
      </c>
    </row>
    <row r="18" spans="2:19" x14ac:dyDescent="0.2">
      <c r="B18" s="2267" t="s">
        <v>0</v>
      </c>
      <c r="C18" s="2295"/>
      <c r="D18" s="160" t="s">
        <v>1</v>
      </c>
      <c r="E18" s="2293" t="s">
        <v>4</v>
      </c>
      <c r="F18" s="2294"/>
      <c r="G18" s="1474" t="s">
        <v>9</v>
      </c>
      <c r="L18" s="20" t="s">
        <v>4</v>
      </c>
      <c r="M18" s="142">
        <v>700</v>
      </c>
      <c r="P18" t="s">
        <v>294</v>
      </c>
      <c r="R18" s="32">
        <f>M31</f>
        <v>6700</v>
      </c>
      <c r="S18" t="s">
        <v>33</v>
      </c>
    </row>
    <row r="19" spans="2:19" x14ac:dyDescent="0.2">
      <c r="B19" s="2296">
        <v>1400</v>
      </c>
      <c r="C19" s="2297"/>
      <c r="D19" s="161">
        <v>1000</v>
      </c>
      <c r="E19" s="2293">
        <v>700</v>
      </c>
      <c r="F19" s="2294"/>
      <c r="G19" s="146">
        <v>1200</v>
      </c>
      <c r="L19" s="87" t="s">
        <v>8</v>
      </c>
      <c r="M19" s="1512">
        <v>200</v>
      </c>
      <c r="P19" t="s">
        <v>295</v>
      </c>
      <c r="R19" s="32">
        <f>M41</f>
        <v>7700</v>
      </c>
      <c r="S19" t="s">
        <v>33</v>
      </c>
    </row>
    <row r="20" spans="2:19" x14ac:dyDescent="0.2">
      <c r="B20" s="2267"/>
      <c r="C20" s="2295"/>
      <c r="D20" s="159"/>
      <c r="E20" s="1509"/>
      <c r="F20" s="23"/>
      <c r="G20" s="1474"/>
      <c r="L20" s="21" t="s">
        <v>9</v>
      </c>
      <c r="M20" s="132">
        <v>1200</v>
      </c>
      <c r="R20" s="32"/>
    </row>
    <row r="21" spans="2:19" x14ac:dyDescent="0.2">
      <c r="B21" s="10"/>
      <c r="C21" s="12"/>
      <c r="D21" s="159"/>
      <c r="E21" s="1510" t="s">
        <v>3</v>
      </c>
      <c r="F21" s="23"/>
      <c r="G21" s="17"/>
      <c r="L21" s="59" t="s">
        <v>6</v>
      </c>
      <c r="M21" s="144">
        <f>SUM(M16:M20)</f>
        <v>4500</v>
      </c>
      <c r="N21" t="s">
        <v>33</v>
      </c>
      <c r="R21" s="32"/>
    </row>
    <row r="22" spans="2:19" ht="17" thickBot="1" x14ac:dyDescent="0.25">
      <c r="B22" s="13"/>
      <c r="C22" s="15"/>
      <c r="D22" s="162"/>
      <c r="E22" s="1511"/>
      <c r="F22" s="31"/>
      <c r="G22" s="18"/>
    </row>
    <row r="23" spans="2:19" ht="17" thickBot="1" x14ac:dyDescent="0.25"/>
    <row r="24" spans="2:19" x14ac:dyDescent="0.2">
      <c r="B24" s="7"/>
      <c r="C24" s="9"/>
      <c r="D24" s="158"/>
      <c r="E24" s="29"/>
      <c r="F24" s="30"/>
      <c r="G24" s="24"/>
      <c r="H24" s="24"/>
      <c r="I24" s="16"/>
      <c r="L24" s="11" t="s">
        <v>0</v>
      </c>
      <c r="M24" s="141">
        <v>1400</v>
      </c>
    </row>
    <row r="25" spans="2:19" x14ac:dyDescent="0.2">
      <c r="B25" s="10"/>
      <c r="C25" s="12"/>
      <c r="D25" s="159"/>
      <c r="E25" s="22"/>
      <c r="F25" s="23"/>
      <c r="G25" s="25"/>
      <c r="H25" s="25"/>
      <c r="I25" s="17"/>
      <c r="L25" s="34" t="s">
        <v>1</v>
      </c>
      <c r="M25" s="143">
        <v>1000</v>
      </c>
    </row>
    <row r="26" spans="2:19" x14ac:dyDescent="0.2">
      <c r="B26" s="2270" t="s">
        <v>0</v>
      </c>
      <c r="C26" s="2292"/>
      <c r="D26" s="160" t="s">
        <v>1</v>
      </c>
      <c r="E26" s="2293" t="s">
        <v>4</v>
      </c>
      <c r="F26" s="2294"/>
      <c r="G26" s="35" t="s">
        <v>5</v>
      </c>
      <c r="H26" s="35" t="s">
        <v>5</v>
      </c>
      <c r="I26" s="147" t="s">
        <v>9</v>
      </c>
      <c r="L26" s="20" t="s">
        <v>4</v>
      </c>
      <c r="M26" s="142">
        <v>700</v>
      </c>
    </row>
    <row r="27" spans="2:19" x14ac:dyDescent="0.2">
      <c r="B27" s="2270">
        <v>1400</v>
      </c>
      <c r="C27" s="2292"/>
      <c r="D27" s="163">
        <v>1000</v>
      </c>
      <c r="E27" s="2293">
        <v>700</v>
      </c>
      <c r="F27" s="2294"/>
      <c r="G27" s="127">
        <v>1100</v>
      </c>
      <c r="H27" s="127">
        <v>1100</v>
      </c>
      <c r="I27" s="147">
        <v>1200</v>
      </c>
      <c r="L27" s="87" t="s">
        <v>8</v>
      </c>
      <c r="M27" s="1512">
        <v>200</v>
      </c>
    </row>
    <row r="28" spans="2:19" x14ac:dyDescent="0.2">
      <c r="B28" s="10"/>
      <c r="C28" s="12"/>
      <c r="D28" s="160"/>
      <c r="E28" s="1509"/>
      <c r="F28" s="23"/>
      <c r="G28" s="35"/>
      <c r="H28" s="35"/>
      <c r="I28" s="44"/>
      <c r="L28" s="27" t="s">
        <v>5</v>
      </c>
      <c r="M28" s="131">
        <v>1100</v>
      </c>
    </row>
    <row r="29" spans="2:19" x14ac:dyDescent="0.2">
      <c r="B29" s="10"/>
      <c r="C29" s="12"/>
      <c r="D29" s="159"/>
      <c r="E29" s="1510" t="s">
        <v>3</v>
      </c>
      <c r="F29" s="23"/>
      <c r="G29" s="25"/>
      <c r="H29" s="25"/>
      <c r="I29" s="17"/>
      <c r="L29" s="27" t="s">
        <v>5</v>
      </c>
      <c r="M29" s="131">
        <v>1100</v>
      </c>
    </row>
    <row r="30" spans="2:19" ht="17" thickBot="1" x14ac:dyDescent="0.25">
      <c r="B30" s="13"/>
      <c r="C30" s="15"/>
      <c r="D30" s="162"/>
      <c r="E30" s="1511"/>
      <c r="F30" s="31"/>
      <c r="G30" s="26"/>
      <c r="H30" s="26"/>
      <c r="I30" s="18"/>
      <c r="L30" s="21" t="s">
        <v>9</v>
      </c>
      <c r="M30" s="132">
        <v>1200</v>
      </c>
    </row>
    <row r="31" spans="2:19" x14ac:dyDescent="0.2">
      <c r="L31" s="59" t="s">
        <v>6</v>
      </c>
      <c r="M31" s="144">
        <f>SUM(M24:M30)</f>
        <v>6700</v>
      </c>
      <c r="N31" t="s">
        <v>33</v>
      </c>
    </row>
    <row r="32" spans="2:19" ht="17" thickBot="1" x14ac:dyDescent="0.25"/>
    <row r="33" spans="2:14" x14ac:dyDescent="0.2">
      <c r="B33" s="7"/>
      <c r="C33" s="9"/>
      <c r="D33" s="158"/>
      <c r="E33" s="158"/>
      <c r="F33" s="29"/>
      <c r="G33" s="30"/>
      <c r="H33" s="24"/>
      <c r="I33" s="24"/>
      <c r="J33" s="16"/>
      <c r="L33" s="11" t="s">
        <v>0</v>
      </c>
      <c r="M33" s="141">
        <v>1400</v>
      </c>
    </row>
    <row r="34" spans="2:14" x14ac:dyDescent="0.2">
      <c r="B34" s="10"/>
      <c r="C34" s="12"/>
      <c r="D34" s="159"/>
      <c r="E34" s="159"/>
      <c r="F34" s="22"/>
      <c r="G34" s="23"/>
      <c r="H34" s="25"/>
      <c r="I34" s="25"/>
      <c r="J34" s="17"/>
      <c r="L34" s="34" t="s">
        <v>1</v>
      </c>
      <c r="M34" s="143">
        <v>1000</v>
      </c>
    </row>
    <row r="35" spans="2:14" x14ac:dyDescent="0.2">
      <c r="B35" s="2270" t="s">
        <v>0</v>
      </c>
      <c r="C35" s="2292"/>
      <c r="D35" s="160" t="s">
        <v>1</v>
      </c>
      <c r="E35" s="160" t="s">
        <v>1</v>
      </c>
      <c r="F35" s="2293" t="s">
        <v>4</v>
      </c>
      <c r="G35" s="2294"/>
      <c r="H35" s="35" t="s">
        <v>5</v>
      </c>
      <c r="I35" s="35" t="s">
        <v>5</v>
      </c>
      <c r="J35" s="44" t="s">
        <v>9</v>
      </c>
      <c r="L35" s="34" t="s">
        <v>1</v>
      </c>
      <c r="M35" s="143">
        <v>1000</v>
      </c>
    </row>
    <row r="36" spans="2:14" x14ac:dyDescent="0.2">
      <c r="B36" s="2270">
        <v>1400</v>
      </c>
      <c r="C36" s="2292"/>
      <c r="D36" s="163">
        <v>1000</v>
      </c>
      <c r="E36" s="163">
        <v>1000</v>
      </c>
      <c r="F36" s="2293">
        <v>700</v>
      </c>
      <c r="G36" s="2294"/>
      <c r="H36" s="127">
        <v>1100</v>
      </c>
      <c r="I36" s="127">
        <v>1100</v>
      </c>
      <c r="J36" s="147">
        <v>1200</v>
      </c>
      <c r="L36" s="20" t="s">
        <v>4</v>
      </c>
      <c r="M36" s="142">
        <v>700</v>
      </c>
    </row>
    <row r="37" spans="2:14" x14ac:dyDescent="0.2">
      <c r="B37" s="10"/>
      <c r="C37" s="12"/>
      <c r="D37" s="160"/>
      <c r="E37" s="160"/>
      <c r="F37" s="1509"/>
      <c r="G37" s="23"/>
      <c r="H37" s="35"/>
      <c r="I37" s="35"/>
      <c r="J37" s="44"/>
      <c r="L37" s="87" t="s">
        <v>8</v>
      </c>
      <c r="M37" s="1512">
        <v>200</v>
      </c>
    </row>
    <row r="38" spans="2:14" x14ac:dyDescent="0.2">
      <c r="B38" s="10"/>
      <c r="C38" s="12"/>
      <c r="D38" s="159"/>
      <c r="E38" s="159"/>
      <c r="F38" s="1510" t="s">
        <v>3</v>
      </c>
      <c r="G38" s="23"/>
      <c r="H38" s="25"/>
      <c r="I38" s="25"/>
      <c r="J38" s="17"/>
      <c r="L38" s="27" t="s">
        <v>5</v>
      </c>
      <c r="M38" s="131">
        <v>1100</v>
      </c>
    </row>
    <row r="39" spans="2:14" ht="17" thickBot="1" x14ac:dyDescent="0.25">
      <c r="B39" s="13"/>
      <c r="C39" s="15"/>
      <c r="D39" s="162"/>
      <c r="E39" s="162"/>
      <c r="F39" s="1511"/>
      <c r="G39" s="31"/>
      <c r="H39" s="26"/>
      <c r="I39" s="26"/>
      <c r="J39" s="18"/>
      <c r="L39" s="27" t="s">
        <v>5</v>
      </c>
      <c r="M39" s="131">
        <v>1100</v>
      </c>
    </row>
    <row r="40" spans="2:14" x14ac:dyDescent="0.2">
      <c r="L40" s="21" t="s">
        <v>9</v>
      </c>
      <c r="M40" s="132">
        <v>1200</v>
      </c>
    </row>
    <row r="41" spans="2:14" x14ac:dyDescent="0.2">
      <c r="L41" s="59" t="s">
        <v>6</v>
      </c>
      <c r="M41" s="144">
        <f>SUM(M33:M40)</f>
        <v>7700</v>
      </c>
      <c r="N41" t="s">
        <v>33</v>
      </c>
    </row>
  </sheetData>
  <mergeCells count="14">
    <mergeCell ref="B8:T8"/>
    <mergeCell ref="B26:C26"/>
    <mergeCell ref="B27:C27"/>
    <mergeCell ref="B35:C35"/>
    <mergeCell ref="B36:C36"/>
    <mergeCell ref="E18:F18"/>
    <mergeCell ref="E19:F19"/>
    <mergeCell ref="E26:F26"/>
    <mergeCell ref="E27:F27"/>
    <mergeCell ref="F35:G35"/>
    <mergeCell ref="F36:G36"/>
    <mergeCell ref="B20:C20"/>
    <mergeCell ref="B19:C19"/>
    <mergeCell ref="B18:C18"/>
  </mergeCells>
  <pageMargins left="0.25" right="0.25" top="0.75" bottom="0.75" header="0.3" footer="0.3"/>
  <pageSetup scale="63"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C9B6-766C-8C4F-B921-DDC22088880B}">
  <sheetPr>
    <pageSetUpPr fitToPage="1"/>
  </sheetPr>
  <dimension ref="B2:W44"/>
  <sheetViews>
    <sheetView zoomScaleNormal="100" zoomScaleSheetLayoutView="80" workbookViewId="0">
      <selection activeCell="J44" sqref="J44"/>
    </sheetView>
  </sheetViews>
  <sheetFormatPr baseColWidth="10" defaultColWidth="10.6640625" defaultRowHeight="16" x14ac:dyDescent="0.2"/>
  <cols>
    <col min="1" max="1" width="4.83203125" customWidth="1"/>
    <col min="5" max="5" width="9.5" customWidth="1"/>
    <col min="11" max="11" width="10" customWidth="1"/>
    <col min="12" max="12" width="6.6640625" customWidth="1"/>
    <col min="13" max="14" width="10.33203125" customWidth="1"/>
  </cols>
  <sheetData>
    <row r="2" spans="2:23" x14ac:dyDescent="0.2">
      <c r="B2" s="1476" t="s">
        <v>260</v>
      </c>
    </row>
    <row r="3" spans="2:23" x14ac:dyDescent="0.2">
      <c r="B3" t="s">
        <v>23</v>
      </c>
    </row>
    <row r="4" spans="2:23" x14ac:dyDescent="0.2">
      <c r="B4" t="s">
        <v>24</v>
      </c>
    </row>
    <row r="5" spans="2:23" x14ac:dyDescent="0.2">
      <c r="B5" s="274" t="s">
        <v>367</v>
      </c>
    </row>
    <row r="6" spans="2:23" x14ac:dyDescent="0.2">
      <c r="B6" s="275" t="s">
        <v>366</v>
      </c>
    </row>
    <row r="7" spans="2:23" x14ac:dyDescent="0.2">
      <c r="B7" s="275"/>
    </row>
    <row r="8" spans="2:23" x14ac:dyDescent="0.2">
      <c r="B8" s="2240" t="s">
        <v>105</v>
      </c>
      <c r="C8" s="2240"/>
      <c r="D8" s="2240"/>
      <c r="E8" s="2240"/>
      <c r="F8" s="2240"/>
      <c r="G8" s="2240"/>
      <c r="H8" s="2240"/>
      <c r="I8" s="2240"/>
      <c r="J8" s="2240"/>
      <c r="K8" s="2240"/>
      <c r="L8" s="2240"/>
      <c r="M8" s="2240"/>
      <c r="N8" s="2240"/>
      <c r="O8" s="2240"/>
      <c r="P8" s="2240"/>
      <c r="Q8" s="2240"/>
      <c r="R8" s="2240"/>
      <c r="S8" s="2240"/>
      <c r="T8" s="2240"/>
      <c r="U8" s="2240"/>
      <c r="V8" s="2240"/>
      <c r="W8" s="2240"/>
    </row>
    <row r="9" spans="2:23" x14ac:dyDescent="0.2">
      <c r="B9" s="275"/>
    </row>
    <row r="10" spans="2:23" x14ac:dyDescent="0.2">
      <c r="B10" s="275" t="s">
        <v>254</v>
      </c>
    </row>
    <row r="12" spans="2:23" x14ac:dyDescent="0.2">
      <c r="B12" s="6" t="s">
        <v>2</v>
      </c>
      <c r="C12" s="5"/>
      <c r="D12" s="5"/>
      <c r="E12" s="5"/>
      <c r="F12" s="5"/>
      <c r="G12" s="5"/>
      <c r="H12" s="5"/>
      <c r="I12" s="5"/>
      <c r="J12" s="5"/>
      <c r="K12" s="5"/>
      <c r="L12" s="5"/>
      <c r="M12" s="5"/>
      <c r="N12" s="5"/>
      <c r="O12" s="5"/>
      <c r="P12" s="5"/>
      <c r="Q12" s="5"/>
      <c r="R12" s="5"/>
      <c r="S12" s="5"/>
      <c r="T12" s="5"/>
      <c r="U12" s="5"/>
      <c r="V12" s="5"/>
      <c r="W12" s="5"/>
    </row>
    <row r="13" spans="2:23" x14ac:dyDescent="0.2">
      <c r="B13" t="s">
        <v>293</v>
      </c>
    </row>
    <row r="14" spans="2:23" ht="17" thickBot="1" x14ac:dyDescent="0.25"/>
    <row r="15" spans="2:23" x14ac:dyDescent="0.2">
      <c r="B15" s="7"/>
      <c r="C15" s="8"/>
      <c r="D15" s="8"/>
      <c r="E15" s="151"/>
      <c r="F15" s="78"/>
      <c r="G15" s="152"/>
      <c r="H15" s="36"/>
      <c r="I15" s="37"/>
      <c r="J15" s="43"/>
      <c r="K15" s="43"/>
      <c r="L15" s="16"/>
      <c r="P15" s="11" t="s">
        <v>0</v>
      </c>
      <c r="Q15" s="141">
        <v>2200</v>
      </c>
      <c r="T15" t="s">
        <v>30</v>
      </c>
    </row>
    <row r="16" spans="2:23" x14ac:dyDescent="0.2">
      <c r="B16" s="10"/>
      <c r="C16" s="11"/>
      <c r="D16" s="11"/>
      <c r="E16" s="153"/>
      <c r="F16" s="34"/>
      <c r="G16" s="81"/>
      <c r="H16" s="38"/>
      <c r="I16" s="39"/>
      <c r="J16" s="21"/>
      <c r="K16" s="21"/>
      <c r="L16" s="17"/>
      <c r="P16" s="34" t="s">
        <v>1</v>
      </c>
      <c r="Q16" s="143">
        <v>2100</v>
      </c>
      <c r="T16" t="s">
        <v>294</v>
      </c>
      <c r="V16" s="208">
        <v>7200</v>
      </c>
      <c r="W16" t="s">
        <v>33</v>
      </c>
    </row>
    <row r="17" spans="2:23" x14ac:dyDescent="0.2">
      <c r="B17" s="2267" t="s">
        <v>0</v>
      </c>
      <c r="C17" s="2268"/>
      <c r="D17" s="2295"/>
      <c r="E17" s="2309" t="s">
        <v>1</v>
      </c>
      <c r="F17" s="2310"/>
      <c r="G17" s="2311"/>
      <c r="H17" s="2299" t="s">
        <v>4</v>
      </c>
      <c r="I17" s="2300"/>
      <c r="J17" s="2238" t="s">
        <v>5</v>
      </c>
      <c r="K17" s="2298"/>
      <c r="L17" s="2239"/>
      <c r="P17" s="87" t="s">
        <v>8</v>
      </c>
      <c r="Q17" s="1512">
        <v>200</v>
      </c>
      <c r="T17" t="s">
        <v>295</v>
      </c>
      <c r="V17" s="2">
        <f>Q31</f>
        <v>8400</v>
      </c>
      <c r="W17" t="s">
        <v>33</v>
      </c>
    </row>
    <row r="18" spans="2:23" x14ac:dyDescent="0.2">
      <c r="B18" s="2270">
        <v>2200</v>
      </c>
      <c r="C18" s="2271"/>
      <c r="D18" s="2292"/>
      <c r="E18" s="2306">
        <v>2100</v>
      </c>
      <c r="F18" s="2307"/>
      <c r="G18" s="2308"/>
      <c r="H18" s="2301">
        <v>1200</v>
      </c>
      <c r="I18" s="2302"/>
      <c r="J18" s="2303">
        <v>1500</v>
      </c>
      <c r="K18" s="2304"/>
      <c r="L18" s="2305"/>
      <c r="P18" s="42" t="s">
        <v>4</v>
      </c>
      <c r="Q18" s="148">
        <v>1200</v>
      </c>
    </row>
    <row r="19" spans="2:23" x14ac:dyDescent="0.2">
      <c r="B19" s="10"/>
      <c r="C19" s="11"/>
      <c r="D19" s="12"/>
      <c r="E19" s="1517"/>
      <c r="F19" s="154"/>
      <c r="G19" s="81"/>
      <c r="H19" s="2299"/>
      <c r="I19" s="2300"/>
      <c r="J19" s="2238"/>
      <c r="K19" s="2298"/>
      <c r="L19" s="2239"/>
      <c r="P19" s="21" t="s">
        <v>5</v>
      </c>
      <c r="Q19" s="132">
        <v>1500</v>
      </c>
      <c r="V19" s="2"/>
    </row>
    <row r="20" spans="2:23" x14ac:dyDescent="0.2">
      <c r="B20" s="10"/>
      <c r="C20" s="11"/>
      <c r="D20" s="12"/>
      <c r="E20" s="1518" t="s">
        <v>3</v>
      </c>
      <c r="F20" s="34"/>
      <c r="G20" s="81"/>
      <c r="H20" s="38"/>
      <c r="I20" s="39"/>
      <c r="J20" s="21"/>
      <c r="K20" s="21"/>
      <c r="L20" s="17"/>
      <c r="P20" s="59" t="s">
        <v>6</v>
      </c>
      <c r="Q20" s="149">
        <f>SUM(Q15:Q19)</f>
        <v>7200</v>
      </c>
      <c r="R20" t="s">
        <v>33</v>
      </c>
    </row>
    <row r="21" spans="2:23" ht="17" thickBot="1" x14ac:dyDescent="0.25">
      <c r="B21" s="13"/>
      <c r="C21" s="14"/>
      <c r="D21" s="15"/>
      <c r="E21" s="1519"/>
      <c r="F21" s="79"/>
      <c r="G21" s="82"/>
      <c r="H21" s="40"/>
      <c r="I21" s="41"/>
      <c r="J21" s="45"/>
      <c r="K21" s="45"/>
      <c r="L21" s="18"/>
      <c r="Q21" s="32"/>
    </row>
    <row r="24" spans="2:23" ht="17" thickBot="1" x14ac:dyDescent="0.25"/>
    <row r="25" spans="2:23" x14ac:dyDescent="0.2">
      <c r="B25" s="7"/>
      <c r="C25" s="8"/>
      <c r="D25" s="8"/>
      <c r="E25" s="151"/>
      <c r="F25" s="78"/>
      <c r="G25" s="152"/>
      <c r="H25" s="36"/>
      <c r="I25" s="37"/>
      <c r="J25" s="36"/>
      <c r="K25" s="37"/>
      <c r="L25" s="43"/>
      <c r="M25" s="43"/>
      <c r="N25" s="16"/>
      <c r="P25" s="11" t="s">
        <v>0</v>
      </c>
      <c r="Q25" s="141">
        <v>2200</v>
      </c>
    </row>
    <row r="26" spans="2:23" x14ac:dyDescent="0.2">
      <c r="B26" s="10"/>
      <c r="C26" s="11"/>
      <c r="D26" s="11"/>
      <c r="E26" s="153"/>
      <c r="F26" s="34"/>
      <c r="G26" s="81"/>
      <c r="H26" s="38"/>
      <c r="I26" s="39"/>
      <c r="J26" s="38"/>
      <c r="K26" s="39"/>
      <c r="L26" s="21"/>
      <c r="M26" s="21"/>
      <c r="N26" s="17"/>
      <c r="P26" s="34" t="s">
        <v>1</v>
      </c>
      <c r="Q26" s="143">
        <v>2100</v>
      </c>
    </row>
    <row r="27" spans="2:23" ht="17" x14ac:dyDescent="0.2">
      <c r="B27" s="2267" t="s">
        <v>0</v>
      </c>
      <c r="C27" s="2268"/>
      <c r="D27" s="2295"/>
      <c r="E27" s="155"/>
      <c r="F27" s="155" t="s">
        <v>1</v>
      </c>
      <c r="G27" s="80"/>
      <c r="H27" s="2299" t="s">
        <v>4</v>
      </c>
      <c r="I27" s="2300"/>
      <c r="J27" s="2299" t="s">
        <v>4</v>
      </c>
      <c r="K27" s="2300"/>
      <c r="L27" s="2238" t="s">
        <v>5</v>
      </c>
      <c r="M27" s="2298"/>
      <c r="N27" s="2239"/>
      <c r="P27" s="87" t="s">
        <v>8</v>
      </c>
      <c r="Q27" s="1512">
        <v>200</v>
      </c>
    </row>
    <row r="28" spans="2:23" x14ac:dyDescent="0.2">
      <c r="B28" s="2270">
        <v>2200</v>
      </c>
      <c r="C28" s="2271"/>
      <c r="D28" s="2292"/>
      <c r="E28" s="156"/>
      <c r="F28" s="157">
        <v>2100</v>
      </c>
      <c r="G28" s="81"/>
      <c r="H28" s="2301">
        <v>1200</v>
      </c>
      <c r="I28" s="2302"/>
      <c r="J28" s="2301">
        <v>1200</v>
      </c>
      <c r="K28" s="2302"/>
      <c r="L28" s="2303">
        <v>1500</v>
      </c>
      <c r="M28" s="2304"/>
      <c r="N28" s="2305"/>
      <c r="P28" s="42" t="s">
        <v>4</v>
      </c>
      <c r="Q28" s="148">
        <v>1200</v>
      </c>
    </row>
    <row r="29" spans="2:23" x14ac:dyDescent="0.2">
      <c r="B29" s="10"/>
      <c r="C29" s="11"/>
      <c r="D29" s="12"/>
      <c r="E29" s="1517"/>
      <c r="F29" s="157"/>
      <c r="G29" s="81"/>
      <c r="H29" s="2299"/>
      <c r="I29" s="2300"/>
      <c r="J29" s="2299"/>
      <c r="K29" s="2300"/>
      <c r="L29" s="2238"/>
      <c r="M29" s="2298"/>
      <c r="N29" s="2239"/>
      <c r="P29" s="42" t="s">
        <v>4</v>
      </c>
      <c r="Q29" s="148">
        <v>1200</v>
      </c>
    </row>
    <row r="30" spans="2:23" x14ac:dyDescent="0.2">
      <c r="B30" s="10"/>
      <c r="C30" s="11"/>
      <c r="D30" s="12"/>
      <c r="E30" s="1518" t="s">
        <v>3</v>
      </c>
      <c r="F30" s="34"/>
      <c r="G30" s="81"/>
      <c r="H30" s="38"/>
      <c r="I30" s="39"/>
      <c r="J30" s="38"/>
      <c r="K30" s="39"/>
      <c r="L30" s="21"/>
      <c r="M30" s="21"/>
      <c r="N30" s="17"/>
      <c r="P30" s="61" t="s">
        <v>5</v>
      </c>
      <c r="Q30" s="150">
        <v>1500</v>
      </c>
    </row>
    <row r="31" spans="2:23" ht="17" thickBot="1" x14ac:dyDescent="0.25">
      <c r="B31" s="13"/>
      <c r="C31" s="14"/>
      <c r="D31" s="15"/>
      <c r="E31" s="1519"/>
      <c r="F31" s="79"/>
      <c r="G31" s="82"/>
      <c r="H31" s="40"/>
      <c r="I31" s="41"/>
      <c r="J31" s="40"/>
      <c r="K31" s="41"/>
      <c r="L31" s="45"/>
      <c r="M31" s="45"/>
      <c r="N31" s="18"/>
      <c r="P31" s="60" t="s">
        <v>6</v>
      </c>
      <c r="Q31" s="32">
        <f>SUM(Q25:Q30)</f>
        <v>8400</v>
      </c>
      <c r="R31" t="s">
        <v>33</v>
      </c>
    </row>
    <row r="40" spans="3:3" x14ac:dyDescent="0.2">
      <c r="C40" s="1"/>
    </row>
    <row r="41" spans="3:3" x14ac:dyDescent="0.2">
      <c r="C41" s="1"/>
    </row>
    <row r="42" spans="3:3" x14ac:dyDescent="0.2">
      <c r="C42" s="1"/>
    </row>
    <row r="43" spans="3:3" x14ac:dyDescent="0.2">
      <c r="C43" s="1"/>
    </row>
    <row r="44" spans="3:3" x14ac:dyDescent="0.2">
      <c r="C44" s="2"/>
    </row>
  </sheetData>
  <mergeCells count="22">
    <mergeCell ref="B17:D17"/>
    <mergeCell ref="H17:I17"/>
    <mergeCell ref="H18:I18"/>
    <mergeCell ref="B27:D27"/>
    <mergeCell ref="H27:I27"/>
    <mergeCell ref="B18:D18"/>
    <mergeCell ref="B8:W8"/>
    <mergeCell ref="L29:N29"/>
    <mergeCell ref="H19:I19"/>
    <mergeCell ref="H29:I29"/>
    <mergeCell ref="J29:K29"/>
    <mergeCell ref="J17:L17"/>
    <mergeCell ref="J27:K27"/>
    <mergeCell ref="H28:I28"/>
    <mergeCell ref="J28:K28"/>
    <mergeCell ref="L28:N28"/>
    <mergeCell ref="B28:D28"/>
    <mergeCell ref="E18:G18"/>
    <mergeCell ref="J18:L18"/>
    <mergeCell ref="J19:L19"/>
    <mergeCell ref="L27:N27"/>
    <mergeCell ref="E17:G17"/>
  </mergeCells>
  <pageMargins left="0.25" right="0.25" top="0.75" bottom="0.75" header="0.3" footer="0.3"/>
  <pageSetup scale="55"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7634-CFA3-7D4B-9BD7-241B4C3A7DAF}">
  <sheetPr>
    <pageSetUpPr fitToPage="1"/>
  </sheetPr>
  <dimension ref="B2:W25"/>
  <sheetViews>
    <sheetView zoomScaleNormal="100" zoomScaleSheetLayoutView="80" workbookViewId="0">
      <selection activeCell="B2" sqref="B2:W15"/>
    </sheetView>
  </sheetViews>
  <sheetFormatPr baseColWidth="10" defaultColWidth="10.6640625" defaultRowHeight="16" x14ac:dyDescent="0.2"/>
  <cols>
    <col min="1" max="1" width="4.83203125" customWidth="1"/>
    <col min="5" max="5" width="9.5" customWidth="1"/>
    <col min="11" max="11" width="10" customWidth="1"/>
    <col min="12" max="12" width="6.6640625" customWidth="1"/>
    <col min="13" max="14" width="10.33203125" customWidth="1"/>
  </cols>
  <sheetData>
    <row r="2" spans="2:23" x14ac:dyDescent="0.2">
      <c r="B2" s="1476" t="s">
        <v>264</v>
      </c>
    </row>
    <row r="3" spans="2:23" x14ac:dyDescent="0.2">
      <c r="B3" t="s">
        <v>23</v>
      </c>
    </row>
    <row r="4" spans="2:23" x14ac:dyDescent="0.2">
      <c r="B4" t="s">
        <v>24</v>
      </c>
    </row>
    <row r="5" spans="2:23" x14ac:dyDescent="0.2">
      <c r="B5" s="274" t="s">
        <v>367</v>
      </c>
    </row>
    <row r="6" spans="2:23" x14ac:dyDescent="0.2">
      <c r="B6" s="275" t="s">
        <v>366</v>
      </c>
    </row>
    <row r="7" spans="2:23" x14ac:dyDescent="0.2">
      <c r="B7" s="275"/>
    </row>
    <row r="8" spans="2:23" x14ac:dyDescent="0.2">
      <c r="B8" s="2240" t="s">
        <v>266</v>
      </c>
      <c r="C8" s="2240"/>
      <c r="D8" s="2240"/>
      <c r="E8" s="2240"/>
      <c r="F8" s="2240"/>
      <c r="G8" s="2240"/>
      <c r="H8" s="2240"/>
      <c r="I8" s="2240"/>
      <c r="J8" s="2240"/>
      <c r="K8" s="2240"/>
      <c r="L8" s="2240"/>
      <c r="M8" s="2240"/>
      <c r="N8" s="2240"/>
      <c r="O8" s="2240"/>
      <c r="P8" s="2240"/>
      <c r="Q8" s="2240"/>
      <c r="R8" s="2240"/>
      <c r="S8" s="2240"/>
      <c r="T8" s="2240"/>
      <c r="U8" s="2240"/>
      <c r="V8" s="2240"/>
      <c r="W8" s="2240"/>
    </row>
    <row r="9" spans="2:23" x14ac:dyDescent="0.2">
      <c r="B9" s="275"/>
    </row>
    <row r="10" spans="2:23" x14ac:dyDescent="0.2">
      <c r="B10" s="275" t="s">
        <v>254</v>
      </c>
    </row>
    <row r="12" spans="2:23" x14ac:dyDescent="0.2">
      <c r="B12" s="6" t="s">
        <v>265</v>
      </c>
      <c r="C12" s="5"/>
      <c r="D12" s="5"/>
      <c r="E12" s="5"/>
      <c r="F12" s="5"/>
      <c r="G12" s="5"/>
      <c r="H12" s="5"/>
      <c r="I12" s="5"/>
      <c r="J12" s="5"/>
      <c r="K12" s="5"/>
      <c r="L12" s="5"/>
      <c r="M12" s="5"/>
      <c r="N12" s="5"/>
      <c r="O12" s="5"/>
      <c r="P12" s="5"/>
      <c r="Q12" s="5"/>
      <c r="R12" s="5"/>
      <c r="S12" s="5"/>
      <c r="T12" s="5"/>
      <c r="U12" s="5"/>
      <c r="V12" s="5"/>
      <c r="W12" s="5"/>
    </row>
    <row r="21" spans="3:3" x14ac:dyDescent="0.2">
      <c r="C21" s="1"/>
    </row>
    <row r="22" spans="3:3" x14ac:dyDescent="0.2">
      <c r="C22" s="1"/>
    </row>
    <row r="23" spans="3:3" x14ac:dyDescent="0.2">
      <c r="C23" s="1"/>
    </row>
    <row r="24" spans="3:3" x14ac:dyDescent="0.2">
      <c r="C24" s="1"/>
    </row>
    <row r="25" spans="3:3" x14ac:dyDescent="0.2">
      <c r="C25" s="2"/>
    </row>
  </sheetData>
  <mergeCells count="1">
    <mergeCell ref="B8:W8"/>
  </mergeCells>
  <pageMargins left="0.25" right="0.25" top="0.75" bottom="0.75" header="0.3" footer="0.3"/>
  <pageSetup scale="76"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5471-57E4-5744-9B59-439CCBB43961}">
  <sheetPr>
    <pageSetUpPr fitToPage="1"/>
  </sheetPr>
  <dimension ref="B2:P41"/>
  <sheetViews>
    <sheetView zoomScaleNormal="100" zoomScaleSheetLayoutView="71" workbookViewId="0">
      <selection activeCell="B2" sqref="B2:P33"/>
    </sheetView>
  </sheetViews>
  <sheetFormatPr baseColWidth="10" defaultColWidth="10.6640625" defaultRowHeight="16" x14ac:dyDescent="0.2"/>
  <cols>
    <col min="1" max="1" width="2.83203125" customWidth="1"/>
    <col min="2" max="2" width="18" customWidth="1"/>
    <col min="3" max="3" width="34.1640625" customWidth="1"/>
    <col min="4" max="4" width="10.83203125" style="269" customWidth="1"/>
    <col min="5" max="5" width="12.1640625" style="266" customWidth="1"/>
    <col min="6" max="6" width="8.1640625" customWidth="1"/>
    <col min="7" max="7" width="3.33203125" customWidth="1"/>
  </cols>
  <sheetData>
    <row r="2" spans="2:16" x14ac:dyDescent="0.2">
      <c r="B2" s="264" t="s">
        <v>258</v>
      </c>
    </row>
    <row r="3" spans="2:16" x14ac:dyDescent="0.2">
      <c r="B3" t="s">
        <v>23</v>
      </c>
    </row>
    <row r="4" spans="2:16" x14ac:dyDescent="0.2">
      <c r="B4" t="s">
        <v>24</v>
      </c>
    </row>
    <row r="5" spans="2:16" x14ac:dyDescent="0.2">
      <c r="B5" s="274" t="s">
        <v>368</v>
      </c>
    </row>
    <row r="6" spans="2:16" x14ac:dyDescent="0.2">
      <c r="B6" s="275" t="s">
        <v>366</v>
      </c>
    </row>
    <row r="7" spans="2:16" x14ac:dyDescent="0.2">
      <c r="B7" s="275"/>
      <c r="E7" s="331"/>
    </row>
    <row r="8" spans="2:16" x14ac:dyDescent="0.2">
      <c r="B8" s="275" t="s">
        <v>254</v>
      </c>
      <c r="E8" s="331"/>
    </row>
    <row r="10" spans="2:16" x14ac:dyDescent="0.2">
      <c r="B10" s="6" t="s">
        <v>36</v>
      </c>
      <c r="C10" s="4"/>
      <c r="D10" s="270"/>
      <c r="E10" s="267"/>
      <c r="F10" s="4"/>
      <c r="G10" s="4"/>
      <c r="H10" s="4"/>
      <c r="I10" s="4"/>
      <c r="J10" s="4"/>
      <c r="K10" s="4"/>
      <c r="L10" s="4"/>
      <c r="M10" s="4"/>
      <c r="N10" s="4"/>
      <c r="O10" s="4"/>
      <c r="P10" s="4"/>
    </row>
    <row r="11" spans="2:16" x14ac:dyDescent="0.2">
      <c r="B11" s="263"/>
    </row>
    <row r="12" spans="2:16" ht="16" customHeight="1" thickBot="1" x14ac:dyDescent="0.25">
      <c r="B12" s="1534" t="s">
        <v>87</v>
      </c>
      <c r="C12" s="1534" t="s">
        <v>84</v>
      </c>
      <c r="D12" s="1534" t="s">
        <v>83</v>
      </c>
      <c r="E12" s="1534" t="s">
        <v>88</v>
      </c>
      <c r="I12" s="340" t="s">
        <v>123</v>
      </c>
    </row>
    <row r="13" spans="2:16" ht="25" customHeight="1" thickBot="1" x14ac:dyDescent="0.25">
      <c r="B13" s="265" t="s">
        <v>82</v>
      </c>
      <c r="C13" s="302" t="s">
        <v>115</v>
      </c>
      <c r="D13" s="271"/>
      <c r="E13" s="268"/>
      <c r="I13" s="343" t="s">
        <v>267</v>
      </c>
    </row>
    <row r="14" spans="2:16" ht="25" customHeight="1" x14ac:dyDescent="0.2">
      <c r="B14" s="2319" t="s">
        <v>89</v>
      </c>
      <c r="C14" s="2315" t="s">
        <v>81</v>
      </c>
      <c r="D14" s="2312" t="s">
        <v>100</v>
      </c>
      <c r="E14" s="2312" t="s">
        <v>100</v>
      </c>
      <c r="I14" t="s">
        <v>268</v>
      </c>
    </row>
    <row r="15" spans="2:16" ht="25" customHeight="1" x14ac:dyDescent="0.2">
      <c r="B15" s="2319"/>
      <c r="C15" s="2315"/>
      <c r="D15" s="2314"/>
      <c r="E15" s="2314"/>
      <c r="I15" s="303"/>
    </row>
    <row r="16" spans="2:16" ht="25" customHeight="1" x14ac:dyDescent="0.2">
      <c r="B16" s="2319"/>
      <c r="C16" s="2315"/>
      <c r="D16" s="2314"/>
      <c r="E16" s="2314"/>
      <c r="I16" s="343" t="s">
        <v>269</v>
      </c>
    </row>
    <row r="17" spans="2:9" ht="25" customHeight="1" x14ac:dyDescent="0.2">
      <c r="B17" s="2319"/>
      <c r="C17" s="2315"/>
      <c r="D17" s="2314"/>
      <c r="E17" s="2314"/>
      <c r="I17" s="303" t="s">
        <v>226</v>
      </c>
    </row>
    <row r="18" spans="2:9" ht="25" customHeight="1" thickBot="1" x14ac:dyDescent="0.25">
      <c r="B18" s="2320"/>
      <c r="C18" s="2316"/>
      <c r="D18" s="2313"/>
      <c r="E18" s="2313"/>
    </row>
    <row r="19" spans="2:9" ht="25" customHeight="1" x14ac:dyDescent="0.2">
      <c r="B19" s="2319" t="s">
        <v>80</v>
      </c>
      <c r="C19" s="2323" t="s">
        <v>90</v>
      </c>
      <c r="D19" s="2312" t="s">
        <v>77</v>
      </c>
      <c r="E19" s="2312" t="s">
        <v>101</v>
      </c>
    </row>
    <row r="20" spans="2:9" ht="25" customHeight="1" thickBot="1" x14ac:dyDescent="0.25">
      <c r="B20" s="2319"/>
      <c r="C20" s="2323"/>
      <c r="D20" s="2313"/>
      <c r="E20" s="2313"/>
    </row>
    <row r="21" spans="2:9" ht="25" customHeight="1" x14ac:dyDescent="0.2">
      <c r="B21" s="2321" t="s">
        <v>79</v>
      </c>
      <c r="C21" s="2324" t="s">
        <v>78</v>
      </c>
      <c r="D21" s="2312" t="s">
        <v>77</v>
      </c>
      <c r="E21" s="2312" t="s">
        <v>101</v>
      </c>
    </row>
    <row r="22" spans="2:9" ht="25" customHeight="1" x14ac:dyDescent="0.2">
      <c r="B22" s="2319"/>
      <c r="C22" s="2325"/>
      <c r="D22" s="2314"/>
      <c r="E22" s="2314"/>
    </row>
    <row r="23" spans="2:9" ht="25" customHeight="1" thickBot="1" x14ac:dyDescent="0.25">
      <c r="B23" s="2320"/>
      <c r="C23" s="2325"/>
      <c r="D23" s="2313"/>
      <c r="E23" s="2313"/>
    </row>
    <row r="24" spans="2:9" ht="25" customHeight="1" x14ac:dyDescent="0.2">
      <c r="B24" s="2321" t="s">
        <v>80</v>
      </c>
      <c r="C24" s="2317" t="s">
        <v>90</v>
      </c>
      <c r="D24" s="2312" t="s">
        <v>77</v>
      </c>
      <c r="E24" s="2312" t="s">
        <v>101</v>
      </c>
    </row>
    <row r="25" spans="2:9" ht="25" customHeight="1" thickBot="1" x14ac:dyDescent="0.25">
      <c r="B25" s="2320"/>
      <c r="C25" s="2318"/>
      <c r="D25" s="2313"/>
      <c r="E25" s="2313"/>
    </row>
    <row r="26" spans="2:9" ht="25" customHeight="1" x14ac:dyDescent="0.2">
      <c r="B26" s="2321" t="s">
        <v>85</v>
      </c>
      <c r="C26" s="2322" t="s">
        <v>81</v>
      </c>
      <c r="D26" s="2312" t="s">
        <v>100</v>
      </c>
      <c r="E26" s="2312" t="s">
        <v>100</v>
      </c>
    </row>
    <row r="27" spans="2:9" ht="25" customHeight="1" x14ac:dyDescent="0.2">
      <c r="B27" s="2319"/>
      <c r="C27" s="2315"/>
      <c r="D27" s="2314"/>
      <c r="E27" s="2314"/>
    </row>
    <row r="28" spans="2:9" ht="25" customHeight="1" x14ac:dyDescent="0.2">
      <c r="B28" s="2319"/>
      <c r="C28" s="2315"/>
      <c r="D28" s="2314"/>
      <c r="E28" s="2314"/>
    </row>
    <row r="29" spans="2:9" ht="25" customHeight="1" x14ac:dyDescent="0.2">
      <c r="B29" s="2319"/>
      <c r="C29" s="2315"/>
      <c r="D29" s="2314"/>
      <c r="E29" s="2314"/>
    </row>
    <row r="30" spans="2:9" ht="25" customHeight="1" thickBot="1" x14ac:dyDescent="0.25">
      <c r="B30" s="2320"/>
      <c r="C30" s="2316"/>
      <c r="D30" s="2313"/>
      <c r="E30" s="2313"/>
    </row>
    <row r="31" spans="2:9" ht="25" customHeight="1" x14ac:dyDescent="0.2">
      <c r="B31" s="1530" t="s">
        <v>82</v>
      </c>
      <c r="C31" s="1531" t="s">
        <v>115</v>
      </c>
      <c r="D31" s="1532"/>
      <c r="E31" s="1533"/>
    </row>
    <row r="32" spans="2:9" ht="25" customHeight="1" thickBot="1" x14ac:dyDescent="0.25">
      <c r="B32" s="1526" t="s">
        <v>6</v>
      </c>
      <c r="C32" s="1526"/>
      <c r="D32" s="1527" t="s">
        <v>77</v>
      </c>
      <c r="E32" s="272">
        <f>21</f>
        <v>21</v>
      </c>
      <c r="F32" s="1528" t="s">
        <v>102</v>
      </c>
    </row>
    <row r="33" spans="2:13" ht="25" customHeight="1" x14ac:dyDescent="0.2">
      <c r="B33" s="1529"/>
      <c r="C33" s="1529"/>
      <c r="D33" s="1525"/>
      <c r="E33" s="273">
        <f>E32*3.28084</f>
        <v>68.897639999999996</v>
      </c>
      <c r="F33" s="1528" t="s">
        <v>86</v>
      </c>
    </row>
    <row r="36" spans="2:13" x14ac:dyDescent="0.2">
      <c r="C36" s="303"/>
      <c r="D36" s="341"/>
      <c r="E36" s="342"/>
      <c r="F36" s="303"/>
      <c r="G36" s="303"/>
      <c r="H36" s="303"/>
      <c r="I36" s="303"/>
      <c r="J36" s="303"/>
      <c r="K36" s="303"/>
      <c r="L36" s="303"/>
      <c r="M36" s="303"/>
    </row>
    <row r="37" spans="2:13" x14ac:dyDescent="0.2">
      <c r="C37" s="303"/>
      <c r="D37" s="341"/>
      <c r="E37" s="342"/>
      <c r="F37" s="303"/>
      <c r="G37" s="303"/>
      <c r="H37" s="303"/>
      <c r="I37" s="303"/>
      <c r="J37" s="303"/>
      <c r="K37" s="303"/>
      <c r="L37" s="303"/>
      <c r="M37" s="303"/>
    </row>
    <row r="38" spans="2:13" x14ac:dyDescent="0.2">
      <c r="C38" s="303"/>
      <c r="D38" s="341"/>
      <c r="E38" s="342"/>
      <c r="F38" s="303"/>
      <c r="G38" s="303"/>
      <c r="H38" s="303"/>
      <c r="I38" s="303"/>
      <c r="J38" s="303"/>
      <c r="K38" s="303"/>
      <c r="L38" s="303"/>
      <c r="M38" s="303"/>
    </row>
    <row r="39" spans="2:13" x14ac:dyDescent="0.2">
      <c r="C39" s="303"/>
      <c r="D39" s="341"/>
      <c r="E39" s="342"/>
      <c r="F39" s="303"/>
      <c r="G39" s="303"/>
      <c r="H39" s="303"/>
      <c r="I39" s="303"/>
      <c r="J39" s="303"/>
      <c r="K39" s="303"/>
      <c r="L39" s="303"/>
      <c r="M39" s="303"/>
    </row>
    <row r="40" spans="2:13" x14ac:dyDescent="0.2">
      <c r="C40" s="303"/>
      <c r="D40" s="341"/>
      <c r="E40" s="342"/>
      <c r="F40" s="303"/>
      <c r="G40" s="303"/>
      <c r="H40" s="303"/>
      <c r="I40" s="303"/>
      <c r="J40" s="303"/>
      <c r="K40" s="303"/>
      <c r="L40" s="303"/>
      <c r="M40" s="303"/>
    </row>
    <row r="41" spans="2:13" x14ac:dyDescent="0.2">
      <c r="C41" s="303"/>
      <c r="D41" s="341"/>
      <c r="E41" s="342"/>
      <c r="F41" s="303"/>
      <c r="G41" s="303"/>
      <c r="H41" s="303"/>
      <c r="I41" s="303"/>
      <c r="J41" s="303"/>
      <c r="K41" s="303"/>
      <c r="L41" s="303"/>
      <c r="M41" s="303"/>
    </row>
  </sheetData>
  <mergeCells count="20">
    <mergeCell ref="C26:C30"/>
    <mergeCell ref="B26:B30"/>
    <mergeCell ref="B24:B25"/>
    <mergeCell ref="C19:C20"/>
    <mergeCell ref="C21:C23"/>
    <mergeCell ref="C14:C18"/>
    <mergeCell ref="C24:C25"/>
    <mergeCell ref="B14:B18"/>
    <mergeCell ref="B19:B20"/>
    <mergeCell ref="B21:B23"/>
    <mergeCell ref="D24:D25"/>
    <mergeCell ref="E24:E25"/>
    <mergeCell ref="D26:D30"/>
    <mergeCell ref="E26:E30"/>
    <mergeCell ref="D14:D18"/>
    <mergeCell ref="E14:E18"/>
    <mergeCell ref="D19:D20"/>
    <mergeCell ref="E19:E20"/>
    <mergeCell ref="E21:E23"/>
    <mergeCell ref="D21:D23"/>
  </mergeCells>
  <pageMargins left="0.7" right="0.7" top="0.75" bottom="0.75" header="0.3" footer="0.3"/>
  <pageSetup scale="63"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Building a Key Plan</vt:lpstr>
      <vt:lpstr>Alternative Tile_Pg1</vt:lpstr>
      <vt:lpstr>Alternative Tile_Pg2</vt:lpstr>
      <vt:lpstr>Alternative Tile_Pg1 (2)</vt:lpstr>
      <vt:lpstr>Alternative Tile_Pg2 (2)</vt:lpstr>
      <vt:lpstr>Building a Floor Plate_Pg1</vt:lpstr>
      <vt:lpstr>Building a Floor Plate_Pg2</vt:lpstr>
      <vt:lpstr>Building a Floor Plate Pg3_V3</vt:lpstr>
      <vt:lpstr>Building a Floor Plate Pg3</vt:lpstr>
      <vt:lpstr>Retail Select - Floor Plates</vt:lpstr>
      <vt:lpstr>Tech Industrial - Floor Plates</vt:lpstr>
      <vt:lpstr>Professional and Suburban</vt:lpstr>
      <vt:lpstr>Retail Select - Key Plans</vt:lpstr>
      <vt:lpstr>Tech Industrial - Key Plans</vt:lpstr>
      <vt:lpstr>Landscaping - Key Plans</vt:lpstr>
      <vt:lpstr>Building Width Calculator</vt:lpstr>
      <vt:lpstr>'Alternative Tile_Pg1'!Print_Area</vt:lpstr>
      <vt:lpstr>'Alternative Tile_Pg1 (2)'!Print_Area</vt:lpstr>
      <vt:lpstr>'Alternative Tile_Pg2'!Print_Area</vt:lpstr>
      <vt:lpstr>'Alternative Tile_Pg2 (2)'!Print_Area</vt:lpstr>
      <vt:lpstr>'Building a Floor Plate Pg3'!Print_Area</vt:lpstr>
      <vt:lpstr>'Building a Floor Plate Pg3_V3'!Print_Area</vt:lpstr>
      <vt:lpstr>'Building a Floor Plate_Pg1'!Print_Area</vt:lpstr>
      <vt:lpstr>'Building a Floor Plate_Pg2'!Print_Area</vt:lpstr>
      <vt:lpstr>'Building a Key Plan'!Print_Area</vt:lpstr>
      <vt:lpstr>'Building Width Calculator'!Print_Area</vt:lpstr>
      <vt:lpstr>'Landscaping - Key Plans'!Print_Area</vt:lpstr>
      <vt:lpstr>'Professional and Suburban'!Print_Area</vt:lpstr>
      <vt:lpstr>'Retail Select - Floor Plates'!Print_Area</vt:lpstr>
      <vt:lpstr>'Retail Select - Key Plans'!Print_Area</vt:lpstr>
      <vt:lpstr>'Tech Industrial - Floor Plates'!Print_Area</vt:lpstr>
      <vt:lpstr>'Tech Industrial - Key Plans'!Print_Area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2025-11-27T02:05:48Z</cp:lastPrinted>
  <dcterms:created xsi:type="dcterms:W3CDTF">2022-04-19T17:26:40Z</dcterms:created>
  <dcterms:modified xsi:type="dcterms:W3CDTF">2025-11-27T02:06:14Z</dcterms:modified>
</cp:coreProperties>
</file>