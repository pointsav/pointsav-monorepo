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ffice/Foundry/vm/proforma/inputs/"/>
    </mc:Choice>
  </mc:AlternateContent>
  <xr:revisionPtr revIDLastSave="0" documentId="13_ncr:1_{F7935FD1-01C0-C846-A25E-98340EC3E4D5}" xr6:coauthVersionLast="45" xr6:coauthVersionMax="45" xr10:uidLastSave="{00000000-0000-0000-0000-000000000000}"/>
  <bookViews>
    <workbookView xWindow="39560" yWindow="1440" windowWidth="31140" windowHeight="20640" xr2:uid="{90330319-8727-1A42-B406-02E1295FD84A}"/>
  </bookViews>
  <sheets>
    <sheet name="Alternative Real Estate" sheetId="2" r:id="rId1"/>
  </sheets>
  <definedNames>
    <definedName name="_xlnm.Print_Area" localSheetId="0">'Alternative Real Estate'!$B$1:$O$92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D12" i="2"/>
  <c r="D20" i="2"/>
  <c r="D22" i="2"/>
  <c r="D11" i="2" s="1"/>
  <c r="D27" i="2"/>
  <c r="D28" i="2"/>
  <c r="D13" i="2" s="1"/>
  <c r="D34" i="2"/>
  <c r="D35" i="2" s="1"/>
  <c r="D41" i="2"/>
  <c r="D42" i="2" s="1"/>
  <c r="D38" i="2" s="1"/>
  <c r="D44" i="2" l="1"/>
  <c r="F11" i="2"/>
  <c r="G11" i="2" s="1"/>
  <c r="D46" i="2"/>
  <c r="E12" i="2"/>
  <c r="D45" i="2"/>
  <c r="D39" i="2"/>
  <c r="K51" i="2" l="1"/>
  <c r="F12" i="2"/>
  <c r="G12" i="2" s="1"/>
  <c r="H51" i="2"/>
  <c r="J51" i="2"/>
  <c r="L51" i="2"/>
  <c r="M51" i="2"/>
  <c r="N51" i="2"/>
  <c r="E13" i="2"/>
  <c r="F13" i="2" s="1"/>
  <c r="G13" i="2" s="1"/>
  <c r="I51" i="2"/>
</calcChain>
</file>

<file path=xl/sharedStrings.xml><?xml version="1.0" encoding="utf-8"?>
<sst xmlns="http://schemas.openxmlformats.org/spreadsheetml/2006/main" count="59" uniqueCount="46">
  <si>
    <t>From Financial Forecast: Total Squaure Foot</t>
  </si>
  <si>
    <t>TOTAL SQUARE FEET</t>
  </si>
  <si>
    <t>Square Footage (Traditional / JV)</t>
  </si>
  <si>
    <t>From Financial Forecast: Debt to Asset Value</t>
  </si>
  <si>
    <t>DEBT TO EQUITY</t>
  </si>
  <si>
    <t>Debt to Equity (Woodfine LP)</t>
  </si>
  <si>
    <t>From cell above Line 11-15</t>
  </si>
  <si>
    <t>Debt to Contributions (Traditional / JV)</t>
  </si>
  <si>
    <t>NOTES</t>
  </si>
  <si>
    <t>Y10</t>
  </si>
  <si>
    <t>Y9</t>
  </si>
  <si>
    <t>Y8</t>
  </si>
  <si>
    <t>Y7</t>
  </si>
  <si>
    <t>Y6</t>
  </si>
  <si>
    <t>Y5</t>
  </si>
  <si>
    <t>Y4</t>
  </si>
  <si>
    <t>Y3</t>
  </si>
  <si>
    <t>Y2</t>
  </si>
  <si>
    <t>Y1</t>
  </si>
  <si>
    <t>Square feet per $1 shareholder contributions</t>
  </si>
  <si>
    <t>Capital per square feet</t>
  </si>
  <si>
    <t>Square feet</t>
  </si>
  <si>
    <t>6.25% Cap rate</t>
  </si>
  <si>
    <t>10.5% Development yield</t>
  </si>
  <si>
    <t>Debt to equity</t>
  </si>
  <si>
    <t>Debt to asset value</t>
  </si>
  <si>
    <t>Debt to shareholder contributions</t>
  </si>
  <si>
    <t>Capital</t>
  </si>
  <si>
    <t>Borrowing</t>
  </si>
  <si>
    <t>Shareholder contributions</t>
  </si>
  <si>
    <t>Cap rate</t>
  </si>
  <si>
    <t>JOINT VENTURE</t>
  </si>
  <si>
    <t>Square feet per $1 partner contributions</t>
  </si>
  <si>
    <t>Debt to partner contributions</t>
  </si>
  <si>
    <t xml:space="preserve">Capital </t>
  </si>
  <si>
    <t>Partner contributions</t>
  </si>
  <si>
    <t>WOODFINE LP</t>
  </si>
  <si>
    <t>Square feet per $1 partner/shareholder contributions</t>
  </si>
  <si>
    <t>Debt to partner/shareholder contributions</t>
  </si>
  <si>
    <t>Variance</t>
  </si>
  <si>
    <t>Summary</t>
  </si>
  <si>
    <t>V3</t>
  </si>
  <si>
    <t>Woodfine Management Corp.</t>
  </si>
  <si>
    <t>Traditional J/V Financing vs. the Woodfine LPs</t>
  </si>
  <si>
    <t>Tear Sheet — Alternative Real Estate</t>
  </si>
  <si>
    <t>January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</si>
</sst>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_);_(* \(#,##0.00\);_(* \-??_);_(@_)"/>
    <numFmt numFmtId="165" formatCode="_(\$* #,##0.00_);_(\$* \(#,##0.00\);_(\$* \-??_);_(@_)"/>
    <numFmt numFmtId="166" formatCode="_(* #,##0_);_(* \(#,##0\);_(* \-??_);_(@_)"/>
    <numFmt numFmtId="167" formatCode="_-[$$-1009]* #,##0.00_-;\-[$$-1009]* #,##0.00_-;_-[$$-1009]* \-??_-;_-@_-"/>
    <numFmt numFmtId="168" formatCode="\ #,##0\ ;&quot; (&quot;#,##0\);&quot; -&quot;00\ ;\ @\ "/>
    <numFmt numFmtId="169" formatCode="\ #,##0.00\ ;&quot; (&quot;#,##0.00\);&quot; -&quot;00\ ;\ @\ 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79979857783745845"/>
        <bgColor rgb="FFDAE3F3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9" tint="0.59978026673177287"/>
        <bgColor rgb="FFD9D9D9"/>
      </patternFill>
    </fill>
    <fill>
      <patternFill patternType="solid">
        <fgColor theme="4" tint="0.59978026673177287"/>
        <bgColor rgb="FFD9D9D9"/>
      </patternFill>
    </fill>
    <fill>
      <patternFill patternType="solid">
        <fgColor theme="7" tint="0.79979857783745845"/>
        <bgColor rgb="FFE2F0D9"/>
      </patternFill>
    </fill>
    <fill>
      <patternFill patternType="solid">
        <fgColor theme="7" tint="0.79998168889431442"/>
        <bgColor rgb="FF5B9BD5"/>
      </patternFill>
    </fill>
    <fill>
      <patternFill patternType="solid">
        <fgColor theme="7" tint="0.39979247413556324"/>
        <bgColor rgb="FFFFFF99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6">
    <xf numFmtId="0" fontId="0" fillId="0" borderId="0"/>
    <xf numFmtId="0" fontId="1" fillId="0" borderId="0"/>
    <xf numFmtId="164" fontId="1" fillId="0" borderId="0" applyBorder="0" applyProtection="0"/>
    <xf numFmtId="165" fontId="1" fillId="0" borderId="0" applyBorder="0" applyProtection="0"/>
    <xf numFmtId="9" fontId="1" fillId="0" borderId="0" applyBorder="0" applyProtection="0"/>
    <xf numFmtId="9" fontId="1" fillId="0" borderId="0" applyBorder="0" applyProtection="0"/>
  </cellStyleXfs>
  <cellXfs count="61">
    <xf numFmtId="0" fontId="0" fillId="0" borderId="0" xfId="0"/>
    <xf numFmtId="0" fontId="0" fillId="0" borderId="0" xfId="1" applyFont="1"/>
    <xf numFmtId="0" fontId="0" fillId="0" borderId="0" xfId="1" applyFont="1" applyAlignment="1">
      <alignment horizontal="left"/>
    </xf>
    <xf numFmtId="3" fontId="0" fillId="0" borderId="0" xfId="1" applyNumberFormat="1" applyFont="1"/>
    <xf numFmtId="164" fontId="0" fillId="0" borderId="0" xfId="2" applyFont="1" applyBorder="1" applyProtection="1"/>
    <xf numFmtId="0" fontId="0" fillId="2" borderId="0" xfId="1" applyFont="1" applyFill="1"/>
    <xf numFmtId="3" fontId="0" fillId="3" borderId="0" xfId="1" applyNumberFormat="1" applyFont="1" applyFill="1"/>
    <xf numFmtId="164" fontId="0" fillId="3" borderId="0" xfId="2" applyFont="1" applyFill="1" applyBorder="1" applyProtection="1"/>
    <xf numFmtId="0" fontId="0" fillId="3" borderId="0" xfId="1" applyFont="1" applyFill="1"/>
    <xf numFmtId="0" fontId="2" fillId="3" borderId="0" xfId="1" applyFont="1" applyFill="1"/>
    <xf numFmtId="2" fontId="0" fillId="3" borderId="0" xfId="1" applyNumberFormat="1" applyFont="1" applyFill="1"/>
    <xf numFmtId="3" fontId="0" fillId="4" borderId="0" xfId="1" applyNumberFormat="1" applyFont="1" applyFill="1"/>
    <xf numFmtId="164" fontId="0" fillId="4" borderId="0" xfId="2" applyFont="1" applyFill="1" applyBorder="1" applyProtection="1"/>
    <xf numFmtId="0" fontId="0" fillId="4" borderId="0" xfId="1" applyFont="1" applyFill="1"/>
    <xf numFmtId="0" fontId="2" fillId="4" borderId="0" xfId="1" applyFont="1" applyFill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0" fillId="5" borderId="0" xfId="1" applyFont="1" applyFill="1"/>
    <xf numFmtId="164" fontId="0" fillId="5" borderId="0" xfId="2" applyFont="1" applyFill="1" applyBorder="1" applyProtection="1"/>
    <xf numFmtId="0" fontId="0" fillId="0" borderId="0" xfId="1" applyFont="1" applyAlignment="1">
      <alignment horizontal="right"/>
    </xf>
    <xf numFmtId="165" fontId="0" fillId="0" borderId="0" xfId="3" applyFont="1" applyBorder="1" applyProtection="1"/>
    <xf numFmtId="166" fontId="0" fillId="0" borderId="0" xfId="2" applyNumberFormat="1" applyFont="1" applyBorder="1" applyProtection="1"/>
    <xf numFmtId="164" fontId="1" fillId="0" borderId="0" xfId="2" applyBorder="1" applyProtection="1"/>
    <xf numFmtId="166" fontId="0" fillId="0" borderId="0" xfId="1" applyNumberFormat="1" applyFont="1"/>
    <xf numFmtId="0" fontId="1" fillId="0" borderId="0" xfId="1" applyAlignment="1">
      <alignment horizontal="left" vertical="center" wrapText="1"/>
    </xf>
    <xf numFmtId="10" fontId="0" fillId="0" borderId="0" xfId="4" applyNumberFormat="1" applyFont="1" applyBorder="1" applyProtection="1"/>
    <xf numFmtId="2" fontId="0" fillId="0" borderId="0" xfId="3" applyNumberFormat="1" applyFont="1" applyBorder="1" applyProtection="1"/>
    <xf numFmtId="164" fontId="0" fillId="2" borderId="0" xfId="4" applyNumberFormat="1" applyFont="1" applyFill="1" applyBorder="1" applyProtection="1"/>
    <xf numFmtId="0" fontId="1" fillId="2" borderId="0" xfId="1" applyFill="1" applyAlignment="1">
      <alignment horizontal="left" vertical="center" wrapText="1"/>
    </xf>
    <xf numFmtId="166" fontId="0" fillId="0" borderId="0" xfId="1" applyNumberFormat="1" applyFont="1" applyAlignment="1">
      <alignment horizontal="left"/>
    </xf>
    <xf numFmtId="10" fontId="0" fillId="0" borderId="0" xfId="1" applyNumberFormat="1" applyFont="1"/>
    <xf numFmtId="0" fontId="2" fillId="6" borderId="0" xfId="1" applyFont="1" applyFill="1"/>
    <xf numFmtId="167" fontId="0" fillId="0" borderId="0" xfId="2" applyNumberFormat="1" applyFont="1" applyBorder="1" applyProtection="1"/>
    <xf numFmtId="164" fontId="0" fillId="0" borderId="0" xfId="1" applyNumberFormat="1" applyFont="1"/>
    <xf numFmtId="168" fontId="0" fillId="0" borderId="0" xfId="2" applyNumberFormat="1" applyFont="1" applyBorder="1" applyProtection="1"/>
    <xf numFmtId="166" fontId="0" fillId="2" borderId="0" xfId="2" applyNumberFormat="1" applyFont="1" applyFill="1" applyBorder="1" applyProtection="1"/>
    <xf numFmtId="9" fontId="0" fillId="0" borderId="0" xfId="1" applyNumberFormat="1" applyFont="1"/>
    <xf numFmtId="166" fontId="0" fillId="7" borderId="0" xfId="2" applyNumberFormat="1" applyFont="1" applyFill="1" applyBorder="1" applyProtection="1"/>
    <xf numFmtId="0" fontId="2" fillId="7" borderId="0" xfId="1" applyFont="1" applyFill="1"/>
    <xf numFmtId="9" fontId="0" fillId="0" borderId="0" xfId="5" applyFont="1" applyBorder="1" applyProtection="1"/>
    <xf numFmtId="9" fontId="0" fillId="8" borderId="1" xfId="5" applyFont="1" applyFill="1" applyBorder="1" applyProtection="1"/>
    <xf numFmtId="164" fontId="0" fillId="8" borderId="2" xfId="1" applyNumberFormat="1" applyFont="1" applyFill="1" applyBorder="1"/>
    <xf numFmtId="165" fontId="0" fillId="0" borderId="2" xfId="3" applyFont="1" applyBorder="1" applyProtection="1"/>
    <xf numFmtId="0" fontId="0" fillId="0" borderId="3" xfId="1" applyFont="1" applyBorder="1"/>
    <xf numFmtId="9" fontId="0" fillId="8" borderId="4" xfId="5" applyFont="1" applyFill="1" applyBorder="1" applyProtection="1"/>
    <xf numFmtId="164" fontId="0" fillId="8" borderId="0" xfId="1" applyNumberFormat="1" applyFont="1" applyFill="1"/>
    <xf numFmtId="169" fontId="0" fillId="0" borderId="0" xfId="1" applyNumberFormat="1" applyFont="1"/>
    <xf numFmtId="0" fontId="0" fillId="0" borderId="5" xfId="1" applyFont="1" applyBorder="1"/>
    <xf numFmtId="9" fontId="0" fillId="9" borderId="4" xfId="5" applyFont="1" applyFill="1" applyBorder="1" applyProtection="1"/>
    <xf numFmtId="0" fontId="0" fillId="0" borderId="5" xfId="1" applyFont="1" applyBorder="1" applyAlignment="1">
      <alignment horizontal="left"/>
    </xf>
    <xf numFmtId="164" fontId="0" fillId="8" borderId="4" xfId="2" applyFont="1" applyFill="1" applyBorder="1" applyProtection="1"/>
    <xf numFmtId="0" fontId="0" fillId="8" borderId="0" xfId="1" applyFont="1" applyFill="1"/>
    <xf numFmtId="0" fontId="2" fillId="5" borderId="7" xfId="1" applyFont="1" applyFill="1" applyBorder="1" applyAlignment="1">
      <alignment horizontal="right"/>
    </xf>
    <xf numFmtId="0" fontId="2" fillId="5" borderId="8" xfId="1" applyFont="1" applyFill="1" applyBorder="1"/>
    <xf numFmtId="49" fontId="1" fillId="0" borderId="0" xfId="1" applyNumberFormat="1"/>
    <xf numFmtId="0" fontId="2" fillId="0" borderId="0" xfId="1" applyFont="1"/>
    <xf numFmtId="0" fontId="0" fillId="0" borderId="0" xfId="1" applyFont="1" applyFill="1"/>
    <xf numFmtId="164" fontId="0" fillId="0" borderId="0" xfId="2" applyFont="1" applyFill="1" applyBorder="1" applyProtection="1"/>
    <xf numFmtId="3" fontId="0" fillId="0" borderId="0" xfId="1" applyNumberFormat="1" applyFont="1" applyFill="1"/>
    <xf numFmtId="43" fontId="0" fillId="0" borderId="0" xfId="1" applyNumberFormat="1" applyFont="1" applyFill="1"/>
    <xf numFmtId="0" fontId="2" fillId="10" borderId="6" xfId="1" applyFont="1" applyFill="1" applyBorder="1" applyAlignment="1">
      <alignment horizontal="center"/>
    </xf>
  </cellXfs>
  <cellStyles count="6">
    <cellStyle name="Comma 3" xfId="2" xr:uid="{425B37FB-A8F4-D747-9A96-FA9462D8B5D9}"/>
    <cellStyle name="Currency 2" xfId="3" xr:uid="{2A016E73-65E6-3044-87A0-425DD1F752AD}"/>
    <cellStyle name="Normal" xfId="0" builtinId="0"/>
    <cellStyle name="Normal 3" xfId="1" xr:uid="{1752AE85-BB1E-ED41-95C8-FA991F496855}"/>
    <cellStyle name="Percent 2" xfId="4" xr:uid="{2DCADDEF-4DF4-CF41-BFC8-7E59B874A1C6}"/>
    <cellStyle name="Percent 3" xfId="5" xr:uid="{EBBF8B53-E35A-AD4B-864B-3949CD5E1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595959"/>
                </a:solidFill>
                <a:latin typeface="Calibri"/>
              </a:rPr>
              <a:t>Traditional J/V Financing vs. the Woodfine LPs – Debt to Contributions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'Alternative Real Estate'!$D$50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Estate'!$E$50:$N$50</c:f>
              <c:numCache>
                <c:formatCode>_(* #,##0.00_);_(* \(#,##0.00\);_(* \-??_);_(@_)</c:formatCode>
                <c:ptCount val="10"/>
                <c:pt idx="0">
                  <c:v>0.62</c:v>
                </c:pt>
                <c:pt idx="1">
                  <c:v>0.62</c:v>
                </c:pt>
                <c:pt idx="2">
                  <c:v>0.62</c:v>
                </c:pt>
                <c:pt idx="3">
                  <c:v>0.62</c:v>
                </c:pt>
                <c:pt idx="4">
                  <c:v>0.62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0.62</c:v>
                </c:pt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B-344C-9DFD-3350051F089D}"/>
            </c:ext>
          </c:extLst>
        </c:ser>
        <c:ser>
          <c:idx val="1"/>
          <c:order val="1"/>
          <c:tx>
            <c:strRef>
              <c:f>'Alternative Real Estate'!$C$50</c:f>
              <c:strCache>
                <c:ptCount val="1"/>
                <c:pt idx="0">
                  <c:v>Debt to Contributions (Traditional / JV)</c:v>
                </c:pt>
              </c:strCache>
            </c:strRef>
          </c:tx>
          <c:spPr>
            <a:ln w="38160" cap="rnd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Estate'!$E$50:$N$50</c:f>
              <c:numCache>
                <c:formatCode>_(* #,##0.00_);_(* \(#,##0.00\);_(* \-??_);_(@_)</c:formatCode>
                <c:ptCount val="10"/>
                <c:pt idx="0">
                  <c:v>0.62</c:v>
                </c:pt>
                <c:pt idx="1">
                  <c:v>0.62</c:v>
                </c:pt>
                <c:pt idx="2">
                  <c:v>0.62</c:v>
                </c:pt>
                <c:pt idx="3">
                  <c:v>0.62</c:v>
                </c:pt>
                <c:pt idx="4">
                  <c:v>0.62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0.62</c:v>
                </c:pt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B-344C-9DFD-3350051F089D}"/>
            </c:ext>
          </c:extLst>
        </c:ser>
        <c:ser>
          <c:idx val="2"/>
          <c:order val="2"/>
          <c:tx>
            <c:strRef>
              <c:f>'Alternative Real Estate'!$D$52</c:f>
              <c:strCache>
                <c:ptCount val="1"/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Estate'!$E$52:$N$52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B-344C-9DFD-3350051F089D}"/>
            </c:ext>
          </c:extLst>
        </c:ser>
        <c:ser>
          <c:idx val="3"/>
          <c:order val="3"/>
          <c:tx>
            <c:strRef>
              <c:f>'Alternative Real Estate'!$D$53</c:f>
              <c:strCache>
                <c:ptCount val="1"/>
              </c:strCache>
            </c:strRef>
          </c:tx>
          <c:spPr>
            <a:ln w="2844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Estate'!$E$53:$N$53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0B-344C-9DFD-3350051F089D}"/>
            </c:ext>
          </c:extLst>
        </c:ser>
        <c:ser>
          <c:idx val="4"/>
          <c:order val="4"/>
          <c:tx>
            <c:strRef>
              <c:f>'Alternative Real Estate'!$D$54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440" cap="rnd">
              <a:solidFill>
                <a:schemeClr val="accent1">
                  <a:lumMod val="75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Estate'!$E$54:$N$54</c:f>
              <c:numCache>
                <c:formatCode>_(* #,##0.00_);_(* \(#,##0.00\);_(* \-??_);_(@_)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0.6</c:v>
                </c:pt>
                <c:pt idx="4" formatCode="0.00">
                  <c:v>1.2</c:v>
                </c:pt>
                <c:pt idx="5" formatCode="0.00">
                  <c:v>2</c:v>
                </c:pt>
                <c:pt idx="6" formatCode="0.00">
                  <c:v>2.682680876</c:v>
                </c:pt>
                <c:pt idx="7" formatCode="0.00">
                  <c:v>2.6598470543814514</c:v>
                </c:pt>
                <c:pt idx="8" formatCode="0.00">
                  <c:v>2.6368990636548104</c:v>
                </c:pt>
                <c:pt idx="9" formatCode="0.00">
                  <c:v>2.613836332974536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0B-344C-9DFD-3350051F089D}"/>
            </c:ext>
          </c:extLst>
        </c:ser>
        <c:ser>
          <c:idx val="6"/>
          <c:order val="5"/>
          <c:tx>
            <c:strRef>
              <c:f>'Alternative Real Estate'!$D$61</c:f>
              <c:strCache>
                <c:ptCount val="1"/>
              </c:strCache>
            </c:strRef>
          </c:tx>
          <c:spPr>
            <a:ln w="28440" cap="rnd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Estate'!$E$61:$N$61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0B-344C-9DFD-3350051F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488482"/>
        <c:axId val="53062175"/>
      </c:lineChart>
      <c:catAx>
        <c:axId val="34488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062175"/>
        <c:crossesAt val="0"/>
        <c:auto val="1"/>
        <c:lblAlgn val="ctr"/>
        <c:lblOffset val="100"/>
        <c:noMultiLvlLbl val="0"/>
      </c:catAx>
      <c:valAx>
        <c:axId val="53062175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1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595959"/>
                    </a:solidFill>
                    <a:latin typeface="Calibri"/>
                  </a:rPr>
                  <a:t>Debt to Contributions</a:t>
                </a:r>
              </a:p>
            </c:rich>
          </c:tx>
          <c:layout>
            <c:manualLayout>
              <c:xMode val="edge"/>
              <c:yMode val="edge"/>
              <c:x val="5.4660633484162899E-3"/>
              <c:y val="0.38106647008231997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4884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200" b="1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595959"/>
                </a:solidFill>
                <a:latin typeface="Calibri"/>
              </a:rPr>
              <a:t>Traditional J/V Financing vs. the Woodfine LPs – Square Footage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'Alternative Real Estate'!$C$51</c:f>
              <c:strCache>
                <c:ptCount val="1"/>
                <c:pt idx="0">
                  <c:v>Square Footage (Traditional / JV)</c:v>
                </c:pt>
              </c:strCache>
            </c:strRef>
          </c:tx>
          <c:spPr>
            <a:ln w="38160" cap="rnd">
              <a:solidFill>
                <a:srgbClr val="70AD47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Estate'!$E$51:$N$51</c:f>
              <c:numCache>
                <c:formatCode>_(* #,##0.00_);_(* \(#,##0.00\);_(* \-??_);_(@_)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2298150</c:v>
                </c:pt>
                <c:pt idx="4" formatCode="#,##0">
                  <c:v>2298150</c:v>
                </c:pt>
                <c:pt idx="5" formatCode="#,##0">
                  <c:v>2298150</c:v>
                </c:pt>
                <c:pt idx="6" formatCode="#,##0">
                  <c:v>2298150</c:v>
                </c:pt>
                <c:pt idx="7" formatCode="#,##0">
                  <c:v>2298150</c:v>
                </c:pt>
                <c:pt idx="8" formatCode="#,##0">
                  <c:v>2298150</c:v>
                </c:pt>
                <c:pt idx="9" formatCode="#,##0">
                  <c:v>2298150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7-5048-A892-663861E4143B}"/>
            </c:ext>
          </c:extLst>
        </c:ser>
        <c:ser>
          <c:idx val="1"/>
          <c:order val="1"/>
          <c:tx>
            <c:strRef>
              <c:f>'Alternative Real Estate'!$C$55</c:f>
              <c:strCache>
                <c:ptCount val="1"/>
                <c:pt idx="0">
                  <c:v>Square Footage (Traditional / JV)</c:v>
                </c:pt>
              </c:strCache>
            </c:strRef>
          </c:tx>
          <c:spPr>
            <a:ln w="38160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'Alternative Real Estate'!$E$55:$N$55</c:f>
              <c:numCache>
                <c:formatCode>_(* #,##0.00_);_(* \(#,##0.00\);_(* \-??_);_(@_)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699597</c:v>
                </c:pt>
                <c:pt idx="4" formatCode="#,##0">
                  <c:v>699597</c:v>
                </c:pt>
                <c:pt idx="5" formatCode="#,##0">
                  <c:v>1794758</c:v>
                </c:pt>
                <c:pt idx="6" formatCode="#,##0">
                  <c:v>1794758</c:v>
                </c:pt>
                <c:pt idx="7" formatCode="#,##0">
                  <c:v>3906855</c:v>
                </c:pt>
                <c:pt idx="8" formatCode="#,##0">
                  <c:v>3906855</c:v>
                </c:pt>
                <c:pt idx="9" formatCode="#,##0">
                  <c:v>3906855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7-5048-A892-663861E41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598104"/>
        <c:axId val="51480711"/>
      </c:lineChart>
      <c:catAx>
        <c:axId val="79598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80711"/>
        <c:crosses val="autoZero"/>
        <c:auto val="1"/>
        <c:lblAlgn val="ctr"/>
        <c:lblOffset val="100"/>
        <c:noMultiLvlLbl val="0"/>
      </c:catAx>
      <c:valAx>
        <c:axId val="514807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1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595959"/>
                    </a:solidFill>
                    <a:latin typeface="Calibri"/>
                  </a:rPr>
                  <a:t>Square Footage</a:t>
                </a:r>
              </a:p>
            </c:rich>
          </c:tx>
          <c:layout>
            <c:manualLayout>
              <c:xMode val="edge"/>
              <c:yMode val="edge"/>
              <c:x val="8.2938388625592406E-3"/>
              <c:y val="0.39633659106275698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9598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200" b="1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769177</xdr:colOff>
      <xdr:row>56</xdr:row>
      <xdr:rowOff>12605</xdr:rowOff>
    </xdr:from>
    <xdr:ext cx="8745856" cy="58466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476D2-D7D5-A74B-A4CC-1F4E561D8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152560</xdr:colOff>
      <xdr:row>56</xdr:row>
      <xdr:rowOff>6485</xdr:rowOff>
    </xdr:from>
    <xdr:ext cx="9198040" cy="584337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417BD-BAB8-0C49-81EF-E57E2C105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FC7F-539A-9B4A-B905-CEE15829D894}">
  <sheetPr>
    <pageSetUpPr fitToPage="1"/>
  </sheetPr>
  <dimension ref="B2:P61"/>
  <sheetViews>
    <sheetView tabSelected="1" topLeftCell="A8" zoomScaleNormal="100" workbookViewId="0">
      <selection activeCell="C22" sqref="C22"/>
    </sheetView>
  </sheetViews>
  <sheetFormatPr baseColWidth="10" defaultColWidth="10.83203125" defaultRowHeight="16" x14ac:dyDescent="0.2"/>
  <cols>
    <col min="1" max="2" width="10.83203125" style="1"/>
    <col min="3" max="3" width="46.83203125" style="1" customWidth="1"/>
    <col min="4" max="4" width="23.5" style="1" customWidth="1"/>
    <col min="5" max="5" width="19" style="1" customWidth="1"/>
    <col min="6" max="14" width="15.83203125" style="1" customWidth="1"/>
    <col min="15" max="15" width="10.83203125" style="1"/>
    <col min="16" max="16" width="71.1640625" style="1" customWidth="1"/>
    <col min="17" max="16384" width="10.83203125" style="1"/>
  </cols>
  <sheetData>
    <row r="2" spans="2:16" x14ac:dyDescent="0.2">
      <c r="B2" s="2"/>
      <c r="C2" s="55" t="s">
        <v>44</v>
      </c>
    </row>
    <row r="3" spans="2:16" x14ac:dyDescent="0.2">
      <c r="B3" s="2"/>
      <c r="C3" s="1" t="s">
        <v>43</v>
      </c>
    </row>
    <row r="4" spans="2:16" x14ac:dyDescent="0.2">
      <c r="B4" s="2"/>
      <c r="C4" s="1" t="s">
        <v>42</v>
      </c>
    </row>
    <row r="5" spans="2:16" x14ac:dyDescent="0.2">
      <c r="B5" s="2"/>
      <c r="C5" s="54" t="s">
        <v>45</v>
      </c>
    </row>
    <row r="6" spans="2:16" x14ac:dyDescent="0.2">
      <c r="B6" s="2"/>
      <c r="C6" s="1" t="s">
        <v>41</v>
      </c>
    </row>
    <row r="7" spans="2:16" ht="16.5" customHeight="1" x14ac:dyDescent="0.2">
      <c r="B7" s="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2:16" ht="16.5" customHeight="1" thickBot="1" x14ac:dyDescent="0.25">
      <c r="B8" s="2"/>
    </row>
    <row r="9" spans="2:16" ht="16.5" customHeight="1" x14ac:dyDescent="0.2">
      <c r="B9" s="2">
        <v>1</v>
      </c>
      <c r="C9" s="53" t="s">
        <v>40</v>
      </c>
      <c r="D9" s="52" t="s">
        <v>36</v>
      </c>
      <c r="E9" s="52" t="s">
        <v>31</v>
      </c>
      <c r="F9" s="60" t="s">
        <v>39</v>
      </c>
      <c r="G9" s="60"/>
    </row>
    <row r="10" spans="2:16" x14ac:dyDescent="0.2">
      <c r="B10" s="2">
        <v>2</v>
      </c>
      <c r="C10" s="47"/>
      <c r="D10" s="21"/>
      <c r="E10" s="21"/>
      <c r="F10" s="51"/>
      <c r="G10" s="50"/>
    </row>
    <row r="11" spans="2:16" x14ac:dyDescent="0.2">
      <c r="B11" s="2">
        <v>3</v>
      </c>
      <c r="C11" s="49" t="s">
        <v>38</v>
      </c>
      <c r="D11" s="4">
        <f>D22</f>
        <v>4.0999999999999996</v>
      </c>
      <c r="E11" s="4">
        <f>D37</f>
        <v>3</v>
      </c>
      <c r="F11" s="45">
        <f>D11-E11</f>
        <v>1.0999999999999996</v>
      </c>
      <c r="G11" s="48">
        <f>F11/D11</f>
        <v>0.26829268292682923</v>
      </c>
    </row>
    <row r="12" spans="2:16" x14ac:dyDescent="0.2">
      <c r="B12" s="2">
        <v>4</v>
      </c>
      <c r="C12" s="47" t="s">
        <v>21</v>
      </c>
      <c r="D12" s="46">
        <f>D26</f>
        <v>3906855</v>
      </c>
      <c r="E12" s="23">
        <f>D44</f>
        <v>2298150</v>
      </c>
      <c r="F12" s="45">
        <f>D12-E12</f>
        <v>1608705</v>
      </c>
      <c r="G12" s="44">
        <f>F12/D12</f>
        <v>0.41176470588235292</v>
      </c>
    </row>
    <row r="13" spans="2:16" ht="17" thickBot="1" x14ac:dyDescent="0.25">
      <c r="B13" s="2">
        <v>5</v>
      </c>
      <c r="C13" s="43" t="s">
        <v>37</v>
      </c>
      <c r="D13" s="42">
        <f>D28</f>
        <v>63.990089214982383</v>
      </c>
      <c r="E13" s="42">
        <f>D33/E12</f>
        <v>108.78315166547006</v>
      </c>
      <c r="F13" s="41">
        <f>D13-E13</f>
        <v>-44.793062450487675</v>
      </c>
      <c r="G13" s="40">
        <f>F13/D13</f>
        <v>-0.70000000000000007</v>
      </c>
    </row>
    <row r="14" spans="2:16" ht="15.75" customHeight="1" x14ac:dyDescent="0.2">
      <c r="B14" s="2">
        <v>6</v>
      </c>
      <c r="D14" s="20"/>
      <c r="E14" s="20"/>
      <c r="F14" s="33"/>
      <c r="G14" s="39"/>
    </row>
    <row r="15" spans="2:16" x14ac:dyDescent="0.2">
      <c r="B15" s="2">
        <v>7</v>
      </c>
      <c r="C15" s="38" t="s">
        <v>36</v>
      </c>
      <c r="D15" s="37"/>
      <c r="E15" s="21"/>
    </row>
    <row r="16" spans="2:16" x14ac:dyDescent="0.2">
      <c r="B16" s="2">
        <v>8</v>
      </c>
      <c r="C16" s="1" t="s">
        <v>30</v>
      </c>
      <c r="D16" s="25">
        <v>6.25E-2</v>
      </c>
      <c r="E16" s="21"/>
    </row>
    <row r="17" spans="2:8" x14ac:dyDescent="0.2">
      <c r="B17" s="2">
        <v>9</v>
      </c>
      <c r="D17" s="21"/>
      <c r="E17" s="21"/>
    </row>
    <row r="18" spans="2:8" x14ac:dyDescent="0.2">
      <c r="B18" s="2">
        <v>10</v>
      </c>
      <c r="C18" s="1" t="s">
        <v>35</v>
      </c>
      <c r="D18" s="21">
        <v>250000000</v>
      </c>
      <c r="E18" s="21"/>
    </row>
    <row r="19" spans="2:8" x14ac:dyDescent="0.2">
      <c r="B19" s="2">
        <v>11</v>
      </c>
      <c r="C19" s="1" t="s">
        <v>28</v>
      </c>
      <c r="D19" s="34">
        <v>1025000000</v>
      </c>
      <c r="E19" s="21"/>
    </row>
    <row r="20" spans="2:8" x14ac:dyDescent="0.2">
      <c r="B20" s="2">
        <v>12</v>
      </c>
      <c r="C20" s="1" t="s">
        <v>34</v>
      </c>
      <c r="D20" s="34">
        <f>D18+D19</f>
        <v>1275000000</v>
      </c>
      <c r="E20" s="21"/>
      <c r="F20" s="56"/>
    </row>
    <row r="21" spans="2:8" x14ac:dyDescent="0.2">
      <c r="B21" s="2">
        <v>13</v>
      </c>
      <c r="D21" s="34"/>
      <c r="E21" s="21"/>
    </row>
    <row r="22" spans="2:8" x14ac:dyDescent="0.2">
      <c r="B22" s="2">
        <v>14</v>
      </c>
      <c r="C22" s="1" t="s">
        <v>33</v>
      </c>
      <c r="D22" s="33">
        <f>D19/D18</f>
        <v>4.0999999999999996</v>
      </c>
      <c r="E22" s="21"/>
    </row>
    <row r="23" spans="2:8" x14ac:dyDescent="0.2">
      <c r="B23" s="2">
        <v>15</v>
      </c>
      <c r="C23" s="1" t="s">
        <v>25</v>
      </c>
      <c r="D23" s="36">
        <v>0.62</v>
      </c>
      <c r="E23" s="21"/>
    </row>
    <row r="24" spans="2:8" x14ac:dyDescent="0.2">
      <c r="B24" s="2">
        <v>16</v>
      </c>
      <c r="C24" s="5" t="s">
        <v>24</v>
      </c>
      <c r="D24" s="35"/>
      <c r="E24" s="21"/>
      <c r="H24" s="33"/>
    </row>
    <row r="25" spans="2:8" x14ac:dyDescent="0.2">
      <c r="B25" s="2">
        <v>17</v>
      </c>
      <c r="D25" s="21"/>
      <c r="E25" s="21"/>
      <c r="H25" s="33"/>
    </row>
    <row r="26" spans="2:8" x14ac:dyDescent="0.2">
      <c r="B26" s="2">
        <v>18</v>
      </c>
      <c r="C26" s="1" t="s">
        <v>21</v>
      </c>
      <c r="D26" s="34">
        <v>3906855</v>
      </c>
      <c r="E26" s="21"/>
      <c r="H26" s="33"/>
    </row>
    <row r="27" spans="2:8" x14ac:dyDescent="0.2">
      <c r="B27" s="2">
        <v>19</v>
      </c>
      <c r="C27" s="1" t="s">
        <v>20</v>
      </c>
      <c r="D27" s="32">
        <f>(D18+D19)/D26</f>
        <v>326.34945499641015</v>
      </c>
      <c r="E27" s="19"/>
    </row>
    <row r="28" spans="2:8" x14ac:dyDescent="0.2">
      <c r="B28" s="2">
        <v>20</v>
      </c>
      <c r="C28" s="1" t="s">
        <v>32</v>
      </c>
      <c r="D28" s="32">
        <f>D18/D26</f>
        <v>63.990089214982383</v>
      </c>
      <c r="E28" s="19"/>
    </row>
    <row r="29" spans="2:8" x14ac:dyDescent="0.2">
      <c r="B29" s="2">
        <v>21</v>
      </c>
      <c r="D29" s="20"/>
      <c r="E29" s="19"/>
      <c r="F29" s="2"/>
      <c r="G29" s="20"/>
    </row>
    <row r="30" spans="2:8" x14ac:dyDescent="0.2">
      <c r="B30" s="2">
        <v>22</v>
      </c>
      <c r="C30" s="31" t="s">
        <v>31</v>
      </c>
      <c r="D30" s="31"/>
      <c r="E30" s="19"/>
      <c r="F30" s="2"/>
      <c r="G30" s="20"/>
    </row>
    <row r="31" spans="2:8" x14ac:dyDescent="0.2">
      <c r="B31" s="2">
        <v>23</v>
      </c>
      <c r="C31" s="2" t="s">
        <v>30</v>
      </c>
      <c r="D31" s="30">
        <v>6.25E-2</v>
      </c>
      <c r="E31" s="19"/>
      <c r="F31" s="2"/>
      <c r="G31" s="20"/>
    </row>
    <row r="32" spans="2:8" x14ac:dyDescent="0.2">
      <c r="B32" s="2">
        <v>24</v>
      </c>
      <c r="C32" s="2"/>
      <c r="D32" s="21"/>
      <c r="E32" s="19"/>
      <c r="F32" s="2"/>
      <c r="G32" s="20"/>
    </row>
    <row r="33" spans="2:16" x14ac:dyDescent="0.2">
      <c r="B33" s="2">
        <v>25</v>
      </c>
      <c r="C33" s="2" t="s">
        <v>29</v>
      </c>
      <c r="D33" s="21">
        <v>250000000</v>
      </c>
      <c r="E33" s="19"/>
      <c r="F33" s="2"/>
      <c r="G33" s="20"/>
    </row>
    <row r="34" spans="2:16" x14ac:dyDescent="0.2">
      <c r="B34" s="2">
        <v>26</v>
      </c>
      <c r="C34" s="2" t="s">
        <v>28</v>
      </c>
      <c r="D34" s="21">
        <f>D33*D37</f>
        <v>750000000</v>
      </c>
      <c r="E34" s="19"/>
      <c r="F34" s="2"/>
      <c r="G34" s="20"/>
    </row>
    <row r="35" spans="2:16" x14ac:dyDescent="0.2">
      <c r="B35" s="2">
        <v>27</v>
      </c>
      <c r="C35" s="2" t="s">
        <v>27</v>
      </c>
      <c r="D35" s="23">
        <f>D33+D34</f>
        <v>1000000000</v>
      </c>
      <c r="E35" s="19"/>
      <c r="F35" s="2"/>
      <c r="G35" s="20"/>
    </row>
    <row r="36" spans="2:16" x14ac:dyDescent="0.2">
      <c r="B36" s="2">
        <v>28</v>
      </c>
      <c r="C36" s="2"/>
      <c r="D36" s="23"/>
      <c r="E36" s="19"/>
      <c r="F36" s="2"/>
      <c r="G36" s="20"/>
    </row>
    <row r="37" spans="2:16" x14ac:dyDescent="0.2">
      <c r="B37" s="2">
        <v>29</v>
      </c>
      <c r="C37" s="2" t="s">
        <v>26</v>
      </c>
      <c r="D37" s="4">
        <v>3</v>
      </c>
      <c r="E37" s="19"/>
      <c r="F37" s="2"/>
      <c r="G37" s="20"/>
    </row>
    <row r="38" spans="2:16" ht="17" x14ac:dyDescent="0.2">
      <c r="B38" s="2">
        <v>30</v>
      </c>
      <c r="C38" s="24" t="s">
        <v>25</v>
      </c>
      <c r="D38" s="25">
        <f>D34/D42</f>
        <v>0.59523809523809523</v>
      </c>
      <c r="E38" s="19"/>
      <c r="F38" s="2"/>
      <c r="G38" s="29"/>
    </row>
    <row r="39" spans="2:16" ht="17" x14ac:dyDescent="0.2">
      <c r="B39" s="2">
        <v>31</v>
      </c>
      <c r="C39" s="28" t="s">
        <v>24</v>
      </c>
      <c r="D39" s="27">
        <f>(D42-D34)/D34</f>
        <v>0.68</v>
      </c>
      <c r="E39" s="19"/>
      <c r="F39" s="2"/>
      <c r="G39" s="26"/>
    </row>
    <row r="40" spans="2:16" x14ac:dyDescent="0.2">
      <c r="B40" s="2">
        <v>32</v>
      </c>
      <c r="C40" s="24"/>
      <c r="D40" s="25"/>
      <c r="E40" s="19"/>
      <c r="F40" s="2"/>
      <c r="G40" s="20"/>
    </row>
    <row r="41" spans="2:16" ht="17" x14ac:dyDescent="0.2">
      <c r="B41" s="2">
        <v>33</v>
      </c>
      <c r="C41" s="24" t="s">
        <v>23</v>
      </c>
      <c r="D41" s="21">
        <f>D34*10.5%</f>
        <v>78750000</v>
      </c>
      <c r="E41" s="19"/>
    </row>
    <row r="42" spans="2:16" ht="17" x14ac:dyDescent="0.2">
      <c r="B42" s="2">
        <v>34</v>
      </c>
      <c r="C42" s="24" t="s">
        <v>22</v>
      </c>
      <c r="D42" s="23">
        <f>D41/6.25%</f>
        <v>1260000000</v>
      </c>
      <c r="E42" s="19"/>
      <c r="F42" s="2"/>
      <c r="G42" s="20"/>
    </row>
    <row r="43" spans="2:16" x14ac:dyDescent="0.2">
      <c r="B43" s="2">
        <v>35</v>
      </c>
      <c r="C43" s="2"/>
      <c r="E43" s="19"/>
      <c r="G43" s="22"/>
    </row>
    <row r="44" spans="2:16" x14ac:dyDescent="0.2">
      <c r="B44" s="2">
        <v>36</v>
      </c>
      <c r="C44" s="2" t="s">
        <v>21</v>
      </c>
      <c r="D44" s="21">
        <f>D34/D27</f>
        <v>2298150</v>
      </c>
      <c r="E44" s="19"/>
    </row>
    <row r="45" spans="2:16" x14ac:dyDescent="0.2">
      <c r="B45" s="2">
        <v>37</v>
      </c>
      <c r="C45" s="2" t="s">
        <v>20</v>
      </c>
      <c r="D45" s="20">
        <f>D27</f>
        <v>326.34945499641015</v>
      </c>
      <c r="E45" s="19"/>
    </row>
    <row r="46" spans="2:16" x14ac:dyDescent="0.2">
      <c r="B46" s="2">
        <v>38</v>
      </c>
      <c r="C46" s="2" t="s">
        <v>19</v>
      </c>
      <c r="D46" s="20">
        <f>D33/D44</f>
        <v>108.78315166547006</v>
      </c>
      <c r="E46" s="19"/>
    </row>
    <row r="47" spans="2:16" x14ac:dyDescent="0.2">
      <c r="B47" s="2">
        <v>39</v>
      </c>
      <c r="D47" s="4"/>
      <c r="E47" s="4"/>
    </row>
    <row r="48" spans="2:16" x14ac:dyDescent="0.2">
      <c r="B48" s="2">
        <v>40</v>
      </c>
      <c r="C48" s="17"/>
      <c r="D48" s="18"/>
      <c r="E48" s="1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2:16" x14ac:dyDescent="0.2">
      <c r="B49" s="2">
        <v>41</v>
      </c>
      <c r="E49" s="16" t="s">
        <v>18</v>
      </c>
      <c r="F49" s="16" t="s">
        <v>17</v>
      </c>
      <c r="G49" s="16" t="s">
        <v>16</v>
      </c>
      <c r="H49" s="16" t="s">
        <v>15</v>
      </c>
      <c r="I49" s="16" t="s">
        <v>14</v>
      </c>
      <c r="J49" s="16" t="s">
        <v>13</v>
      </c>
      <c r="K49" s="16" t="s">
        <v>12</v>
      </c>
      <c r="L49" s="16" t="s">
        <v>11</v>
      </c>
      <c r="M49" s="16" t="s">
        <v>10</v>
      </c>
      <c r="N49" s="16" t="s">
        <v>9</v>
      </c>
      <c r="P49" s="15" t="s">
        <v>8</v>
      </c>
    </row>
    <row r="50" spans="2:16" x14ac:dyDescent="0.2">
      <c r="B50" s="2">
        <v>42</v>
      </c>
      <c r="C50" s="14" t="s">
        <v>7</v>
      </c>
      <c r="D50" s="13" t="s">
        <v>4</v>
      </c>
      <c r="E50" s="12">
        <v>0.62</v>
      </c>
      <c r="F50" s="12">
        <v>0.62</v>
      </c>
      <c r="G50" s="12">
        <v>0.62</v>
      </c>
      <c r="H50" s="12">
        <v>0.62</v>
      </c>
      <c r="I50" s="12">
        <v>0.62</v>
      </c>
      <c r="J50" s="12">
        <v>0.62</v>
      </c>
      <c r="K50" s="12">
        <v>0.62</v>
      </c>
      <c r="L50" s="12">
        <v>0.62</v>
      </c>
      <c r="M50" s="12">
        <v>0.62</v>
      </c>
      <c r="N50" s="12">
        <v>0.62</v>
      </c>
      <c r="P50" s="1" t="s">
        <v>6</v>
      </c>
    </row>
    <row r="51" spans="2:16" x14ac:dyDescent="0.2">
      <c r="B51" s="2">
        <v>43</v>
      </c>
      <c r="C51" s="14" t="s">
        <v>2</v>
      </c>
      <c r="D51" s="13" t="s">
        <v>1</v>
      </c>
      <c r="E51" s="12">
        <v>0</v>
      </c>
      <c r="F51" s="12">
        <v>0</v>
      </c>
      <c r="G51" s="12">
        <v>0</v>
      </c>
      <c r="H51" s="11">
        <f t="shared" ref="H51:N51" si="0">$E$12</f>
        <v>2298150</v>
      </c>
      <c r="I51" s="11">
        <f t="shared" si="0"/>
        <v>2298150</v>
      </c>
      <c r="J51" s="11">
        <f t="shared" si="0"/>
        <v>2298150</v>
      </c>
      <c r="K51" s="11">
        <f t="shared" si="0"/>
        <v>2298150</v>
      </c>
      <c r="L51" s="11">
        <f t="shared" si="0"/>
        <v>2298150</v>
      </c>
      <c r="M51" s="11">
        <f t="shared" si="0"/>
        <v>2298150</v>
      </c>
      <c r="N51" s="11">
        <f t="shared" si="0"/>
        <v>2298150</v>
      </c>
      <c r="P51" s="1" t="s">
        <v>6</v>
      </c>
    </row>
    <row r="52" spans="2:16" x14ac:dyDescent="0.2">
      <c r="B52" s="2">
        <v>44</v>
      </c>
    </row>
    <row r="53" spans="2:16" x14ac:dyDescent="0.2">
      <c r="B53" s="2">
        <v>45</v>
      </c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2:16" x14ac:dyDescent="0.2">
      <c r="B54" s="2">
        <v>46</v>
      </c>
      <c r="C54" s="9" t="s">
        <v>5</v>
      </c>
      <c r="D54" s="8" t="s">
        <v>4</v>
      </c>
      <c r="E54" s="7">
        <v>0</v>
      </c>
      <c r="F54" s="7">
        <v>0</v>
      </c>
      <c r="G54" s="7">
        <v>0</v>
      </c>
      <c r="H54" s="10">
        <v>0.6</v>
      </c>
      <c r="I54" s="10">
        <v>1.2</v>
      </c>
      <c r="J54" s="10">
        <v>2</v>
      </c>
      <c r="K54" s="10">
        <v>2.682680876</v>
      </c>
      <c r="L54" s="10">
        <v>2.6598470543814514</v>
      </c>
      <c r="M54" s="10">
        <v>2.6368990636548104</v>
      </c>
      <c r="N54" s="10">
        <v>2.613836332974536</v>
      </c>
      <c r="P54" s="1" t="s">
        <v>3</v>
      </c>
    </row>
    <row r="55" spans="2:16" x14ac:dyDescent="0.2">
      <c r="B55" s="2">
        <v>47</v>
      </c>
      <c r="C55" s="9" t="s">
        <v>2</v>
      </c>
      <c r="D55" s="8" t="s">
        <v>1</v>
      </c>
      <c r="E55" s="7">
        <v>0</v>
      </c>
      <c r="F55" s="7">
        <v>0</v>
      </c>
      <c r="G55" s="7">
        <v>0</v>
      </c>
      <c r="H55" s="6">
        <v>699597</v>
      </c>
      <c r="I55" s="6">
        <v>699597</v>
      </c>
      <c r="J55" s="6">
        <v>1794758</v>
      </c>
      <c r="K55" s="6">
        <v>1794758</v>
      </c>
      <c r="L55" s="6">
        <v>3906855</v>
      </c>
      <c r="M55" s="6">
        <v>3906855</v>
      </c>
      <c r="N55" s="6">
        <v>3906855</v>
      </c>
      <c r="P55" s="1" t="s">
        <v>0</v>
      </c>
    </row>
    <row r="56" spans="2:16" x14ac:dyDescent="0.2">
      <c r="B56" s="2"/>
      <c r="E56" s="4"/>
      <c r="F56" s="4"/>
      <c r="G56" s="4"/>
      <c r="H56" s="3"/>
      <c r="I56" s="3"/>
      <c r="J56" s="3"/>
      <c r="K56" s="3"/>
      <c r="L56" s="3"/>
      <c r="M56" s="3"/>
      <c r="N56" s="3"/>
    </row>
    <row r="57" spans="2:16" x14ac:dyDescent="0.2">
      <c r="B57" s="2"/>
      <c r="E57" s="4"/>
      <c r="F57" s="4"/>
      <c r="G57" s="4"/>
      <c r="H57" s="3"/>
      <c r="I57" s="3"/>
      <c r="J57" s="3"/>
      <c r="K57" s="3"/>
      <c r="L57" s="3"/>
      <c r="M57" s="3"/>
      <c r="N57" s="3"/>
    </row>
    <row r="58" spans="2:16" x14ac:dyDescent="0.2">
      <c r="B58" s="2"/>
      <c r="C58" s="56"/>
      <c r="D58" s="56"/>
      <c r="E58" s="57"/>
      <c r="F58" s="57"/>
      <c r="G58" s="57"/>
      <c r="H58" s="58"/>
      <c r="I58" s="58"/>
      <c r="J58" s="58"/>
      <c r="K58" s="58"/>
      <c r="L58" s="58"/>
      <c r="M58" s="58"/>
      <c r="N58" s="58"/>
    </row>
    <row r="59" spans="2:16" x14ac:dyDescent="0.2">
      <c r="B59" s="2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9"/>
    </row>
    <row r="60" spans="2:16" x14ac:dyDescent="0.2">
      <c r="B60" s="2"/>
      <c r="E60" s="4"/>
      <c r="F60" s="4"/>
      <c r="G60" s="4"/>
      <c r="H60" s="3"/>
      <c r="I60" s="3"/>
      <c r="J60" s="3"/>
      <c r="K60" s="3"/>
      <c r="L60" s="3"/>
      <c r="M60" s="3"/>
      <c r="N60" s="3"/>
    </row>
    <row r="61" spans="2:16" x14ac:dyDescent="0.2">
      <c r="B61" s="2"/>
    </row>
  </sheetData>
  <mergeCells count="1">
    <mergeCell ref="F9:G9"/>
  </mergeCells>
  <pageMargins left="0.25" right="0.25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Alternative Real Estate</vt:lpstr>
      <vt:lpstr>'Alternative Real Estate'!Print_Area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2026-01-08T01:31:55Z</dcterms:created>
  <dcterms:modified xsi:type="dcterms:W3CDTF">2026-06-07T04:06:13Z</dcterms:modified>
</cp:coreProperties>
</file>